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작성안내" sheetId="1" state="visible" r:id="rId1"/>
    <sheet xmlns:r="http://schemas.openxmlformats.org/officeDocument/2006/relationships" name="양식_프로젝트영업_G6" sheetId="2" state="visible" r:id="rId2"/>
    <sheet xmlns:r="http://schemas.openxmlformats.org/officeDocument/2006/relationships" name="양식_프로젝트영업_G5-M" sheetId="3" state="visible" r:id="rId3"/>
    <sheet xmlns:r="http://schemas.openxmlformats.org/officeDocument/2006/relationships" name="양식_프로젝트영업_G5-S" sheetId="4" state="visible" r:id="rId4"/>
    <sheet xmlns:r="http://schemas.openxmlformats.org/officeDocument/2006/relationships" name="양식_프로젝트영업_G4" sheetId="5" state="visible" r:id="rId5"/>
    <sheet xmlns:r="http://schemas.openxmlformats.org/officeDocument/2006/relationships" name="양식_프로젝트영업_G3" sheetId="6" state="visible" r:id="rId6"/>
    <sheet xmlns:r="http://schemas.openxmlformats.org/officeDocument/2006/relationships" name="양식_프로젝트영업_G2" sheetId="7" state="visible" r:id="rId7"/>
    <sheet xmlns:r="http://schemas.openxmlformats.org/officeDocument/2006/relationships" name="양식_프로젝트영업_G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2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color rgb="00000000"/>
      <sz val="11"/>
    </font>
    <font>
      <name val="맑은 고딕"/>
      <b val="1"/>
      <color rgb="00FFFFFF"/>
      <sz val="12"/>
    </font>
    <font>
      <name val="맑은 고딕"/>
      <b val="1"/>
      <color rgb="00000000"/>
      <sz val="11"/>
    </font>
    <font>
      <name val="맑은 고딕"/>
      <b val="1"/>
      <color rgb="00000000"/>
      <sz val="10"/>
    </font>
    <font>
      <name val="맑은 고딕"/>
      <b val="1"/>
      <color rgb="00000000"/>
      <sz val="12"/>
    </font>
    <font>
      <name val="맑은 고딕"/>
      <b val="1"/>
      <color rgb="00FFFFFF"/>
      <sz val="10"/>
    </font>
    <font>
      <name val="맑은 고딕"/>
      <color rgb="00000000"/>
      <sz val="9"/>
    </font>
    <font>
      <name val="맑은 고딕"/>
      <b val="1"/>
      <color rgb="00000000"/>
      <sz val="9"/>
    </font>
    <font>
      <name val="맑은 고딕"/>
      <b val="1"/>
      <color rgb="00FFFFFF"/>
      <sz val="11"/>
    </font>
    <font>
      <name val="맑은 고딕"/>
      <b val="1"/>
      <color rgb="00000000"/>
      <sz val="13"/>
    </font>
  </fonts>
  <fills count="1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2F2F2"/>
      </patternFill>
    </fill>
    <fill>
      <patternFill patternType="solid">
        <fgColor rgb="002E74B5"/>
      </patternFill>
    </fill>
    <fill>
      <patternFill patternType="solid">
        <fgColor rgb="00C6E0B4"/>
      </patternFill>
    </fill>
    <fill>
      <patternFill patternType="solid">
        <fgColor rgb="00D9E1F2"/>
      </patternFill>
    </fill>
    <fill>
      <patternFill patternType="solid">
        <fgColor rgb="00FFFFFF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B4C7E7"/>
      </patternFill>
    </fill>
    <fill>
      <patternFill patternType="solid">
        <fgColor rgb="00F4B084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left" vertical="center" wrapText="1"/>
    </xf>
    <xf numFmtId="0" fontId="4" fillId="1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2" fillId="11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left" vertical="center" wrapText="1"/>
    </xf>
    <xf numFmtId="0" fontId="4" fillId="11" borderId="1" applyAlignment="1" pivotButton="0" quotePrefix="0" xfId="0">
      <alignment horizontal="center" vertical="center" wrapText="1"/>
    </xf>
    <xf numFmtId="0" fontId="6" fillId="12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7" fillId="2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0" fontId="8" fillId="13" borderId="1" applyAlignment="1" pivotButton="0" quotePrefix="0" xfId="0">
      <alignment horizontal="left" vertical="center" wrapText="1"/>
    </xf>
    <xf numFmtId="0" fontId="4" fillId="14" borderId="1" applyAlignment="1" pivotButton="0" quotePrefix="0" xfId="0">
      <alignment horizontal="center" vertical="center" wrapText="1"/>
    </xf>
    <xf numFmtId="164" fontId="2" fillId="13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left" vertical="center" wrapText="1"/>
    </xf>
    <xf numFmtId="2" fontId="2" fillId="1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6" fillId="13" borderId="1" applyAlignment="1" pivotButton="0" quotePrefix="0" xfId="0">
      <alignment horizontal="center" vertical="center" wrapText="1"/>
    </xf>
    <xf numFmtId="0" fontId="6" fillId="13" borderId="1" applyAlignment="1" pivotButton="0" quotePrefix="0" xfId="0">
      <alignment horizontal="left" vertical="center" wrapText="1"/>
    </xf>
    <xf numFmtId="0" fontId="4" fillId="13" borderId="1" applyAlignment="1" pivotButton="0" quotePrefix="0" xfId="0">
      <alignment horizontal="left" vertical="center" wrapText="1"/>
    </xf>
    <xf numFmtId="0" fontId="6" fillId="15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center" wrapText="1"/>
    </xf>
    <xf numFmtId="0" fontId="4" fillId="15" borderId="1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0" fontId="11" fillId="13" borderId="1" applyAlignment="1" pivotButton="0" quotePrefix="0" xfId="0">
      <alignment horizontal="center" vertical="center" wrapText="1"/>
    </xf>
    <xf numFmtId="0" fontId="11" fillId="14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2" fillId="14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4">
    <dxf>
      <fill>
        <patternFill patternType="solid">
          <fgColor rgb="00C6E0B4"/>
        </patternFill>
      </fill>
    </dxf>
    <dxf>
      <fill>
        <patternFill patternType="solid">
          <fgColor rgb="00D9E1F2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8"/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32" customHeight="1">
      <c r="A1" s="1" t="inlineStr">
        <is>
          <t>성과평가지 양식 - 프로젝트영업</t>
        </is>
      </c>
    </row>
    <row r="2" ht="24" customHeight="1">
      <c r="A2" s="2" t="inlineStr">
        <is>
          <t>평가자는 등급(S/A/B/C/D)만 입력. 평가지에 BARS 평가기준이 포함되어 있어 즉시 참고 가능.</t>
        </is>
      </c>
    </row>
    <row r="4" ht="24" customHeight="1">
      <c r="A4" s="3" t="inlineStr">
        <is>
          <t>▶ 사용 방법</t>
        </is>
      </c>
    </row>
    <row r="5" ht="24" customHeight="1">
      <c r="A5" s="4" t="inlineStr">
        <is>
          <t>1) 평가 대상자의 역할등급에 맞는 양식 시트를 우클릭 → [시트 이동/복사 → 복사본 만들기]</t>
        </is>
      </c>
    </row>
    <row r="6" ht="24" customHeight="1">
      <c r="A6" s="4" t="inlineStr">
        <is>
          <t>2) 복사본 이름을 [평가_사번_성명]으로 변경</t>
        </is>
      </c>
    </row>
    <row r="7" ht="24" customHeight="1">
      <c r="A7" s="4" t="inlineStr">
        <is>
          <t>3) 평가 대상자·평가자 정보(주황셀) 입력</t>
        </is>
      </c>
    </row>
    <row r="8" ht="24" customHeight="1">
      <c r="A8" s="4" t="inlineStr">
        <is>
          <t>4) BARS 등급 기준을 참고하여 1·2차 평가자가 등급(S/A/B/C/D) 입력 (노란셀)</t>
        </is>
      </c>
    </row>
    <row r="9" ht="24" customHeight="1">
      <c r="A9" s="4" t="inlineStr">
        <is>
          <t>5) 직무역량 D열: 메인 책무 O, 비메인 X 표시</t>
        </is>
      </c>
    </row>
    <row r="10" ht="24" customHeight="1">
      <c r="A10" s="4" t="inlineStr">
        <is>
          <t>6) 하단 [복사용 입력 행] 7개 셀 통째 복사 → 통합시트 07a/07b의 G~M에 [값 붙여넣기]</t>
        </is>
      </c>
    </row>
    <row r="12" ht="24" customHeight="1">
      <c r="A12" s="3" t="inlineStr">
        <is>
          <t>▶ 평가 등급 체계 (BARS)</t>
        </is>
      </c>
    </row>
    <row r="13" ht="24" customHeight="1">
      <c r="A13" s="5" t="inlineStr">
        <is>
          <t>S (탁월)</t>
        </is>
      </c>
      <c r="B13" s="6" t="inlineStr">
        <is>
          <t>기대 현저히 초과. 모범 사례</t>
        </is>
      </c>
    </row>
    <row r="14" ht="24" customHeight="1">
      <c r="A14" s="7" t="inlineStr">
        <is>
          <t>A (우수)</t>
        </is>
      </c>
      <c r="B14" s="8" t="inlineStr">
        <is>
          <t>기대 상회. 자기주도적 성과</t>
        </is>
      </c>
    </row>
    <row r="15" ht="24" customHeight="1">
      <c r="A15" s="9" t="inlineStr">
        <is>
          <t>B (양호)</t>
        </is>
      </c>
      <c r="B15" s="10" t="inlineStr">
        <is>
          <t>기대 부합. 안정적 수행</t>
        </is>
      </c>
    </row>
    <row r="16" ht="24" customHeight="1">
      <c r="A16" s="11" t="inlineStr">
        <is>
          <t>C (미흡)</t>
        </is>
      </c>
      <c r="B16" s="12" t="inlineStr">
        <is>
          <t>부분 미흡. 추가 지도 필요</t>
        </is>
      </c>
    </row>
    <row r="17" ht="24" customHeight="1">
      <c r="A17" s="13" t="inlineStr">
        <is>
          <t>D (부족)</t>
        </is>
      </c>
      <c r="B17" s="14" t="inlineStr">
        <is>
          <t>전반 미흡. 근본 개선 필요</t>
        </is>
      </c>
    </row>
    <row r="19" ht="24" customHeight="1">
      <c r="A19" s="3" t="inlineStr">
        <is>
          <t>▶ 본 파일에 포함된 양식</t>
        </is>
      </c>
    </row>
    <row r="20">
      <c r="A20" s="15" t="inlineStr">
        <is>
          <t>역할등급</t>
        </is>
      </c>
      <c r="B20" s="15" t="inlineStr">
        <is>
          <t>역할명</t>
        </is>
      </c>
      <c r="C20" s="15" t="inlineStr">
        <is>
          <t>시트명</t>
        </is>
      </c>
    </row>
    <row r="21" ht="22" customHeight="1">
      <c r="A21" s="16" t="inlineStr">
        <is>
          <t>G6</t>
        </is>
      </c>
      <c r="B21" s="17" t="inlineStr">
        <is>
          <t>사업·조직 관리</t>
        </is>
      </c>
      <c r="C21" s="4" t="inlineStr">
        <is>
          <t>양식_프로젝트영업_G6</t>
        </is>
      </c>
    </row>
    <row r="22" ht="22" customHeight="1">
      <c r="A22" s="16" t="inlineStr">
        <is>
          <t>G5-M</t>
        </is>
      </c>
      <c r="B22" s="17" t="inlineStr">
        <is>
          <t>직무 관리(부서장)</t>
        </is>
      </c>
      <c r="C22" s="4" t="inlineStr">
        <is>
          <t>양식_프로젝트영업_G5-M</t>
        </is>
      </c>
    </row>
    <row r="23" ht="22" customHeight="1">
      <c r="A23" s="16" t="inlineStr">
        <is>
          <t>G5-S</t>
        </is>
      </c>
      <c r="B23" s="17" t="inlineStr">
        <is>
          <t>실무 스페셜리스트</t>
        </is>
      </c>
      <c r="C23" s="4" t="inlineStr">
        <is>
          <t>양식_프로젝트영업_G5-S</t>
        </is>
      </c>
    </row>
    <row r="24" ht="22" customHeight="1">
      <c r="A24" s="16" t="inlineStr">
        <is>
          <t>G4</t>
        </is>
      </c>
      <c r="B24" s="17" t="inlineStr">
        <is>
          <t>실무 책임(PM)</t>
        </is>
      </c>
      <c r="C24" s="4" t="inlineStr">
        <is>
          <t>양식_프로젝트영업_G4</t>
        </is>
      </c>
    </row>
    <row r="25" ht="22" customHeight="1">
      <c r="A25" s="16" t="inlineStr">
        <is>
          <t>G3</t>
        </is>
      </c>
      <c r="B25" s="17" t="inlineStr">
        <is>
          <t>핵심 실무</t>
        </is>
      </c>
      <c r="C25" s="4" t="inlineStr">
        <is>
          <t>양식_프로젝트영업_G3</t>
        </is>
      </c>
    </row>
    <row r="26" ht="22" customHeight="1">
      <c r="A26" s="16" t="inlineStr">
        <is>
          <t>G2</t>
        </is>
      </c>
      <c r="B26" s="17" t="inlineStr">
        <is>
          <t>실무</t>
        </is>
      </c>
      <c r="C26" s="4" t="inlineStr">
        <is>
          <t>양식_프로젝트영업_G2</t>
        </is>
      </c>
    </row>
    <row r="27" ht="22" customHeight="1">
      <c r="A27" s="16" t="inlineStr">
        <is>
          <t>G1</t>
        </is>
      </c>
      <c r="B27" s="17" t="inlineStr">
        <is>
          <t>실무 보조</t>
        </is>
      </c>
      <c r="C27" s="4" t="inlineStr">
        <is>
          <t>양식_프로젝트영업_G1</t>
        </is>
      </c>
    </row>
  </sheetData>
  <mergeCells count="24">
    <mergeCell ref="A7:I7"/>
    <mergeCell ref="C23:I23"/>
    <mergeCell ref="B16:I16"/>
    <mergeCell ref="A12:I12"/>
    <mergeCell ref="A2:I2"/>
    <mergeCell ref="A5:I5"/>
    <mergeCell ref="A8:I8"/>
    <mergeCell ref="B14:I14"/>
    <mergeCell ref="C24:I24"/>
    <mergeCell ref="A4:I4"/>
    <mergeCell ref="B17:I17"/>
    <mergeCell ref="B13:I13"/>
    <mergeCell ref="A19:I19"/>
    <mergeCell ref="A10:I10"/>
    <mergeCell ref="C26:I26"/>
    <mergeCell ref="C20:I20"/>
    <mergeCell ref="A9:I9"/>
    <mergeCell ref="C25:I25"/>
    <mergeCell ref="C22:I22"/>
    <mergeCell ref="B15:I15"/>
    <mergeCell ref="C21:I21"/>
    <mergeCell ref="A1:I1"/>
    <mergeCell ref="A6:I6"/>
    <mergeCell ref="C27:I2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70AD47"/>
    <outlinePr summaryBelow="1" summaryRight="1"/>
    <pageSetUpPr/>
  </sheetPr>
  <dimension ref="A1:I62"/>
  <sheetViews>
    <sheetView workbookViewId="0">
      <selection activeCell="A1" sqref="A1"/>
    </sheetView>
  </sheetViews>
  <sheetFormatPr baseColWidth="8" defaultRowHeight="15"/>
  <cols>
    <col width="6" customWidth="1" min="1" max="1"/>
    <col width="11" customWidth="1" min="2" max="2"/>
    <col width="22" customWidth="1" min="3" max="3"/>
    <col width="30" customWidth="1" min="4" max="4"/>
    <col width="32" customWidth="1" min="5" max="5"/>
    <col width="11" customWidth="1" min="6" max="6"/>
    <col width="11" customWidth="1" min="7" max="7"/>
    <col width="12" customWidth="1" min="8" max="8"/>
    <col width="12" customWidth="1" min="9" max="9"/>
  </cols>
  <sheetData>
    <row r="1" ht="30" customHeight="1">
      <c r="A1" s="1" t="inlineStr">
        <is>
          <t>성과평가지 양식 - 프로젝트영업 / G6 (사업·조직 관리)</t>
        </is>
      </c>
    </row>
    <row r="2" ht="22" customHeight="1">
      <c r="A2" s="2" t="inlineStr">
        <is>
          <t>1·2차 평가자가 등급(S/A/B/C/D)만 입력. 가중치는 통합관리시트에서 자동 처리.</t>
        </is>
      </c>
    </row>
    <row r="4" ht="24" customHeight="1">
      <c r="A4" s="3" t="inlineStr">
        <is>
          <t>▶ 평가 대상자 정보 (주황셀에 입력)</t>
        </is>
      </c>
    </row>
    <row r="5" ht="22" customHeight="1">
      <c r="A5" s="18" t="inlineStr">
        <is>
          <t>사번</t>
        </is>
      </c>
      <c r="B5" s="19" t="inlineStr"/>
      <c r="C5" s="18" t="inlineStr">
        <is>
          <t>성명</t>
        </is>
      </c>
      <c r="D5" s="19" t="inlineStr"/>
      <c r="E5" s="18" t="inlineStr">
        <is>
          <t>직군</t>
        </is>
      </c>
      <c r="F5" s="19" t="inlineStr"/>
      <c r="G5" s="18" t="inlineStr">
        <is>
          <t>부서</t>
        </is>
      </c>
      <c r="H5" s="19" t="inlineStr"/>
    </row>
    <row r="6" ht="22" customHeight="1">
      <c r="A6" s="18" t="inlineStr">
        <is>
          <t>기존직급</t>
        </is>
      </c>
      <c r="B6" s="19" t="inlineStr"/>
      <c r="C6" s="18" t="inlineStr">
        <is>
          <t>직무</t>
        </is>
      </c>
      <c r="D6" s="20" t="inlineStr">
        <is>
          <t>프로젝트영업</t>
        </is>
      </c>
      <c r="E6" s="18" t="inlineStr">
        <is>
          <t>역할등급</t>
        </is>
      </c>
      <c r="F6" s="20" t="inlineStr">
        <is>
          <t>G6</t>
        </is>
      </c>
      <c r="G6" s="18" t="inlineStr">
        <is>
          <t>역할명</t>
        </is>
      </c>
      <c r="H6" s="20" t="inlineStr">
        <is>
          <t>사업·조직 관리</t>
        </is>
      </c>
    </row>
    <row r="7" ht="24" customHeight="1">
      <c r="A7" s="3" t="inlineStr">
        <is>
          <t>▶ 평가자 정보 (주황셀에 입력)</t>
        </is>
      </c>
    </row>
    <row r="8" ht="24" customHeight="1">
      <c r="A8" s="15" t="inlineStr">
        <is>
          <t>구분</t>
        </is>
      </c>
      <c r="B8" s="15" t="inlineStr">
        <is>
          <t>사번</t>
        </is>
      </c>
      <c r="C8" s="15" t="inlineStr">
        <is>
          <t>성명</t>
        </is>
      </c>
      <c r="D8" s="15" t="inlineStr">
        <is>
          <t>직책</t>
        </is>
      </c>
      <c r="E8" s="15" t="inlineStr">
        <is>
          <t>부서</t>
        </is>
      </c>
      <c r="F8" s="15" t="inlineStr">
        <is>
          <t>이메일</t>
        </is>
      </c>
    </row>
    <row r="9" ht="24" customHeight="1">
      <c r="A9" s="21" t="inlineStr">
        <is>
          <t>1차 평가자 (직속상사)</t>
        </is>
      </c>
      <c r="B9" s="22" t="inlineStr"/>
      <c r="C9" s="22" t="inlineStr"/>
      <c r="D9" s="22" t="inlineStr"/>
      <c r="E9" s="22" t="inlineStr"/>
      <c r="F9" s="23" t="inlineStr"/>
    </row>
    <row r="10" ht="24" customHeight="1">
      <c r="A10" s="21" t="inlineStr">
        <is>
          <t>2차 평가자 (조정자)</t>
        </is>
      </c>
      <c r="B10" s="22" t="inlineStr"/>
      <c r="C10" s="22" t="inlineStr"/>
      <c r="D10" s="22" t="inlineStr"/>
      <c r="E10" s="22" t="inlineStr"/>
      <c r="F10" s="23" t="inlineStr"/>
    </row>
    <row r="11" ht="24" customHeight="1">
      <c r="A11" s="21" t="inlineStr">
        <is>
          <t>평가 차수</t>
        </is>
      </c>
      <c r="B11" s="24" t="inlineStr">
        <is>
          <t>상반기</t>
        </is>
      </c>
      <c r="C11" s="21" t="inlineStr">
        <is>
          <t>평가 완료일</t>
        </is>
      </c>
      <c r="D11" s="22" t="inlineStr"/>
    </row>
    <row r="13" ht="26" customHeight="1">
      <c r="A13" s="25" t="inlineStr">
        <is>
          <t>▶ ① 역할평가 — 5개 BARS 항목</t>
        </is>
      </c>
    </row>
    <row r="14" ht="38" customHeight="1">
      <c r="A14" s="26" t="inlineStr">
        <is>
          <t>역할 정의</t>
        </is>
      </c>
      <c r="B14" s="27" t="inlineStr">
        <is>
          <t>회사의 비전·중장기 전략을 총괄하며, 전사 의사결정·대외 협력·리스크 관리를 주도.</t>
        </is>
      </c>
    </row>
    <row r="15" ht="28" customHeight="1">
      <c r="A15" s="28" t="inlineStr">
        <is>
          <t>No.</t>
        </is>
      </c>
      <c r="B15" s="28" t="inlineStr">
        <is>
          <t>평가항목</t>
        </is>
      </c>
      <c r="C15" s="28" t="inlineStr">
        <is>
          <t>평가 기준</t>
        </is>
      </c>
      <c r="D15" s="28" t="inlineStr">
        <is>
          <t>S/A/B/C/D 등급 기준</t>
        </is>
      </c>
      <c r="E15" s="28" t="inlineStr">
        <is>
          <t>1차</t>
        </is>
      </c>
      <c r="F15" s="28" t="inlineStr">
        <is>
          <t>2차</t>
        </is>
      </c>
      <c r="G15" s="28" t="inlineStr">
        <is>
          <t>평균(참고)</t>
        </is>
      </c>
    </row>
    <row r="16" ht="90" customHeight="1">
      <c r="A16" s="26" t="inlineStr">
        <is>
          <t>R-1</t>
        </is>
      </c>
      <c r="B16" s="17" t="inlineStr">
        <is>
          <t>책임범위 이행도</t>
        </is>
      </c>
      <c r="C16" s="29" t="inlineStr">
        <is>
          <t>역할등급에 부합하는 책임 범위 내 업무 수행</t>
        </is>
      </c>
      <c r="D16" s="30" t="inlineStr">
        <is>
          <t>S  기대 현저히 초과
A  기대 상회
B  기대 부합
C  부분 미흡
D  전반 미흡</t>
        </is>
      </c>
      <c r="E16" s="31" t="inlineStr"/>
      <c r="F16" s="31" t="inlineStr"/>
      <c r="G16" s="32">
        <f>IFERROR(IF(AND(E16&lt;&gt;"",F16&lt;&gt;""),(IF(E16="S",5,IF(E16="A",4,IF(E16="B",3,IF(E16="C",2,IF(E16="D",1,0)))))+IF(F16="S",5,IF(F16="A",4,IF(F16="B",3,IF(F16="C",2,IF(F16="D",1,0))))))/2,IF(E16&lt;&gt;"",IF(E16="S",5,IF(E16="A",4,IF(E16="B",3,IF(E16="C",2,IF(E16="D",1,0))))),IF(F16&lt;&gt;"",IF(F16="S",5,IF(F16="A",4,IF(F16="B",3,IF(F16="C",2,IF(F16="D",1,0))))),""))),"")</f>
        <v/>
      </c>
    </row>
    <row r="17" ht="90" customHeight="1">
      <c r="A17" s="26" t="inlineStr">
        <is>
          <t>R-2</t>
        </is>
      </c>
      <c r="B17" s="17" t="inlineStr">
        <is>
          <t>의사결정 적절성</t>
        </is>
      </c>
      <c r="C17" s="29" t="inlineStr">
        <is>
          <t>권한 수준 내 시의적절·합리적 의사결정</t>
        </is>
      </c>
      <c r="D17" s="30" t="inlineStr">
        <is>
          <t>S  기대 현저히 초과
A  기대 상회
B  기대 부합
C  부분 미흡
D  전반 미흡</t>
        </is>
      </c>
      <c r="E17" s="31" t="inlineStr"/>
      <c r="F17" s="31" t="inlineStr"/>
      <c r="G17" s="32">
        <f>IFERROR(IF(AND(E17&lt;&gt;"",F17&lt;&gt;""),(IF(E17="S",5,IF(E17="A",4,IF(E17="B",3,IF(E17="C",2,IF(E17="D",1,0)))))+IF(F17="S",5,IF(F17="A",4,IF(F17="B",3,IF(F17="C",2,IF(F17="D",1,0))))))/2,IF(E17&lt;&gt;"",IF(E17="S",5,IF(E17="A",4,IF(E17="B",3,IF(E17="C",2,IF(E17="D",1,0))))),IF(F17&lt;&gt;"",IF(F17="S",5,IF(F17="A",4,IF(F17="B",3,IF(F17="C",2,IF(F17="D",1,0))))),""))),"")</f>
        <v/>
      </c>
    </row>
    <row r="18" ht="90" customHeight="1">
      <c r="A18" s="26" t="inlineStr">
        <is>
          <t>R-3</t>
        </is>
      </c>
      <c r="B18" s="17" t="inlineStr">
        <is>
          <t>성과 기여도</t>
        </is>
      </c>
      <c r="C18" s="29" t="inlineStr">
        <is>
          <t>조직·프로젝트 목표 달성에 정량적 기여</t>
        </is>
      </c>
      <c r="D18" s="30" t="inlineStr">
        <is>
          <t>S  기대 현저히 초과
A  기대 상회
B  기대 부합
C  부분 미흡
D  전반 미흡</t>
        </is>
      </c>
      <c r="E18" s="31" t="inlineStr"/>
      <c r="F18" s="31" t="inlineStr"/>
      <c r="G18" s="32">
        <f>IFERROR(IF(AND(E18&lt;&gt;"",F18&lt;&gt;""),(IF(E18="S",5,IF(E18="A",4,IF(E18="B",3,IF(E18="C",2,IF(E18="D",1,0)))))+IF(F18="S",5,IF(F18="A",4,IF(F18="B",3,IF(F18="C",2,IF(F18="D",1,0))))))/2,IF(E18&lt;&gt;"",IF(E18="S",5,IF(E18="A",4,IF(E18="B",3,IF(E18="C",2,IF(E18="D",1,0))))),IF(F18&lt;&gt;"",IF(F18="S",5,IF(F18="A",4,IF(F18="B",3,IF(F18="C",2,IF(F18="D",1,0))))),""))),"")</f>
        <v/>
      </c>
    </row>
    <row r="19" ht="90" customHeight="1">
      <c r="A19" s="26" t="inlineStr">
        <is>
          <t>R-4</t>
        </is>
      </c>
      <c r="B19" s="17" t="inlineStr">
        <is>
          <t>조직 후배 코칭</t>
        </is>
      </c>
      <c r="C19" s="29" t="inlineStr">
        <is>
          <t>상·하위 역할과 효과적 협업 및 후배 코칭</t>
        </is>
      </c>
      <c r="D19" s="30" t="inlineStr">
        <is>
          <t>S  기대 현저히 초과
A  기대 상회
B  기대 부합
C  부분 미흡
D  전반 미흡</t>
        </is>
      </c>
      <c r="E19" s="31" t="inlineStr"/>
      <c r="F19" s="31" t="inlineStr"/>
      <c r="G19" s="32">
        <f>IFERROR(IF(AND(E19&lt;&gt;"",F19&lt;&gt;""),(IF(E19="S",5,IF(E19="A",4,IF(E19="B",3,IF(E19="C",2,IF(E19="D",1,0)))))+IF(F19="S",5,IF(F19="A",4,IF(F19="B",3,IF(F19="C",2,IF(F19="D",1,0))))))/2,IF(E19&lt;&gt;"",IF(E19="S",5,IF(E19="A",4,IF(E19="B",3,IF(E19="C",2,IF(E19="D",1,0))))),IF(F19&lt;&gt;"",IF(F19="S",5,IF(F19="A",4,IF(F19="B",3,IF(F19="C",2,IF(F19="D",1,0))))),""))),"")</f>
        <v/>
      </c>
    </row>
    <row r="20" ht="90" customHeight="1">
      <c r="A20" s="26" t="inlineStr">
        <is>
          <t>R-5</t>
        </is>
      </c>
      <c r="B20" s="17" t="inlineStr">
        <is>
          <t>산출물 완성도</t>
        </is>
      </c>
      <c r="C20" s="29" t="inlineStr">
        <is>
          <t>산출물 품질과 기한 준수</t>
        </is>
      </c>
      <c r="D20" s="30" t="inlineStr">
        <is>
          <t>S  기대 현저히 초과
A  기대 상회
B  기대 부합
C  부분 미흡
D  전반 미흡</t>
        </is>
      </c>
      <c r="E20" s="31" t="inlineStr"/>
      <c r="F20" s="31" t="inlineStr"/>
      <c r="G20" s="32">
        <f>IFERROR(IF(AND(E20&lt;&gt;"",F20&lt;&gt;""),(IF(E20="S",5,IF(E20="A",4,IF(E20="B",3,IF(E20="C",2,IF(E20="D",1,0)))))+IF(F20="S",5,IF(F20="A",4,IF(F20="B",3,IF(F20="C",2,IF(F20="D",1,0))))))/2,IF(E20&lt;&gt;"",IF(E20="S",5,IF(E20="A",4,IF(E20="B",3,IF(E20="C",2,IF(E20="D",1,0))))),IF(F20&lt;&gt;"",IF(F20="S",5,IF(F20="A",4,IF(F20="B",3,IF(F20="C",2,IF(F20="D",1,0))))),""))),"")</f>
        <v/>
      </c>
    </row>
    <row r="21" ht="24" customHeight="1">
      <c r="A21" s="33" t="inlineStr">
        <is>
          <t>1차 평가자 역할 종합 (5개 평균)</t>
        </is>
      </c>
      <c r="E21" s="34">
        <f>IFERROR((IF(E16="S",5,IF(E16="A",4,IF(E16="B",3,IF(E16="C",2,IF(E16="D",1,0)))))+IF(E17="S",5,IF(E17="A",4,IF(E17="B",3,IF(E17="C",2,IF(E17="D",1,0)))))+IF(E18="S",5,IF(E18="A",4,IF(E18="B",3,IF(E18="C",2,IF(E18="D",1,0)))))+IF(E19="S",5,IF(E19="A",4,IF(E19="B",3,IF(E19="C",2,IF(E19="D",1,0)))))+IF(E20="S",5,IF(E20="A",4,IF(E20="B",3,IF(E20="C",2,IF(E20="D",1,0))))))/5,"")</f>
        <v/>
      </c>
      <c r="F21" s="35" t="inlineStr">
        <is>
          <t>→ 등급</t>
        </is>
      </c>
      <c r="G21" s="36">
        <f>IF(E21="","",IF(E21&gt;=4.5,"S",IF(E21&gt;=3.5,"A",IF(E21&gt;=2.5,"B",IF(E21&gt;=1.5,"C","D")))))</f>
        <v/>
      </c>
    </row>
    <row r="22" ht="24" customHeight="1">
      <c r="A22" s="33" t="inlineStr">
        <is>
          <t>2차 평가자 역할 종합 (5개 평균)</t>
        </is>
      </c>
      <c r="E22" s="34">
        <f>IFERROR((IF(F16="S",5,IF(F16="A",4,IF(F16="B",3,IF(F16="C",2,IF(F16="D",1,0)))))+IF(F17="S",5,IF(F17="A",4,IF(F17="B",3,IF(F17="C",2,IF(F17="D",1,0)))))+IF(F18="S",5,IF(F18="A",4,IF(F18="B",3,IF(F18="C",2,IF(F18="D",1,0)))))+IF(F19="S",5,IF(F19="A",4,IF(F19="B",3,IF(F19="C",2,IF(F19="D",1,0)))))+IF(F20="S",5,IF(F20="A",4,IF(F20="B",3,IF(F20="C",2,IF(F20="D",1,0))))))/5,"")</f>
        <v/>
      </c>
      <c r="F22" s="35" t="inlineStr">
        <is>
          <t>→ 등급</t>
        </is>
      </c>
      <c r="G22" s="36">
        <f>IF(E22="","",IF(E22&gt;=4.5,"S",IF(E22&gt;=3.5,"A",IF(E22&gt;=2.5,"B",IF(E22&gt;=1.5,"C","D")))))</f>
        <v/>
      </c>
    </row>
    <row r="24" ht="26" customHeight="1">
      <c r="A24" s="37" t="inlineStr">
        <is>
          <t>▶ ② 공통역량평가 — 11개 (★ S/A/B/C/D 평가기준 포함)</t>
        </is>
      </c>
    </row>
    <row r="25" ht="28" customHeight="1">
      <c r="A25" s="28" t="inlineStr">
        <is>
          <t>No.</t>
        </is>
      </c>
      <c r="B25" s="28" t="inlineStr">
        <is>
          <t>역량군</t>
        </is>
      </c>
      <c r="C25" s="28" t="inlineStr">
        <is>
          <t>핵심 역량</t>
        </is>
      </c>
      <c r="D25" s="28" t="inlineStr">
        <is>
          <t>평가 기준</t>
        </is>
      </c>
      <c r="E25" s="28" t="inlineStr">
        <is>
          <t>S/A/B/C/D 등급 기준</t>
        </is>
      </c>
      <c r="F25" s="28" t="inlineStr">
        <is>
          <t>1차</t>
        </is>
      </c>
      <c r="G25" s="28" t="inlineStr">
        <is>
          <t>2차</t>
        </is>
      </c>
      <c r="H25" s="28" t="inlineStr">
        <is>
          <t>평균(참고)</t>
        </is>
      </c>
    </row>
    <row r="26" ht="100" customHeight="1">
      <c r="A26" s="2" t="inlineStr">
        <is>
          <t>C-1</t>
        </is>
      </c>
      <c r="B26" s="2" t="inlineStr">
        <is>
          <t>업무</t>
        </is>
      </c>
      <c r="C26" s="17" t="inlineStr">
        <is>
          <t>직무 전문성</t>
        </is>
      </c>
      <c r="D26" s="29" t="inlineStr">
        <is>
          <t>직무에 필요한 전문 지식 및 기술 보유, 실무 적용</t>
        </is>
      </c>
      <c r="E26" s="30" t="inlineStr">
        <is>
          <t>S  고급 지식과 숙련도, 타 부서 교육 가능
A  최신 트렌드 반영, 실무에 적절 활용
B  일반 수준 이해 및 적용
C  일부 기술 이해, 개선 필요
D  지식 부족, 실무 반영 어려움</t>
        </is>
      </c>
      <c r="F26" s="31" t="inlineStr"/>
      <c r="G26" s="31" t="inlineStr"/>
      <c r="H26" s="32">
        <f>IFERROR(IF(AND(F26&lt;&gt;"",G26&lt;&gt;""),(IF(F26="S",5,IF(F26="A",4,IF(F26="B",3,IF(F26="C",2,IF(F26="D",1,0)))))+IF(G26="S",5,IF(G26="A",4,IF(G26="B",3,IF(G26="C",2,IF(G26="D",1,0))))))/2,IF(F26&lt;&gt;"",IF(F26="S",5,IF(F26="A",4,IF(F26="B",3,IF(F26="C",2,IF(F26="D",1,0))))),IF(G26&lt;&gt;"",IF(G26="S",5,IF(G26="A",4,IF(G26="B",3,IF(G26="C",2,IF(G26="D",1,0))))),""))),"")</f>
        <v/>
      </c>
    </row>
    <row r="27" ht="100" customHeight="1">
      <c r="A27" s="2" t="inlineStr">
        <is>
          <t>C-2</t>
        </is>
      </c>
      <c r="B27" s="2" t="inlineStr">
        <is>
          <t>업무</t>
        </is>
      </c>
      <c r="C27" s="17" t="inlineStr">
        <is>
          <t>분석력</t>
        </is>
      </c>
      <c r="D27" s="29" t="inlineStr">
        <is>
          <t>데이터·수치 기반 사고로 업무 효율 향상</t>
        </is>
      </c>
      <c r="E27" s="30" t="inlineStr">
        <is>
          <t>S  데이터 기반 전략 도출 가능
A  분석 후 결과 활용 능숙
B  기본적 분석 및 간단한 적용 가능
C  기본 해석은 가능하나 활용 미흡
D  자료 해석 불가, 의사결정 어려움</t>
        </is>
      </c>
      <c r="F27" s="31" t="inlineStr"/>
      <c r="G27" s="31" t="inlineStr"/>
      <c r="H27" s="32">
        <f>IFERROR(IF(AND(F27&lt;&gt;"",G27&lt;&gt;""),(IF(F27="S",5,IF(F27="A",4,IF(F27="B",3,IF(F27="C",2,IF(F27="D",1,0)))))+IF(G27="S",5,IF(G27="A",4,IF(G27="B",3,IF(G27="C",2,IF(G27="D",1,0))))))/2,IF(F27&lt;&gt;"",IF(F27="S",5,IF(F27="A",4,IF(F27="B",3,IF(F27="C",2,IF(F27="D",1,0))))),IF(G27&lt;&gt;"",IF(G27="S",5,IF(G27="A",4,IF(G27="B",3,IF(G27="C",2,IF(G27="D",1,0))))),""))),"")</f>
        <v/>
      </c>
    </row>
    <row r="28" ht="100" customHeight="1">
      <c r="A28" s="2" t="inlineStr">
        <is>
          <t>C-3</t>
        </is>
      </c>
      <c r="B28" s="2" t="inlineStr">
        <is>
          <t>업무</t>
        </is>
      </c>
      <c r="C28" s="17" t="inlineStr">
        <is>
          <t>기획/실행력</t>
        </is>
      </c>
      <c r="D28" s="29" t="inlineStr">
        <is>
          <t>목표 설정·계획 수립·체계적 실행 능력</t>
        </is>
      </c>
      <c r="E28" s="30" t="inlineStr">
        <is>
          <t>S  스스로 목표 수립 및 조직 리딩 가능
A  계획 수립 능력 우수 및 실행 일관성
B  일반적 목표 수립 및 실현 가능
C  실행 계획 일부 있으나 체계 부족
D  목표 설정 부정확, 실행력 부족</t>
        </is>
      </c>
      <c r="F28" s="31" t="inlineStr"/>
      <c r="G28" s="31" t="inlineStr"/>
      <c r="H28" s="32">
        <f>IFERROR(IF(AND(F28&lt;&gt;"",G28&lt;&gt;""),(IF(F28="S",5,IF(F28="A",4,IF(F28="B",3,IF(F28="C",2,IF(F28="D",1,0)))))+IF(G28="S",5,IF(G28="A",4,IF(G28="B",3,IF(G28="C",2,IF(G28="D",1,0))))))/2,IF(F28&lt;&gt;"",IF(F28="S",5,IF(F28="A",4,IF(F28="B",3,IF(F28="C",2,IF(F28="D",1,0))))),IF(G28&lt;&gt;"",IF(G28="S",5,IF(G28="A",4,IF(G28="B",3,IF(G28="C",2,IF(G28="D",1,0))))),""))),"")</f>
        <v/>
      </c>
    </row>
    <row r="29" ht="100" customHeight="1">
      <c r="A29" s="2" t="inlineStr">
        <is>
          <t>C-4</t>
        </is>
      </c>
      <c r="B29" s="2" t="inlineStr">
        <is>
          <t>조직</t>
        </is>
      </c>
      <c r="C29" s="17" t="inlineStr">
        <is>
          <t>자원·시간 관리</t>
        </is>
      </c>
      <c r="D29" s="29" t="inlineStr">
        <is>
          <t>업무 우선순위 설정 및 시간 내 효과적 완수</t>
        </is>
      </c>
      <c r="E29" s="30" t="inlineStr">
        <is>
          <t>S  다중 과제 효율 배분, 시간관리 탁월
A  업무 효율성 높고 우선순위 명확
B  일반 수준 일정 조율 가능
C  마감 어려움, 우선순위 혼란
D  업무 지연 잦고 계획 없음</t>
        </is>
      </c>
      <c r="F29" s="31" t="inlineStr"/>
      <c r="G29" s="31" t="inlineStr"/>
      <c r="H29" s="32">
        <f>IFERROR(IF(AND(F29&lt;&gt;"",G29&lt;&gt;""),(IF(F29="S",5,IF(F29="A",4,IF(F29="B",3,IF(F29="C",2,IF(F29="D",1,0)))))+IF(G29="S",5,IF(G29="A",4,IF(G29="B",3,IF(G29="C",2,IF(G29="D",1,0))))))/2,IF(F29&lt;&gt;"",IF(F29="S",5,IF(F29="A",4,IF(F29="B",3,IF(F29="C",2,IF(F29="D",1,0))))),IF(G29&lt;&gt;"",IF(G29="S",5,IF(G29="A",4,IF(G29="B",3,IF(G29="C",2,IF(G29="D",1,0))))),""))),"")</f>
        <v/>
      </c>
    </row>
    <row r="30" ht="100" customHeight="1">
      <c r="A30" s="2" t="inlineStr">
        <is>
          <t>C-5</t>
        </is>
      </c>
      <c r="B30" s="2" t="inlineStr">
        <is>
          <t>조직</t>
        </is>
      </c>
      <c r="C30" s="17" t="inlineStr">
        <is>
          <t>협업 능력</t>
        </is>
      </c>
      <c r="D30" s="29" t="inlineStr">
        <is>
          <t>팀·타 부서와의 협업 태도, 정보 공유</t>
        </is>
      </c>
      <c r="E30" s="30" t="inlineStr">
        <is>
          <t>S  타 부서와의 시너지 창출
A  정보 공유, 원활한 협업
B  공동목표 수용 및 일부 협력
C  소극적 협조, 갈등 유발
D  협력 거부, 독단적 태도</t>
        </is>
      </c>
      <c r="F30" s="31" t="inlineStr"/>
      <c r="G30" s="31" t="inlineStr"/>
      <c r="H30" s="32">
        <f>IFERROR(IF(AND(F30&lt;&gt;"",G30&lt;&gt;""),(IF(F30="S",5,IF(F30="A",4,IF(F30="B",3,IF(F30="C",2,IF(F30="D",1,0)))))+IF(G30="S",5,IF(G30="A",4,IF(G30="B",3,IF(G30="C",2,IF(G30="D",1,0))))))/2,IF(F30&lt;&gt;"",IF(F30="S",5,IF(F30="A",4,IF(F30="B",3,IF(F30="C",2,IF(F30="D",1,0))))),IF(G30&lt;&gt;"",IF(G30="S",5,IF(G30="A",4,IF(G30="B",3,IF(G30="C",2,IF(G30="D",1,0))))),""))),"")</f>
        <v/>
      </c>
    </row>
    <row r="31" ht="100" customHeight="1">
      <c r="A31" s="2" t="inlineStr">
        <is>
          <t>C-6</t>
        </is>
      </c>
      <c r="B31" s="2" t="inlineStr">
        <is>
          <t>조직</t>
        </is>
      </c>
      <c r="C31" s="17" t="inlineStr">
        <is>
          <t>소통 능력</t>
        </is>
      </c>
      <c r="D31" s="29" t="inlineStr">
        <is>
          <t>명확한 의사 전달·경청·효과적 커뮤니케이션</t>
        </is>
      </c>
      <c r="E31" s="30" t="inlineStr">
        <is>
          <t>S  갈등 중재 및 공감능력 우수
A  정확한 의사 전달 및 경청
B  피드백 수용 및 전달 가능
C  소통 시 불편 유발
D  일방적 주장, 피드백 거부</t>
        </is>
      </c>
      <c r="F31" s="31" t="inlineStr"/>
      <c r="G31" s="31" t="inlineStr"/>
      <c r="H31" s="32">
        <f>IFERROR(IF(AND(F31&lt;&gt;"",G31&lt;&gt;""),(IF(F31="S",5,IF(F31="A",4,IF(F31="B",3,IF(F31="C",2,IF(F31="D",1,0)))))+IF(G31="S",5,IF(G31="A",4,IF(G31="B",3,IF(G31="C",2,IF(G31="D",1,0))))))/2,IF(F31&lt;&gt;"",IF(F31="S",5,IF(F31="A",4,IF(F31="B",3,IF(F31="C",2,IF(F31="D",1,0))))),IF(G31&lt;&gt;"",IF(G31="S",5,IF(G31="A",4,IF(G31="B",3,IF(G31="C",2,IF(G31="D",1,0))))),""))),"")</f>
        <v/>
      </c>
    </row>
    <row r="32" ht="100" customHeight="1">
      <c r="A32" s="2" t="inlineStr">
        <is>
          <t>C-7</t>
        </is>
      </c>
      <c r="B32" s="2" t="inlineStr">
        <is>
          <t>인성</t>
        </is>
      </c>
      <c r="C32" s="17" t="inlineStr">
        <is>
          <t>윤리/책임감</t>
        </is>
      </c>
      <c r="D32" s="29" t="inlineStr">
        <is>
          <t>공정·투명한 절차, 책임감 있는 업무</t>
        </is>
      </c>
      <c r="E32" s="30" t="inlineStr">
        <is>
          <t>S  모범적 자세, 조직문화 선도
A  조직 규범 내 성실 수행
B  기본 책임 수행
C  책임 회피 경향
D  무책임, 규정 무시</t>
        </is>
      </c>
      <c r="F32" s="31" t="inlineStr"/>
      <c r="G32" s="31" t="inlineStr"/>
      <c r="H32" s="32">
        <f>IFERROR(IF(AND(F32&lt;&gt;"",G32&lt;&gt;""),(IF(F32="S",5,IF(F32="A",4,IF(F32="B",3,IF(F32="C",2,IF(F32="D",1,0)))))+IF(G32="S",5,IF(G32="A",4,IF(G32="B",3,IF(G32="C",2,IF(G32="D",1,0))))))/2,IF(F32&lt;&gt;"",IF(F32="S",5,IF(F32="A",4,IF(F32="B",3,IF(F32="C",2,IF(F32="D",1,0))))),IF(G32&lt;&gt;"",IF(G32="S",5,IF(G32="A",4,IF(G32="B",3,IF(G32="C",2,IF(G32="D",1,0))))),""))),"")</f>
        <v/>
      </c>
    </row>
    <row r="33" ht="100" customHeight="1">
      <c r="A33" s="2" t="inlineStr">
        <is>
          <t>C-8</t>
        </is>
      </c>
      <c r="B33" s="2" t="inlineStr">
        <is>
          <t>인성</t>
        </is>
      </c>
      <c r="C33" s="17" t="inlineStr">
        <is>
          <t>업무 태도</t>
        </is>
      </c>
      <c r="D33" s="29" t="inlineStr">
        <is>
          <t>성실·주도적 태도, 변화 유연성</t>
        </is>
      </c>
      <c r="E33" s="30" t="inlineStr">
        <is>
          <t>S  문제 해결 중심의 선도적 자세
A  책임감, 적극적 태도
B  일정 주도성 보임
C  소극적, 피동적 태도
D  수동적, 지시 없이는 행동 안 함</t>
        </is>
      </c>
      <c r="F33" s="31" t="inlineStr"/>
      <c r="G33" s="31" t="inlineStr"/>
      <c r="H33" s="32">
        <f>IFERROR(IF(AND(F33&lt;&gt;"",G33&lt;&gt;""),(IF(F33="S",5,IF(F33="A",4,IF(F33="B",3,IF(F33="C",2,IF(F33="D",1,0)))))+IF(G33="S",5,IF(G33="A",4,IF(G33="B",3,IF(G33="C",2,IF(G33="D",1,0))))))/2,IF(F33&lt;&gt;"",IF(F33="S",5,IF(F33="A",4,IF(F33="B",3,IF(F33="C",2,IF(F33="D",1,0))))),IF(G33&lt;&gt;"",IF(G33="S",5,IF(G33="A",4,IF(G33="B",3,IF(G33="C",2,IF(G33="D",1,0))))),""))),"")</f>
        <v/>
      </c>
    </row>
    <row r="34" ht="100" customHeight="1">
      <c r="A34" s="2" t="inlineStr">
        <is>
          <t>C-9</t>
        </is>
      </c>
      <c r="B34" s="2" t="inlineStr">
        <is>
          <t>미래</t>
        </is>
      </c>
      <c r="C34" s="17" t="inlineStr">
        <is>
          <t>혁신 역량</t>
        </is>
      </c>
      <c r="D34" s="29" t="inlineStr">
        <is>
          <t>AI·자동화 등 최신 기술의 실무 접목</t>
        </is>
      </c>
      <c r="E34" s="30" t="inlineStr">
        <is>
          <t>S  혁신적 아이디어 제시 및 실현
A  적극 활용하여 효율성 제고
B  일상적 업무에 도구 활용
C  부분적 기능 사용
D  기술 활용 거의 없음</t>
        </is>
      </c>
      <c r="F34" s="31" t="inlineStr"/>
      <c r="G34" s="31" t="inlineStr"/>
      <c r="H34" s="32">
        <f>IFERROR(IF(AND(F34&lt;&gt;"",G34&lt;&gt;""),(IF(F34="S",5,IF(F34="A",4,IF(F34="B",3,IF(F34="C",2,IF(F34="D",1,0)))))+IF(G34="S",5,IF(G34="A",4,IF(G34="B",3,IF(G34="C",2,IF(G34="D",1,0))))))/2,IF(F34&lt;&gt;"",IF(F34="S",5,IF(F34="A",4,IF(F34="B",3,IF(F34="C",2,IF(F34="D",1,0))))),IF(G34&lt;&gt;"",IF(G34="S",5,IF(G34="A",4,IF(G34="B",3,IF(G34="C",2,IF(G34="D",1,0))))),""))),"")</f>
        <v/>
      </c>
    </row>
    <row r="35" ht="100" customHeight="1">
      <c r="A35" s="2" t="inlineStr">
        <is>
          <t>C-10</t>
        </is>
      </c>
      <c r="B35" s="2" t="inlineStr">
        <is>
          <t>미래</t>
        </is>
      </c>
      <c r="C35" s="17" t="inlineStr">
        <is>
          <t>프로세스 개선</t>
        </is>
      </c>
      <c r="D35" s="29" t="inlineStr">
        <is>
          <t>업무 절차 분석 및 비효율 개선</t>
        </is>
      </c>
      <c r="E35" s="30" t="inlineStr">
        <is>
          <t>S  제안 실행까지 주도함
A  능동적 개선 제안
B  개선의 필요성 인식
C  타인이 해야 할 일로 인식
D  개선 의지 없음</t>
        </is>
      </c>
      <c r="F35" s="31" t="inlineStr"/>
      <c r="G35" s="31" t="inlineStr"/>
      <c r="H35" s="32">
        <f>IFERROR(IF(AND(F35&lt;&gt;"",G35&lt;&gt;""),(IF(F35="S",5,IF(F35="A",4,IF(F35="B",3,IF(F35="C",2,IF(F35="D",1,0)))))+IF(G35="S",5,IF(G35="A",4,IF(G35="B",3,IF(G35="C",2,IF(G35="D",1,0))))))/2,IF(F35&lt;&gt;"",IF(F35="S",5,IF(F35="A",4,IF(F35="B",3,IF(F35="C",2,IF(F35="D",1,0))))),IF(G35&lt;&gt;"",IF(G35="S",5,IF(G35="A",4,IF(G35="B",3,IF(G35="C",2,IF(G35="D",1,0))))),""))),"")</f>
        <v/>
      </c>
    </row>
    <row r="36" ht="100" customHeight="1">
      <c r="A36" s="2" t="inlineStr">
        <is>
          <t>C-11</t>
        </is>
      </c>
      <c r="B36" s="2" t="inlineStr">
        <is>
          <t>미래</t>
        </is>
      </c>
      <c r="C36" s="17" t="inlineStr">
        <is>
          <t>지속가능 기여</t>
        </is>
      </c>
      <c r="D36" s="29" t="inlineStr">
        <is>
          <t>장기적 성과 향상·조직 기여</t>
        </is>
      </c>
      <c r="E36" s="30" t="inlineStr">
        <is>
          <t>S  성과 리딩 및 지속 성과 도출
A  개인 및 팀 성과 기여
B  기본 수준의 성과
C  성과 불명확, 기여 낮음
D  성과 없음, 소극적 태도</t>
        </is>
      </c>
      <c r="F36" s="31" t="inlineStr"/>
      <c r="G36" s="31" t="inlineStr"/>
      <c r="H36" s="32">
        <f>IFERROR(IF(AND(F36&lt;&gt;"",G36&lt;&gt;""),(IF(F36="S",5,IF(F36="A",4,IF(F36="B",3,IF(F36="C",2,IF(F36="D",1,0)))))+IF(G36="S",5,IF(G36="A",4,IF(G36="B",3,IF(G36="C",2,IF(G36="D",1,0))))))/2,IF(F36&lt;&gt;"",IF(F36="S",5,IF(F36="A",4,IF(F36="B",3,IF(F36="C",2,IF(F36="D",1,0))))),IF(G36&lt;&gt;"",IF(G36="S",5,IF(G36="A",4,IF(G36="B",3,IF(G36="C",2,IF(G36="D",1,0))))),""))),"")</f>
        <v/>
      </c>
    </row>
    <row r="37" ht="24" customHeight="1">
      <c r="A37" s="38" t="inlineStr">
        <is>
          <t>1차 평가자 공통역량 종합 (11개 단순 평균)</t>
        </is>
      </c>
      <c r="F37" s="34">
        <f>IFERROR((IF(F26="S",5,IF(F26="A",4,IF(F26="B",3,IF(F26="C",2,IF(F26="D",1,0)))))+IF(F27="S",5,IF(F27="A",4,IF(F27="B",3,IF(F27="C",2,IF(F27="D",1,0)))))+IF(F28="S",5,IF(F28="A",4,IF(F28="B",3,IF(F28="C",2,IF(F28="D",1,0)))))+IF(F29="S",5,IF(F29="A",4,IF(F29="B",3,IF(F29="C",2,IF(F29="D",1,0)))))+IF(F30="S",5,IF(F30="A",4,IF(F30="B",3,IF(F30="C",2,IF(F30="D",1,0)))))+IF(F31="S",5,IF(F31="A",4,IF(F31="B",3,IF(F31="C",2,IF(F31="D",1,0)))))+IF(F32="S",5,IF(F32="A",4,IF(F32="B",3,IF(F32="C",2,IF(F32="D",1,0)))))+IF(F33="S",5,IF(F33="A",4,IF(F33="B",3,IF(F33="C",2,IF(F33="D",1,0)))))+IF(F34="S",5,IF(F34="A",4,IF(F34="B",3,IF(F34="C",2,IF(F34="D",1,0)))))+IF(F35="S",5,IF(F35="A",4,IF(F35="B",3,IF(F35="C",2,IF(F35="D",1,0)))))+IF(F36="S",5,IF(F36="A",4,IF(F36="B",3,IF(F36="C",2,IF(F36="D",1,0))))))/11,"")</f>
        <v/>
      </c>
      <c r="G37" s="35" t="inlineStr">
        <is>
          <t>→ 등급</t>
        </is>
      </c>
      <c r="H37" s="36">
        <f>IF(F37="","",IF(F37&gt;=4.5,"S",IF(F37&gt;=3.5,"A",IF(F37&gt;=2.5,"B",IF(F37&gt;=1.5,"C","D")))))</f>
        <v/>
      </c>
    </row>
    <row r="38" ht="24" customHeight="1">
      <c r="A38" s="38" t="inlineStr">
        <is>
          <t>2차 평가자 공통역량 종합 (11개 단순 평균)</t>
        </is>
      </c>
      <c r="F38" s="34">
        <f>IFERROR((IF(G26="S",5,IF(G26="A",4,IF(G26="B",3,IF(G26="C",2,IF(G26="D",1,0)))))+IF(G27="S",5,IF(G27="A",4,IF(G27="B",3,IF(G27="C",2,IF(G27="D",1,0)))))+IF(G28="S",5,IF(G28="A",4,IF(G28="B",3,IF(G28="C",2,IF(G28="D",1,0)))))+IF(G29="S",5,IF(G29="A",4,IF(G29="B",3,IF(G29="C",2,IF(G29="D",1,0)))))+IF(G30="S",5,IF(G30="A",4,IF(G30="B",3,IF(G30="C",2,IF(G30="D",1,0)))))+IF(G31="S",5,IF(G31="A",4,IF(G31="B",3,IF(G31="C",2,IF(G31="D",1,0)))))+IF(G32="S",5,IF(G32="A",4,IF(G32="B",3,IF(G32="C",2,IF(G32="D",1,0)))))+IF(G33="S",5,IF(G33="A",4,IF(G33="B",3,IF(G33="C",2,IF(G33="D",1,0)))))+IF(G34="S",5,IF(G34="A",4,IF(G34="B",3,IF(G34="C",2,IF(G34="D",1,0)))))+IF(G35="S",5,IF(G35="A",4,IF(G35="B",3,IF(G35="C",2,IF(G35="D",1,0)))))+IF(G36="S",5,IF(G36="A",4,IF(G36="B",3,IF(G36="C",2,IF(G36="D",1,0))))))/11,"")</f>
        <v/>
      </c>
      <c r="G38" s="35" t="inlineStr">
        <is>
          <t>→ 등급</t>
        </is>
      </c>
      <c r="H38" s="36">
        <f>IF(F38="","",IF(F38&gt;=4.5,"S",IF(F38&gt;=3.5,"A",IF(F38&gt;=2.5,"B",IF(F38&gt;=1.5,"C","D")))))</f>
        <v/>
      </c>
    </row>
    <row r="40" ht="26" customHeight="1">
      <c r="A40" s="39" t="inlineStr">
        <is>
          <t>▶ ③ 직무역량평가 — 메인 책무(D열 O)만 평가</t>
        </is>
      </c>
    </row>
    <row r="41" ht="28" customHeight="1">
      <c r="A41" s="28" t="inlineStr">
        <is>
          <t>No.</t>
        </is>
      </c>
      <c r="B41" s="28" t="inlineStr">
        <is>
          <t>전문영역</t>
        </is>
      </c>
      <c r="C41" s="28" t="inlineStr">
        <is>
          <t>핵심 책무</t>
        </is>
      </c>
      <c r="D41" s="28" t="inlineStr">
        <is>
          <t>메인</t>
        </is>
      </c>
      <c r="E41" s="28" t="inlineStr">
        <is>
          <t>1차</t>
        </is>
      </c>
      <c r="F41" s="28" t="inlineStr">
        <is>
          <t>2차</t>
        </is>
      </c>
      <c r="G41" s="28" t="inlineStr">
        <is>
          <t>평균(참고)</t>
        </is>
      </c>
    </row>
    <row r="42" ht="22" customHeight="1">
      <c r="A42" s="35" t="inlineStr">
        <is>
          <t>J-1</t>
        </is>
      </c>
      <c r="B42" s="40" t="inlineStr">
        <is>
          <t>영업기획</t>
        </is>
      </c>
      <c r="C42" s="41" t="inlineStr">
        <is>
          <t>시장조사 및 고객 발굴</t>
        </is>
      </c>
      <c r="D42" s="31" t="inlineStr"/>
      <c r="E42" s="31" t="inlineStr"/>
      <c r="F42" s="31" t="inlineStr"/>
      <c r="G42" s="32">
        <f>IF(D42="O",IFERROR(IF(AND(E42&lt;&gt;"",F42&lt;&gt;""),(IF(E42="S",5,IF(E42="A",4,IF(E42="B",3,IF(E42="C",2,IF(E42="D",1,0)))))+IF(F42="S",5,IF(F42="A",4,IF(F42="B",3,IF(F42="C",2,IF(F42="D",1,0))))))/2,IF(E42&lt;&gt;"",IF(E42="S",5,IF(E42="A",4,IF(E42="B",3,IF(E42="C",2,IF(E42="D",1,0))))),IF(F42&lt;&gt;"",IF(F42="S",5,IF(F42="A",4,IF(F42="B",3,IF(F42="C",2,IF(F42="D",1,0))))),""))),""),"")</f>
        <v/>
      </c>
    </row>
    <row r="43" ht="22" customHeight="1">
      <c r="A43" s="35" t="inlineStr">
        <is>
          <t>J-2</t>
        </is>
      </c>
      <c r="B43" s="40" t="inlineStr">
        <is>
          <t>영업기획</t>
        </is>
      </c>
      <c r="C43" s="41" t="inlineStr">
        <is>
          <t>제안 및 입찰 준비</t>
        </is>
      </c>
      <c r="D43" s="31" t="inlineStr"/>
      <c r="E43" s="31" t="inlineStr"/>
      <c r="F43" s="31" t="inlineStr"/>
      <c r="G43" s="32">
        <f>IF(D43="O",IFERROR(IF(AND(E43&lt;&gt;"",F43&lt;&gt;""),(IF(E43="S",5,IF(E43="A",4,IF(E43="B",3,IF(E43="C",2,IF(E43="D",1,0)))))+IF(F43="S",5,IF(F43="A",4,IF(F43="B",3,IF(F43="C",2,IF(F43="D",1,0))))))/2,IF(E43&lt;&gt;"",IF(E43="S",5,IF(E43="A",4,IF(E43="B",3,IF(E43="C",2,IF(E43="D",1,0))))),IF(F43&lt;&gt;"",IF(F43="S",5,IF(F43="A",4,IF(F43="B",3,IF(F43="C",2,IF(F43="D",1,0))))),""))),""),"")</f>
        <v/>
      </c>
    </row>
    <row r="44" ht="22" customHeight="1">
      <c r="A44" s="35" t="inlineStr">
        <is>
          <t>J-3</t>
        </is>
      </c>
      <c r="B44" s="40" t="inlineStr">
        <is>
          <t>영업기획</t>
        </is>
      </c>
      <c r="C44" s="41" t="inlineStr">
        <is>
          <t>계약 협상</t>
        </is>
      </c>
      <c r="D44" s="31" t="inlineStr"/>
      <c r="E44" s="31" t="inlineStr"/>
      <c r="F44" s="31" t="inlineStr"/>
      <c r="G44" s="32">
        <f>IF(D44="O",IFERROR(IF(AND(E44&lt;&gt;"",F44&lt;&gt;""),(IF(E44="S",5,IF(E44="A",4,IF(E44="B",3,IF(E44="C",2,IF(E44="D",1,0)))))+IF(F44="S",5,IF(F44="A",4,IF(F44="B",3,IF(F44="C",2,IF(F44="D",1,0))))))/2,IF(E44&lt;&gt;"",IF(E44="S",5,IF(E44="A",4,IF(E44="B",3,IF(E44="C",2,IF(E44="D",1,0))))),IF(F44&lt;&gt;"",IF(F44="S",5,IF(F44="A",4,IF(F44="B",3,IF(F44="C",2,IF(F44="D",1,0))))),""))),""),"")</f>
        <v/>
      </c>
    </row>
    <row r="45" ht="22" customHeight="1">
      <c r="A45" s="35" t="inlineStr">
        <is>
          <t>J-4</t>
        </is>
      </c>
      <c r="B45" s="40" t="inlineStr">
        <is>
          <t>고객관리</t>
        </is>
      </c>
      <c r="C45" s="41" t="inlineStr">
        <is>
          <t>기존 고객 관리</t>
        </is>
      </c>
      <c r="D45" s="31" t="inlineStr"/>
      <c r="E45" s="31" t="inlineStr"/>
      <c r="F45" s="31" t="inlineStr"/>
      <c r="G45" s="32">
        <f>IF(D45="O",IFERROR(IF(AND(E45&lt;&gt;"",F45&lt;&gt;""),(IF(E45="S",5,IF(E45="A",4,IF(E45="B",3,IF(E45="C",2,IF(E45="D",1,0)))))+IF(F45="S",5,IF(F45="A",4,IF(F45="B",3,IF(F45="C",2,IF(F45="D",1,0))))))/2,IF(E45&lt;&gt;"",IF(E45="S",5,IF(E45="A",4,IF(E45="B",3,IF(E45="C",2,IF(E45="D",1,0))))),IF(F45&lt;&gt;"",IF(F45="S",5,IF(F45="A",4,IF(F45="B",3,IF(F45="C",2,IF(F45="D",1,0))))),""))),""),"")</f>
        <v/>
      </c>
    </row>
    <row r="46" ht="22" customHeight="1">
      <c r="A46" s="35" t="inlineStr">
        <is>
          <t>J-5</t>
        </is>
      </c>
      <c r="B46" s="40" t="inlineStr">
        <is>
          <t>고객관리</t>
        </is>
      </c>
      <c r="C46" s="41" t="inlineStr">
        <is>
          <t>신규 고객 개발</t>
        </is>
      </c>
      <c r="D46" s="31" t="inlineStr"/>
      <c r="E46" s="31" t="inlineStr"/>
      <c r="F46" s="31" t="inlineStr"/>
      <c r="G46" s="32">
        <f>IF(D46="O",IFERROR(IF(AND(E46&lt;&gt;"",F46&lt;&gt;""),(IF(E46="S",5,IF(E46="A",4,IF(E46="B",3,IF(E46="C",2,IF(E46="D",1,0)))))+IF(F46="S",5,IF(F46="A",4,IF(F46="B",3,IF(F46="C",2,IF(F46="D",1,0))))))/2,IF(E46&lt;&gt;"",IF(E46="S",5,IF(E46="A",4,IF(E46="B",3,IF(E46="C",2,IF(E46="D",1,0))))),IF(F46&lt;&gt;"",IF(F46="S",5,IF(F46="A",4,IF(F46="B",3,IF(F46="C",2,IF(F46="D",1,0))))),""))),""),"")</f>
        <v/>
      </c>
    </row>
    <row r="47" ht="22" customHeight="1">
      <c r="A47" s="35" t="inlineStr">
        <is>
          <t>J-6</t>
        </is>
      </c>
      <c r="B47" s="40" t="inlineStr">
        <is>
          <t>프로젝트 영업</t>
        </is>
      </c>
      <c r="C47" s="41" t="inlineStr">
        <is>
          <t>프로젝트 발굴 및 수주</t>
        </is>
      </c>
      <c r="D47" s="31" t="inlineStr"/>
      <c r="E47" s="31" t="inlineStr"/>
      <c r="F47" s="31" t="inlineStr"/>
      <c r="G47" s="32">
        <f>IF(D47="O",IFERROR(IF(AND(E47&lt;&gt;"",F47&lt;&gt;""),(IF(E47="S",5,IF(E47="A",4,IF(E47="B",3,IF(E47="C",2,IF(E47="D",1,0)))))+IF(F47="S",5,IF(F47="A",4,IF(F47="B",3,IF(F47="C",2,IF(F47="D",1,0))))))/2,IF(E47&lt;&gt;"",IF(E47="S",5,IF(E47="A",4,IF(E47="B",3,IF(E47="C",2,IF(E47="D",1,0))))),IF(F47&lt;&gt;"",IF(F47="S",5,IF(F47="A",4,IF(F47="B",3,IF(F47="C",2,IF(F47="D",1,0))))),""))),""),"")</f>
        <v/>
      </c>
    </row>
    <row r="48" ht="22" customHeight="1">
      <c r="A48" s="35" t="inlineStr">
        <is>
          <t>J-7</t>
        </is>
      </c>
      <c r="B48" s="40" t="inlineStr">
        <is>
          <t>프로젝트 영업</t>
        </is>
      </c>
      <c r="C48" s="41" t="inlineStr">
        <is>
          <t>계약 후 사후관리</t>
        </is>
      </c>
      <c r="D48" s="31" t="inlineStr"/>
      <c r="E48" s="31" t="inlineStr"/>
      <c r="F48" s="31" t="inlineStr"/>
      <c r="G48" s="32">
        <f>IF(D48="O",IFERROR(IF(AND(E48&lt;&gt;"",F48&lt;&gt;""),(IF(E48="S",5,IF(E48="A",4,IF(E48="B",3,IF(E48="C",2,IF(E48="D",1,0)))))+IF(F48="S",5,IF(F48="A",4,IF(F48="B",3,IF(F48="C",2,IF(F48="D",1,0))))))/2,IF(E48&lt;&gt;"",IF(E48="S",5,IF(E48="A",4,IF(E48="B",3,IF(E48="C",2,IF(E48="D",1,0))))),IF(F48&lt;&gt;"",IF(F48="S",5,IF(F48="A",4,IF(F48="B",3,IF(F48="C",2,IF(F48="D",1,0))))),""))),""),"")</f>
        <v/>
      </c>
    </row>
    <row r="50" ht="24" customHeight="1">
      <c r="A50" s="42" t="inlineStr">
        <is>
          <t>1차 평가자 직무 종합 (메인 책무 평균)</t>
        </is>
      </c>
      <c r="E50" s="34">
        <f>IFERROR(SUMPRODUCT((D42:D48="O")*IFERROR(IF(E42:E48="S",5,IF(E42:E48="A",4,IF(E42:E48="B",3,IF(E42:E48="C",2,IF(E42:E48="D",1,0))))),0))/COUNTIF(D42:D48,"O"),"")</f>
        <v/>
      </c>
      <c r="F50" s="36">
        <f>IF(E50="","",IF(E50&gt;=4.5,"S",IF(E50&gt;=3.5,"A",IF(E50&gt;=2.5,"B",IF(E50&gt;=1.5,"C","D")))))</f>
        <v/>
      </c>
    </row>
    <row r="51" ht="24" customHeight="1">
      <c r="A51" s="42" t="inlineStr">
        <is>
          <t>2차 평가자 직무 종합</t>
        </is>
      </c>
      <c r="E51" s="34">
        <f>IFERROR(SUMPRODUCT((D42:D48="O")*IFERROR(IF(F42:F48="S",5,IF(F42:F48="A",4,IF(F42:F48="B",3,IF(F42:F48="C",2,IF(F42:F48="D",1,0))))),0))/COUNTIF(D42:D48,"O"),"")</f>
        <v/>
      </c>
      <c r="F51" s="36">
        <f>IF(E51="","",IF(E51&gt;=4.5,"S",IF(E51&gt;=3.5,"A",IF(E51&gt;=2.5,"B",IF(E51&gt;=1.5,"C","D")))))</f>
        <v/>
      </c>
    </row>
    <row r="54" ht="32" customHeight="1">
      <c r="A54" s="43" t="inlineStr">
        <is>
          <t>▶ 통합관리시트 입력 행 (아래 한 줄 A~G 7개 셀 통째 복사 → 통합시트 07a/07b 해당 사번 행 G~M에 [값 붙여넣기])</t>
        </is>
      </c>
    </row>
    <row r="55" ht="28" customHeight="1">
      <c r="A55" s="44" t="inlineStr">
        <is>
          <t>역할(1차)</t>
        </is>
      </c>
      <c r="B55" s="44" t="inlineStr">
        <is>
          <t>역할(2차)</t>
        </is>
      </c>
      <c r="C55" s="44" t="inlineStr">
        <is>
          <t>공통(1차)</t>
        </is>
      </c>
      <c r="D55" s="44" t="inlineStr">
        <is>
          <t>공통(2차)</t>
        </is>
      </c>
      <c r="E55" s="44" t="inlineStr">
        <is>
          <t>직무(1차)</t>
        </is>
      </c>
      <c r="F55" s="44" t="inlineStr">
        <is>
          <t>직무(2차)</t>
        </is>
      </c>
      <c r="G55" s="44" t="inlineStr">
        <is>
          <t>소견</t>
        </is>
      </c>
    </row>
    <row r="56" ht="36" customHeight="1">
      <c r="A56" s="45">
        <f>G21</f>
        <v/>
      </c>
      <c r="B56" s="45">
        <f>G22</f>
        <v/>
      </c>
      <c r="C56" s="45">
        <f>H37</f>
        <v/>
      </c>
      <c r="D56" s="45">
        <f>H38</f>
        <v/>
      </c>
      <c r="E56" s="45">
        <f>F50</f>
        <v/>
      </c>
      <c r="F56" s="45">
        <f>F51</f>
        <v/>
      </c>
      <c r="G56" s="46" t="inlineStr"/>
    </row>
    <row r="57" ht="26" customHeight="1">
      <c r="A57" s="47" t="inlineStr">
        <is>
          <t>사용법: 위 한 줄 A~G 선택 → Ctrl+C → 통합시트 07a/07b 해당 사번 행 G~M에 [선택하여 붙여넣기 → 값]</t>
        </is>
      </c>
    </row>
    <row r="59" ht="24" customHeight="1">
      <c r="A59" s="3" t="inlineStr">
        <is>
          <t>▶ 종합 소견</t>
        </is>
      </c>
    </row>
    <row r="60" ht="40" customHeight="1">
      <c r="A60" s="21" t="inlineStr">
        <is>
          <t>강점</t>
        </is>
      </c>
      <c r="B60" s="48" t="inlineStr"/>
    </row>
    <row r="61" ht="40" customHeight="1">
      <c r="A61" s="21" t="inlineStr">
        <is>
          <t>개선</t>
        </is>
      </c>
      <c r="B61" s="48" t="inlineStr"/>
    </row>
    <row r="62" ht="40" customHeight="1">
      <c r="A62" s="21" t="inlineStr">
        <is>
          <t>육성 방향</t>
        </is>
      </c>
      <c r="B62" s="48" t="inlineStr"/>
    </row>
  </sheetData>
  <mergeCells count="23">
    <mergeCell ref="A7:I7"/>
    <mergeCell ref="B62:I62"/>
    <mergeCell ref="F9:I9"/>
    <mergeCell ref="A22:D22"/>
    <mergeCell ref="A2:I2"/>
    <mergeCell ref="B14:I14"/>
    <mergeCell ref="A37:E37"/>
    <mergeCell ref="B60:I60"/>
    <mergeCell ref="A51:D51"/>
    <mergeCell ref="B61:I61"/>
    <mergeCell ref="A4:I4"/>
    <mergeCell ref="F10:I10"/>
    <mergeCell ref="A13:I13"/>
    <mergeCell ref="A40:I40"/>
    <mergeCell ref="A54:G54"/>
    <mergeCell ref="A24:I24"/>
    <mergeCell ref="A59:I59"/>
    <mergeCell ref="A38:E38"/>
    <mergeCell ref="F8:I8"/>
    <mergeCell ref="A50:D50"/>
    <mergeCell ref="A21:D21"/>
    <mergeCell ref="A1:I1"/>
    <mergeCell ref="A57:G57"/>
  </mergeCells>
  <conditionalFormatting sqref="A56:G56">
    <cfRule type="cellIs" priority="1" operator="equal" dxfId="0">
      <formula>"S"</formula>
    </cfRule>
    <cfRule type="cellIs" priority="2" operator="equal" dxfId="1">
      <formula>"A"</formula>
    </cfRule>
    <cfRule type="cellIs" priority="3" operator="equal" dxfId="2">
      <formula>"C"</formula>
    </cfRule>
    <cfRule type="cellIs" priority="4" operator="equal" dxfId="3">
      <formula>"D"</formula>
    </cfRule>
  </conditionalFormatting>
  <dataValidations count="5">
    <dataValidation sqref="B11" showDropDown="0" showInputMessage="0" showErrorMessage="0" allowBlank="0" type="list">
      <formula1>"상반기,하반기"</formula1>
    </dataValidation>
    <dataValidation sqref="E16:F20" showDropDown="0" showInputMessage="0" showErrorMessage="0" allowBlank="1" type="list">
      <formula1>"S,A,B,C,D"</formula1>
    </dataValidation>
    <dataValidation sqref="F26:G36" showDropDown="0" showInputMessage="0" showErrorMessage="0" allowBlank="1" type="list">
      <formula1>"S,A,B,C,D"</formula1>
    </dataValidation>
    <dataValidation sqref="D42:D48" showDropDown="0" showInputMessage="0" showErrorMessage="0" allowBlank="1" type="list">
      <formula1>"O,X"</formula1>
    </dataValidation>
    <dataValidation sqref="E42:F48" showDropDown="0" showInputMessage="0" showErrorMessage="0" allowBlank="1" type="list">
      <formula1>"S,A,B,C,D"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0AD47"/>
    <outlinePr summaryBelow="1" summaryRight="1"/>
    <pageSetUpPr/>
  </sheetPr>
  <dimension ref="A1:I62"/>
  <sheetViews>
    <sheetView workbookViewId="0">
      <selection activeCell="A1" sqref="A1"/>
    </sheetView>
  </sheetViews>
  <sheetFormatPr baseColWidth="8" defaultRowHeight="15"/>
  <cols>
    <col width="6" customWidth="1" min="1" max="1"/>
    <col width="11" customWidth="1" min="2" max="2"/>
    <col width="22" customWidth="1" min="3" max="3"/>
    <col width="30" customWidth="1" min="4" max="4"/>
    <col width="32" customWidth="1" min="5" max="5"/>
    <col width="11" customWidth="1" min="6" max="6"/>
    <col width="11" customWidth="1" min="7" max="7"/>
    <col width="12" customWidth="1" min="8" max="8"/>
    <col width="12" customWidth="1" min="9" max="9"/>
  </cols>
  <sheetData>
    <row r="1" ht="30" customHeight="1">
      <c r="A1" s="1" t="inlineStr">
        <is>
          <t>성과평가지 양식 - 프로젝트영업 / G5-M (직무 관리(부서장))</t>
        </is>
      </c>
    </row>
    <row r="2" ht="22" customHeight="1">
      <c r="A2" s="2" t="inlineStr">
        <is>
          <t>1·2차 평가자가 등급(S/A/B/C/D)만 입력. 가중치는 통합관리시트에서 자동 처리.</t>
        </is>
      </c>
    </row>
    <row r="4" ht="24" customHeight="1">
      <c r="A4" s="3" t="inlineStr">
        <is>
          <t>▶ 평가 대상자 정보 (주황셀에 입력)</t>
        </is>
      </c>
    </row>
    <row r="5" ht="22" customHeight="1">
      <c r="A5" s="18" t="inlineStr">
        <is>
          <t>사번</t>
        </is>
      </c>
      <c r="B5" s="19" t="inlineStr"/>
      <c r="C5" s="18" t="inlineStr">
        <is>
          <t>성명</t>
        </is>
      </c>
      <c r="D5" s="19" t="inlineStr"/>
      <c r="E5" s="18" t="inlineStr">
        <is>
          <t>직군</t>
        </is>
      </c>
      <c r="F5" s="19" t="inlineStr"/>
      <c r="G5" s="18" t="inlineStr">
        <is>
          <t>부서</t>
        </is>
      </c>
      <c r="H5" s="19" t="inlineStr"/>
    </row>
    <row r="6" ht="22" customHeight="1">
      <c r="A6" s="18" t="inlineStr">
        <is>
          <t>기존직급</t>
        </is>
      </c>
      <c r="B6" s="19" t="inlineStr"/>
      <c r="C6" s="18" t="inlineStr">
        <is>
          <t>직무</t>
        </is>
      </c>
      <c r="D6" s="20" t="inlineStr">
        <is>
          <t>프로젝트영업</t>
        </is>
      </c>
      <c r="E6" s="18" t="inlineStr">
        <is>
          <t>역할등급</t>
        </is>
      </c>
      <c r="F6" s="20" t="inlineStr">
        <is>
          <t>G5-M</t>
        </is>
      </c>
      <c r="G6" s="18" t="inlineStr">
        <is>
          <t>역할명</t>
        </is>
      </c>
      <c r="H6" s="20" t="inlineStr">
        <is>
          <t>직무 관리(부서장)</t>
        </is>
      </c>
    </row>
    <row r="7" ht="24" customHeight="1">
      <c r="A7" s="3" t="inlineStr">
        <is>
          <t>▶ 평가자 정보 (주황셀에 입력)</t>
        </is>
      </c>
    </row>
    <row r="8" ht="24" customHeight="1">
      <c r="A8" s="15" t="inlineStr">
        <is>
          <t>구분</t>
        </is>
      </c>
      <c r="B8" s="15" t="inlineStr">
        <is>
          <t>사번</t>
        </is>
      </c>
      <c r="C8" s="15" t="inlineStr">
        <is>
          <t>성명</t>
        </is>
      </c>
      <c r="D8" s="15" t="inlineStr">
        <is>
          <t>직책</t>
        </is>
      </c>
      <c r="E8" s="15" t="inlineStr">
        <is>
          <t>부서</t>
        </is>
      </c>
      <c r="F8" s="15" t="inlineStr">
        <is>
          <t>이메일</t>
        </is>
      </c>
    </row>
    <row r="9" ht="24" customHeight="1">
      <c r="A9" s="21" t="inlineStr">
        <is>
          <t>1차 평가자 (직속상사)</t>
        </is>
      </c>
      <c r="B9" s="22" t="inlineStr"/>
      <c r="C9" s="22" t="inlineStr"/>
      <c r="D9" s="22" t="inlineStr"/>
      <c r="E9" s="22" t="inlineStr"/>
      <c r="F9" s="23" t="inlineStr"/>
    </row>
    <row r="10" ht="24" customHeight="1">
      <c r="A10" s="21" t="inlineStr">
        <is>
          <t>2차 평가자 (조정자)</t>
        </is>
      </c>
      <c r="B10" s="22" t="inlineStr"/>
      <c r="C10" s="22" t="inlineStr"/>
      <c r="D10" s="22" t="inlineStr"/>
      <c r="E10" s="22" t="inlineStr"/>
      <c r="F10" s="23" t="inlineStr"/>
    </row>
    <row r="11" ht="24" customHeight="1">
      <c r="A11" s="21" t="inlineStr">
        <is>
          <t>평가 차수</t>
        </is>
      </c>
      <c r="B11" s="24" t="inlineStr">
        <is>
          <t>상반기</t>
        </is>
      </c>
      <c r="C11" s="21" t="inlineStr">
        <is>
          <t>평가 완료일</t>
        </is>
      </c>
      <c r="D11" s="22" t="inlineStr"/>
    </row>
    <row r="13" ht="26" customHeight="1">
      <c r="A13" s="25" t="inlineStr">
        <is>
          <t>▶ ① 역할평가 — 5개 BARS 항목</t>
        </is>
      </c>
    </row>
    <row r="14" ht="38" customHeight="1">
      <c r="A14" s="26" t="inlineStr">
        <is>
          <t>역할 정의</t>
        </is>
      </c>
      <c r="B14" s="27" t="inlineStr">
        <is>
          <t>부서 전략·목표 수립, 자원 배분·예산 관리·성과 관리, 부서 의사결정 주도.</t>
        </is>
      </c>
    </row>
    <row r="15" ht="28" customHeight="1">
      <c r="A15" s="28" t="inlineStr">
        <is>
          <t>No.</t>
        </is>
      </c>
      <c r="B15" s="28" t="inlineStr">
        <is>
          <t>평가항목</t>
        </is>
      </c>
      <c r="C15" s="28" t="inlineStr">
        <is>
          <t>평가 기준</t>
        </is>
      </c>
      <c r="D15" s="28" t="inlineStr">
        <is>
          <t>S/A/B/C/D 등급 기준</t>
        </is>
      </c>
      <c r="E15" s="28" t="inlineStr">
        <is>
          <t>1차</t>
        </is>
      </c>
      <c r="F15" s="28" t="inlineStr">
        <is>
          <t>2차</t>
        </is>
      </c>
      <c r="G15" s="28" t="inlineStr">
        <is>
          <t>평균(참고)</t>
        </is>
      </c>
    </row>
    <row r="16" ht="90" customHeight="1">
      <c r="A16" s="26" t="inlineStr">
        <is>
          <t>R-1</t>
        </is>
      </c>
      <c r="B16" s="17" t="inlineStr">
        <is>
          <t>책임범위 이행도</t>
        </is>
      </c>
      <c r="C16" s="29" t="inlineStr">
        <is>
          <t>역할등급에 부합하는 책임 범위 내 업무 수행</t>
        </is>
      </c>
      <c r="D16" s="30" t="inlineStr">
        <is>
          <t>S  기대 현저히 초과
A  기대 상회
B  기대 부합
C  부분 미흡
D  전반 미흡</t>
        </is>
      </c>
      <c r="E16" s="31" t="inlineStr"/>
      <c r="F16" s="31" t="inlineStr"/>
      <c r="G16" s="32">
        <f>IFERROR(IF(AND(E16&lt;&gt;"",F16&lt;&gt;""),(IF(E16="S",5,IF(E16="A",4,IF(E16="B",3,IF(E16="C",2,IF(E16="D",1,0)))))+IF(F16="S",5,IF(F16="A",4,IF(F16="B",3,IF(F16="C",2,IF(F16="D",1,0))))))/2,IF(E16&lt;&gt;"",IF(E16="S",5,IF(E16="A",4,IF(E16="B",3,IF(E16="C",2,IF(E16="D",1,0))))),IF(F16&lt;&gt;"",IF(F16="S",5,IF(F16="A",4,IF(F16="B",3,IF(F16="C",2,IF(F16="D",1,0))))),""))),"")</f>
        <v/>
      </c>
    </row>
    <row r="17" ht="90" customHeight="1">
      <c r="A17" s="26" t="inlineStr">
        <is>
          <t>R-2</t>
        </is>
      </c>
      <c r="B17" s="17" t="inlineStr">
        <is>
          <t>의사결정 적절성</t>
        </is>
      </c>
      <c r="C17" s="29" t="inlineStr">
        <is>
          <t>권한 수준 내 시의적절·합리적 의사결정</t>
        </is>
      </c>
      <c r="D17" s="30" t="inlineStr">
        <is>
          <t>S  기대 현저히 초과
A  기대 상회
B  기대 부합
C  부분 미흡
D  전반 미흡</t>
        </is>
      </c>
      <c r="E17" s="31" t="inlineStr"/>
      <c r="F17" s="31" t="inlineStr"/>
      <c r="G17" s="32">
        <f>IFERROR(IF(AND(E17&lt;&gt;"",F17&lt;&gt;""),(IF(E17="S",5,IF(E17="A",4,IF(E17="B",3,IF(E17="C",2,IF(E17="D",1,0)))))+IF(F17="S",5,IF(F17="A",4,IF(F17="B",3,IF(F17="C",2,IF(F17="D",1,0))))))/2,IF(E17&lt;&gt;"",IF(E17="S",5,IF(E17="A",4,IF(E17="B",3,IF(E17="C",2,IF(E17="D",1,0))))),IF(F17&lt;&gt;"",IF(F17="S",5,IF(F17="A",4,IF(F17="B",3,IF(F17="C",2,IF(F17="D",1,0))))),""))),"")</f>
        <v/>
      </c>
    </row>
    <row r="18" ht="90" customHeight="1">
      <c r="A18" s="26" t="inlineStr">
        <is>
          <t>R-3</t>
        </is>
      </c>
      <c r="B18" s="17" t="inlineStr">
        <is>
          <t>성과 기여도</t>
        </is>
      </c>
      <c r="C18" s="29" t="inlineStr">
        <is>
          <t>조직·프로젝트 목표 달성에 정량적 기여</t>
        </is>
      </c>
      <c r="D18" s="30" t="inlineStr">
        <is>
          <t>S  기대 현저히 초과
A  기대 상회
B  기대 부합
C  부분 미흡
D  전반 미흡</t>
        </is>
      </c>
      <c r="E18" s="31" t="inlineStr"/>
      <c r="F18" s="31" t="inlineStr"/>
      <c r="G18" s="32">
        <f>IFERROR(IF(AND(E18&lt;&gt;"",F18&lt;&gt;""),(IF(E18="S",5,IF(E18="A",4,IF(E18="B",3,IF(E18="C",2,IF(E18="D",1,0)))))+IF(F18="S",5,IF(F18="A",4,IF(F18="B",3,IF(F18="C",2,IF(F18="D",1,0))))))/2,IF(E18&lt;&gt;"",IF(E18="S",5,IF(E18="A",4,IF(E18="B",3,IF(E18="C",2,IF(E18="D",1,0))))),IF(F18&lt;&gt;"",IF(F18="S",5,IF(F18="A",4,IF(F18="B",3,IF(F18="C",2,IF(F18="D",1,0))))),""))),"")</f>
        <v/>
      </c>
    </row>
    <row r="19" ht="90" customHeight="1">
      <c r="A19" s="26" t="inlineStr">
        <is>
          <t>R-4</t>
        </is>
      </c>
      <c r="B19" s="17" t="inlineStr">
        <is>
          <t>조직 후배 코칭</t>
        </is>
      </c>
      <c r="C19" s="29" t="inlineStr">
        <is>
          <t>상·하위 역할과 효과적 협업 및 후배 코칭</t>
        </is>
      </c>
      <c r="D19" s="30" t="inlineStr">
        <is>
          <t>S  기대 현저히 초과
A  기대 상회
B  기대 부합
C  부분 미흡
D  전반 미흡</t>
        </is>
      </c>
      <c r="E19" s="31" t="inlineStr"/>
      <c r="F19" s="31" t="inlineStr"/>
      <c r="G19" s="32">
        <f>IFERROR(IF(AND(E19&lt;&gt;"",F19&lt;&gt;""),(IF(E19="S",5,IF(E19="A",4,IF(E19="B",3,IF(E19="C",2,IF(E19="D",1,0)))))+IF(F19="S",5,IF(F19="A",4,IF(F19="B",3,IF(F19="C",2,IF(F19="D",1,0))))))/2,IF(E19&lt;&gt;"",IF(E19="S",5,IF(E19="A",4,IF(E19="B",3,IF(E19="C",2,IF(E19="D",1,0))))),IF(F19&lt;&gt;"",IF(F19="S",5,IF(F19="A",4,IF(F19="B",3,IF(F19="C",2,IF(F19="D",1,0))))),""))),"")</f>
        <v/>
      </c>
    </row>
    <row r="20" ht="90" customHeight="1">
      <c r="A20" s="26" t="inlineStr">
        <is>
          <t>R-5</t>
        </is>
      </c>
      <c r="B20" s="17" t="inlineStr">
        <is>
          <t>산출물 완성도</t>
        </is>
      </c>
      <c r="C20" s="29" t="inlineStr">
        <is>
          <t>산출물 품질과 기한 준수</t>
        </is>
      </c>
      <c r="D20" s="30" t="inlineStr">
        <is>
          <t>S  기대 현저히 초과
A  기대 상회
B  기대 부합
C  부분 미흡
D  전반 미흡</t>
        </is>
      </c>
      <c r="E20" s="31" t="inlineStr"/>
      <c r="F20" s="31" t="inlineStr"/>
      <c r="G20" s="32">
        <f>IFERROR(IF(AND(E20&lt;&gt;"",F20&lt;&gt;""),(IF(E20="S",5,IF(E20="A",4,IF(E20="B",3,IF(E20="C",2,IF(E20="D",1,0)))))+IF(F20="S",5,IF(F20="A",4,IF(F20="B",3,IF(F20="C",2,IF(F20="D",1,0))))))/2,IF(E20&lt;&gt;"",IF(E20="S",5,IF(E20="A",4,IF(E20="B",3,IF(E20="C",2,IF(E20="D",1,0))))),IF(F20&lt;&gt;"",IF(F20="S",5,IF(F20="A",4,IF(F20="B",3,IF(F20="C",2,IF(F20="D",1,0))))),""))),"")</f>
        <v/>
      </c>
    </row>
    <row r="21" ht="24" customHeight="1">
      <c r="A21" s="33" t="inlineStr">
        <is>
          <t>1차 평가자 역할 종합 (5개 평균)</t>
        </is>
      </c>
      <c r="E21" s="34">
        <f>IFERROR((IF(E16="S",5,IF(E16="A",4,IF(E16="B",3,IF(E16="C",2,IF(E16="D",1,0)))))+IF(E17="S",5,IF(E17="A",4,IF(E17="B",3,IF(E17="C",2,IF(E17="D",1,0)))))+IF(E18="S",5,IF(E18="A",4,IF(E18="B",3,IF(E18="C",2,IF(E18="D",1,0)))))+IF(E19="S",5,IF(E19="A",4,IF(E19="B",3,IF(E19="C",2,IF(E19="D",1,0)))))+IF(E20="S",5,IF(E20="A",4,IF(E20="B",3,IF(E20="C",2,IF(E20="D",1,0))))))/5,"")</f>
        <v/>
      </c>
      <c r="F21" s="35" t="inlineStr">
        <is>
          <t>→ 등급</t>
        </is>
      </c>
      <c r="G21" s="36">
        <f>IF(E21="","",IF(E21&gt;=4.5,"S",IF(E21&gt;=3.5,"A",IF(E21&gt;=2.5,"B",IF(E21&gt;=1.5,"C","D")))))</f>
        <v/>
      </c>
    </row>
    <row r="22" ht="24" customHeight="1">
      <c r="A22" s="33" t="inlineStr">
        <is>
          <t>2차 평가자 역할 종합 (5개 평균)</t>
        </is>
      </c>
      <c r="E22" s="34">
        <f>IFERROR((IF(F16="S",5,IF(F16="A",4,IF(F16="B",3,IF(F16="C",2,IF(F16="D",1,0)))))+IF(F17="S",5,IF(F17="A",4,IF(F17="B",3,IF(F17="C",2,IF(F17="D",1,0)))))+IF(F18="S",5,IF(F18="A",4,IF(F18="B",3,IF(F18="C",2,IF(F18="D",1,0)))))+IF(F19="S",5,IF(F19="A",4,IF(F19="B",3,IF(F19="C",2,IF(F19="D",1,0)))))+IF(F20="S",5,IF(F20="A",4,IF(F20="B",3,IF(F20="C",2,IF(F20="D",1,0))))))/5,"")</f>
        <v/>
      </c>
      <c r="F22" s="35" t="inlineStr">
        <is>
          <t>→ 등급</t>
        </is>
      </c>
      <c r="G22" s="36">
        <f>IF(E22="","",IF(E22&gt;=4.5,"S",IF(E22&gt;=3.5,"A",IF(E22&gt;=2.5,"B",IF(E22&gt;=1.5,"C","D")))))</f>
        <v/>
      </c>
    </row>
    <row r="24" ht="26" customHeight="1">
      <c r="A24" s="37" t="inlineStr">
        <is>
          <t>▶ ② 공통역량평가 — 11개 (★ S/A/B/C/D 평가기준 포함)</t>
        </is>
      </c>
    </row>
    <row r="25" ht="28" customHeight="1">
      <c r="A25" s="28" t="inlineStr">
        <is>
          <t>No.</t>
        </is>
      </c>
      <c r="B25" s="28" t="inlineStr">
        <is>
          <t>역량군</t>
        </is>
      </c>
      <c r="C25" s="28" t="inlineStr">
        <is>
          <t>핵심 역량</t>
        </is>
      </c>
      <c r="D25" s="28" t="inlineStr">
        <is>
          <t>평가 기준</t>
        </is>
      </c>
      <c r="E25" s="28" t="inlineStr">
        <is>
          <t>S/A/B/C/D 등급 기준</t>
        </is>
      </c>
      <c r="F25" s="28" t="inlineStr">
        <is>
          <t>1차</t>
        </is>
      </c>
      <c r="G25" s="28" t="inlineStr">
        <is>
          <t>2차</t>
        </is>
      </c>
      <c r="H25" s="28" t="inlineStr">
        <is>
          <t>평균(참고)</t>
        </is>
      </c>
    </row>
    <row r="26" ht="100" customHeight="1">
      <c r="A26" s="2" t="inlineStr">
        <is>
          <t>C-1</t>
        </is>
      </c>
      <c r="B26" s="2" t="inlineStr">
        <is>
          <t>업무</t>
        </is>
      </c>
      <c r="C26" s="17" t="inlineStr">
        <is>
          <t>직무 전문성</t>
        </is>
      </c>
      <c r="D26" s="29" t="inlineStr">
        <is>
          <t>직무에 필요한 전문 지식 및 기술 보유, 실무 적용</t>
        </is>
      </c>
      <c r="E26" s="30" t="inlineStr">
        <is>
          <t>S  고급 지식과 숙련도, 타 부서 교육 가능
A  최신 트렌드 반영, 실무에 적절 활용
B  일반 수준 이해 및 적용
C  일부 기술 이해, 개선 필요
D  지식 부족, 실무 반영 어려움</t>
        </is>
      </c>
      <c r="F26" s="31" t="inlineStr"/>
      <c r="G26" s="31" t="inlineStr"/>
      <c r="H26" s="32">
        <f>IFERROR(IF(AND(F26&lt;&gt;"",G26&lt;&gt;""),(IF(F26="S",5,IF(F26="A",4,IF(F26="B",3,IF(F26="C",2,IF(F26="D",1,0)))))+IF(G26="S",5,IF(G26="A",4,IF(G26="B",3,IF(G26="C",2,IF(G26="D",1,0))))))/2,IF(F26&lt;&gt;"",IF(F26="S",5,IF(F26="A",4,IF(F26="B",3,IF(F26="C",2,IF(F26="D",1,0))))),IF(G26&lt;&gt;"",IF(G26="S",5,IF(G26="A",4,IF(G26="B",3,IF(G26="C",2,IF(G26="D",1,0))))),""))),"")</f>
        <v/>
      </c>
    </row>
    <row r="27" ht="100" customHeight="1">
      <c r="A27" s="2" t="inlineStr">
        <is>
          <t>C-2</t>
        </is>
      </c>
      <c r="B27" s="2" t="inlineStr">
        <is>
          <t>업무</t>
        </is>
      </c>
      <c r="C27" s="17" t="inlineStr">
        <is>
          <t>분석력</t>
        </is>
      </c>
      <c r="D27" s="29" t="inlineStr">
        <is>
          <t>데이터·수치 기반 사고로 업무 효율 향상</t>
        </is>
      </c>
      <c r="E27" s="30" t="inlineStr">
        <is>
          <t>S  데이터 기반 전략 도출 가능
A  분석 후 결과 활용 능숙
B  기본적 분석 및 간단한 적용 가능
C  기본 해석은 가능하나 활용 미흡
D  자료 해석 불가, 의사결정 어려움</t>
        </is>
      </c>
      <c r="F27" s="31" t="inlineStr"/>
      <c r="G27" s="31" t="inlineStr"/>
      <c r="H27" s="32">
        <f>IFERROR(IF(AND(F27&lt;&gt;"",G27&lt;&gt;""),(IF(F27="S",5,IF(F27="A",4,IF(F27="B",3,IF(F27="C",2,IF(F27="D",1,0)))))+IF(G27="S",5,IF(G27="A",4,IF(G27="B",3,IF(G27="C",2,IF(G27="D",1,0))))))/2,IF(F27&lt;&gt;"",IF(F27="S",5,IF(F27="A",4,IF(F27="B",3,IF(F27="C",2,IF(F27="D",1,0))))),IF(G27&lt;&gt;"",IF(G27="S",5,IF(G27="A",4,IF(G27="B",3,IF(G27="C",2,IF(G27="D",1,0))))),""))),"")</f>
        <v/>
      </c>
    </row>
    <row r="28" ht="100" customHeight="1">
      <c r="A28" s="2" t="inlineStr">
        <is>
          <t>C-3</t>
        </is>
      </c>
      <c r="B28" s="2" t="inlineStr">
        <is>
          <t>업무</t>
        </is>
      </c>
      <c r="C28" s="17" t="inlineStr">
        <is>
          <t>기획/실행력</t>
        </is>
      </c>
      <c r="D28" s="29" t="inlineStr">
        <is>
          <t>목표 설정·계획 수립·체계적 실행 능력</t>
        </is>
      </c>
      <c r="E28" s="30" t="inlineStr">
        <is>
          <t>S  스스로 목표 수립 및 조직 리딩 가능
A  계획 수립 능력 우수 및 실행 일관성
B  일반적 목표 수립 및 실현 가능
C  실행 계획 일부 있으나 체계 부족
D  목표 설정 부정확, 실행력 부족</t>
        </is>
      </c>
      <c r="F28" s="31" t="inlineStr"/>
      <c r="G28" s="31" t="inlineStr"/>
      <c r="H28" s="32">
        <f>IFERROR(IF(AND(F28&lt;&gt;"",G28&lt;&gt;""),(IF(F28="S",5,IF(F28="A",4,IF(F28="B",3,IF(F28="C",2,IF(F28="D",1,0)))))+IF(G28="S",5,IF(G28="A",4,IF(G28="B",3,IF(G28="C",2,IF(G28="D",1,0))))))/2,IF(F28&lt;&gt;"",IF(F28="S",5,IF(F28="A",4,IF(F28="B",3,IF(F28="C",2,IF(F28="D",1,0))))),IF(G28&lt;&gt;"",IF(G28="S",5,IF(G28="A",4,IF(G28="B",3,IF(G28="C",2,IF(G28="D",1,0))))),""))),"")</f>
        <v/>
      </c>
    </row>
    <row r="29" ht="100" customHeight="1">
      <c r="A29" s="2" t="inlineStr">
        <is>
          <t>C-4</t>
        </is>
      </c>
      <c r="B29" s="2" t="inlineStr">
        <is>
          <t>조직</t>
        </is>
      </c>
      <c r="C29" s="17" t="inlineStr">
        <is>
          <t>자원·시간 관리</t>
        </is>
      </c>
      <c r="D29" s="29" t="inlineStr">
        <is>
          <t>업무 우선순위 설정 및 시간 내 효과적 완수</t>
        </is>
      </c>
      <c r="E29" s="30" t="inlineStr">
        <is>
          <t>S  다중 과제 효율 배분, 시간관리 탁월
A  업무 효율성 높고 우선순위 명확
B  일반 수준 일정 조율 가능
C  마감 어려움, 우선순위 혼란
D  업무 지연 잦고 계획 없음</t>
        </is>
      </c>
      <c r="F29" s="31" t="inlineStr"/>
      <c r="G29" s="31" t="inlineStr"/>
      <c r="H29" s="32">
        <f>IFERROR(IF(AND(F29&lt;&gt;"",G29&lt;&gt;""),(IF(F29="S",5,IF(F29="A",4,IF(F29="B",3,IF(F29="C",2,IF(F29="D",1,0)))))+IF(G29="S",5,IF(G29="A",4,IF(G29="B",3,IF(G29="C",2,IF(G29="D",1,0))))))/2,IF(F29&lt;&gt;"",IF(F29="S",5,IF(F29="A",4,IF(F29="B",3,IF(F29="C",2,IF(F29="D",1,0))))),IF(G29&lt;&gt;"",IF(G29="S",5,IF(G29="A",4,IF(G29="B",3,IF(G29="C",2,IF(G29="D",1,0))))),""))),"")</f>
        <v/>
      </c>
    </row>
    <row r="30" ht="100" customHeight="1">
      <c r="A30" s="2" t="inlineStr">
        <is>
          <t>C-5</t>
        </is>
      </c>
      <c r="B30" s="2" t="inlineStr">
        <is>
          <t>조직</t>
        </is>
      </c>
      <c r="C30" s="17" t="inlineStr">
        <is>
          <t>협업 능력</t>
        </is>
      </c>
      <c r="D30" s="29" t="inlineStr">
        <is>
          <t>팀·타 부서와의 협업 태도, 정보 공유</t>
        </is>
      </c>
      <c r="E30" s="30" t="inlineStr">
        <is>
          <t>S  타 부서와의 시너지 창출
A  정보 공유, 원활한 협업
B  공동목표 수용 및 일부 협력
C  소극적 협조, 갈등 유발
D  협력 거부, 독단적 태도</t>
        </is>
      </c>
      <c r="F30" s="31" t="inlineStr"/>
      <c r="G30" s="31" t="inlineStr"/>
      <c r="H30" s="32">
        <f>IFERROR(IF(AND(F30&lt;&gt;"",G30&lt;&gt;""),(IF(F30="S",5,IF(F30="A",4,IF(F30="B",3,IF(F30="C",2,IF(F30="D",1,0)))))+IF(G30="S",5,IF(G30="A",4,IF(G30="B",3,IF(G30="C",2,IF(G30="D",1,0))))))/2,IF(F30&lt;&gt;"",IF(F30="S",5,IF(F30="A",4,IF(F30="B",3,IF(F30="C",2,IF(F30="D",1,0))))),IF(G30&lt;&gt;"",IF(G30="S",5,IF(G30="A",4,IF(G30="B",3,IF(G30="C",2,IF(G30="D",1,0))))),""))),"")</f>
        <v/>
      </c>
    </row>
    <row r="31" ht="100" customHeight="1">
      <c r="A31" s="2" t="inlineStr">
        <is>
          <t>C-6</t>
        </is>
      </c>
      <c r="B31" s="2" t="inlineStr">
        <is>
          <t>조직</t>
        </is>
      </c>
      <c r="C31" s="17" t="inlineStr">
        <is>
          <t>소통 능력</t>
        </is>
      </c>
      <c r="D31" s="29" t="inlineStr">
        <is>
          <t>명확한 의사 전달·경청·효과적 커뮤니케이션</t>
        </is>
      </c>
      <c r="E31" s="30" t="inlineStr">
        <is>
          <t>S  갈등 중재 및 공감능력 우수
A  정확한 의사 전달 및 경청
B  피드백 수용 및 전달 가능
C  소통 시 불편 유발
D  일방적 주장, 피드백 거부</t>
        </is>
      </c>
      <c r="F31" s="31" t="inlineStr"/>
      <c r="G31" s="31" t="inlineStr"/>
      <c r="H31" s="32">
        <f>IFERROR(IF(AND(F31&lt;&gt;"",G31&lt;&gt;""),(IF(F31="S",5,IF(F31="A",4,IF(F31="B",3,IF(F31="C",2,IF(F31="D",1,0)))))+IF(G31="S",5,IF(G31="A",4,IF(G31="B",3,IF(G31="C",2,IF(G31="D",1,0))))))/2,IF(F31&lt;&gt;"",IF(F31="S",5,IF(F31="A",4,IF(F31="B",3,IF(F31="C",2,IF(F31="D",1,0))))),IF(G31&lt;&gt;"",IF(G31="S",5,IF(G31="A",4,IF(G31="B",3,IF(G31="C",2,IF(G31="D",1,0))))),""))),"")</f>
        <v/>
      </c>
    </row>
    <row r="32" ht="100" customHeight="1">
      <c r="A32" s="2" t="inlineStr">
        <is>
          <t>C-7</t>
        </is>
      </c>
      <c r="B32" s="2" t="inlineStr">
        <is>
          <t>인성</t>
        </is>
      </c>
      <c r="C32" s="17" t="inlineStr">
        <is>
          <t>윤리/책임감</t>
        </is>
      </c>
      <c r="D32" s="29" t="inlineStr">
        <is>
          <t>공정·투명한 절차, 책임감 있는 업무</t>
        </is>
      </c>
      <c r="E32" s="30" t="inlineStr">
        <is>
          <t>S  모범적 자세, 조직문화 선도
A  조직 규범 내 성실 수행
B  기본 책임 수행
C  책임 회피 경향
D  무책임, 규정 무시</t>
        </is>
      </c>
      <c r="F32" s="31" t="inlineStr"/>
      <c r="G32" s="31" t="inlineStr"/>
      <c r="H32" s="32">
        <f>IFERROR(IF(AND(F32&lt;&gt;"",G32&lt;&gt;""),(IF(F32="S",5,IF(F32="A",4,IF(F32="B",3,IF(F32="C",2,IF(F32="D",1,0)))))+IF(G32="S",5,IF(G32="A",4,IF(G32="B",3,IF(G32="C",2,IF(G32="D",1,0))))))/2,IF(F32&lt;&gt;"",IF(F32="S",5,IF(F32="A",4,IF(F32="B",3,IF(F32="C",2,IF(F32="D",1,0))))),IF(G32&lt;&gt;"",IF(G32="S",5,IF(G32="A",4,IF(G32="B",3,IF(G32="C",2,IF(G32="D",1,0))))),""))),"")</f>
        <v/>
      </c>
    </row>
    <row r="33" ht="100" customHeight="1">
      <c r="A33" s="2" t="inlineStr">
        <is>
          <t>C-8</t>
        </is>
      </c>
      <c r="B33" s="2" t="inlineStr">
        <is>
          <t>인성</t>
        </is>
      </c>
      <c r="C33" s="17" t="inlineStr">
        <is>
          <t>업무 태도</t>
        </is>
      </c>
      <c r="D33" s="29" t="inlineStr">
        <is>
          <t>성실·주도적 태도, 변화 유연성</t>
        </is>
      </c>
      <c r="E33" s="30" t="inlineStr">
        <is>
          <t>S  문제 해결 중심의 선도적 자세
A  책임감, 적극적 태도
B  일정 주도성 보임
C  소극적, 피동적 태도
D  수동적, 지시 없이는 행동 안 함</t>
        </is>
      </c>
      <c r="F33" s="31" t="inlineStr"/>
      <c r="G33" s="31" t="inlineStr"/>
      <c r="H33" s="32">
        <f>IFERROR(IF(AND(F33&lt;&gt;"",G33&lt;&gt;""),(IF(F33="S",5,IF(F33="A",4,IF(F33="B",3,IF(F33="C",2,IF(F33="D",1,0)))))+IF(G33="S",5,IF(G33="A",4,IF(G33="B",3,IF(G33="C",2,IF(G33="D",1,0))))))/2,IF(F33&lt;&gt;"",IF(F33="S",5,IF(F33="A",4,IF(F33="B",3,IF(F33="C",2,IF(F33="D",1,0))))),IF(G33&lt;&gt;"",IF(G33="S",5,IF(G33="A",4,IF(G33="B",3,IF(G33="C",2,IF(G33="D",1,0))))),""))),"")</f>
        <v/>
      </c>
    </row>
    <row r="34" ht="100" customHeight="1">
      <c r="A34" s="2" t="inlineStr">
        <is>
          <t>C-9</t>
        </is>
      </c>
      <c r="B34" s="2" t="inlineStr">
        <is>
          <t>미래</t>
        </is>
      </c>
      <c r="C34" s="17" t="inlineStr">
        <is>
          <t>혁신 역량</t>
        </is>
      </c>
      <c r="D34" s="29" t="inlineStr">
        <is>
          <t>AI·자동화 등 최신 기술의 실무 접목</t>
        </is>
      </c>
      <c r="E34" s="30" t="inlineStr">
        <is>
          <t>S  혁신적 아이디어 제시 및 실현
A  적극 활용하여 효율성 제고
B  일상적 업무에 도구 활용
C  부분적 기능 사용
D  기술 활용 거의 없음</t>
        </is>
      </c>
      <c r="F34" s="31" t="inlineStr"/>
      <c r="G34" s="31" t="inlineStr"/>
      <c r="H34" s="32">
        <f>IFERROR(IF(AND(F34&lt;&gt;"",G34&lt;&gt;""),(IF(F34="S",5,IF(F34="A",4,IF(F34="B",3,IF(F34="C",2,IF(F34="D",1,0)))))+IF(G34="S",5,IF(G34="A",4,IF(G34="B",3,IF(G34="C",2,IF(G34="D",1,0))))))/2,IF(F34&lt;&gt;"",IF(F34="S",5,IF(F34="A",4,IF(F34="B",3,IF(F34="C",2,IF(F34="D",1,0))))),IF(G34&lt;&gt;"",IF(G34="S",5,IF(G34="A",4,IF(G34="B",3,IF(G34="C",2,IF(G34="D",1,0))))),""))),"")</f>
        <v/>
      </c>
    </row>
    <row r="35" ht="100" customHeight="1">
      <c r="A35" s="2" t="inlineStr">
        <is>
          <t>C-10</t>
        </is>
      </c>
      <c r="B35" s="2" t="inlineStr">
        <is>
          <t>미래</t>
        </is>
      </c>
      <c r="C35" s="17" t="inlineStr">
        <is>
          <t>프로세스 개선</t>
        </is>
      </c>
      <c r="D35" s="29" t="inlineStr">
        <is>
          <t>업무 절차 분석 및 비효율 개선</t>
        </is>
      </c>
      <c r="E35" s="30" t="inlineStr">
        <is>
          <t>S  제안 실행까지 주도함
A  능동적 개선 제안
B  개선의 필요성 인식
C  타인이 해야 할 일로 인식
D  개선 의지 없음</t>
        </is>
      </c>
      <c r="F35" s="31" t="inlineStr"/>
      <c r="G35" s="31" t="inlineStr"/>
      <c r="H35" s="32">
        <f>IFERROR(IF(AND(F35&lt;&gt;"",G35&lt;&gt;""),(IF(F35="S",5,IF(F35="A",4,IF(F35="B",3,IF(F35="C",2,IF(F35="D",1,0)))))+IF(G35="S",5,IF(G35="A",4,IF(G35="B",3,IF(G35="C",2,IF(G35="D",1,0))))))/2,IF(F35&lt;&gt;"",IF(F35="S",5,IF(F35="A",4,IF(F35="B",3,IF(F35="C",2,IF(F35="D",1,0))))),IF(G35&lt;&gt;"",IF(G35="S",5,IF(G35="A",4,IF(G35="B",3,IF(G35="C",2,IF(G35="D",1,0))))),""))),"")</f>
        <v/>
      </c>
    </row>
    <row r="36" ht="100" customHeight="1">
      <c r="A36" s="2" t="inlineStr">
        <is>
          <t>C-11</t>
        </is>
      </c>
      <c r="B36" s="2" t="inlineStr">
        <is>
          <t>미래</t>
        </is>
      </c>
      <c r="C36" s="17" t="inlineStr">
        <is>
          <t>지속가능 기여</t>
        </is>
      </c>
      <c r="D36" s="29" t="inlineStr">
        <is>
          <t>장기적 성과 향상·조직 기여</t>
        </is>
      </c>
      <c r="E36" s="30" t="inlineStr">
        <is>
          <t>S  성과 리딩 및 지속 성과 도출
A  개인 및 팀 성과 기여
B  기본 수준의 성과
C  성과 불명확, 기여 낮음
D  성과 없음, 소극적 태도</t>
        </is>
      </c>
      <c r="F36" s="31" t="inlineStr"/>
      <c r="G36" s="31" t="inlineStr"/>
      <c r="H36" s="32">
        <f>IFERROR(IF(AND(F36&lt;&gt;"",G36&lt;&gt;""),(IF(F36="S",5,IF(F36="A",4,IF(F36="B",3,IF(F36="C",2,IF(F36="D",1,0)))))+IF(G36="S",5,IF(G36="A",4,IF(G36="B",3,IF(G36="C",2,IF(G36="D",1,0))))))/2,IF(F36&lt;&gt;"",IF(F36="S",5,IF(F36="A",4,IF(F36="B",3,IF(F36="C",2,IF(F36="D",1,0))))),IF(G36&lt;&gt;"",IF(G36="S",5,IF(G36="A",4,IF(G36="B",3,IF(G36="C",2,IF(G36="D",1,0))))),""))),"")</f>
        <v/>
      </c>
    </row>
    <row r="37" ht="24" customHeight="1">
      <c r="A37" s="38" t="inlineStr">
        <is>
          <t>1차 평가자 공통역량 종합 (11개 단순 평균)</t>
        </is>
      </c>
      <c r="F37" s="34">
        <f>IFERROR((IF(F26="S",5,IF(F26="A",4,IF(F26="B",3,IF(F26="C",2,IF(F26="D",1,0)))))+IF(F27="S",5,IF(F27="A",4,IF(F27="B",3,IF(F27="C",2,IF(F27="D",1,0)))))+IF(F28="S",5,IF(F28="A",4,IF(F28="B",3,IF(F28="C",2,IF(F28="D",1,0)))))+IF(F29="S",5,IF(F29="A",4,IF(F29="B",3,IF(F29="C",2,IF(F29="D",1,0)))))+IF(F30="S",5,IF(F30="A",4,IF(F30="B",3,IF(F30="C",2,IF(F30="D",1,0)))))+IF(F31="S",5,IF(F31="A",4,IF(F31="B",3,IF(F31="C",2,IF(F31="D",1,0)))))+IF(F32="S",5,IF(F32="A",4,IF(F32="B",3,IF(F32="C",2,IF(F32="D",1,0)))))+IF(F33="S",5,IF(F33="A",4,IF(F33="B",3,IF(F33="C",2,IF(F33="D",1,0)))))+IF(F34="S",5,IF(F34="A",4,IF(F34="B",3,IF(F34="C",2,IF(F34="D",1,0)))))+IF(F35="S",5,IF(F35="A",4,IF(F35="B",3,IF(F35="C",2,IF(F35="D",1,0)))))+IF(F36="S",5,IF(F36="A",4,IF(F36="B",3,IF(F36="C",2,IF(F36="D",1,0))))))/11,"")</f>
        <v/>
      </c>
      <c r="G37" s="35" t="inlineStr">
        <is>
          <t>→ 등급</t>
        </is>
      </c>
      <c r="H37" s="36">
        <f>IF(F37="","",IF(F37&gt;=4.5,"S",IF(F37&gt;=3.5,"A",IF(F37&gt;=2.5,"B",IF(F37&gt;=1.5,"C","D")))))</f>
        <v/>
      </c>
    </row>
    <row r="38" ht="24" customHeight="1">
      <c r="A38" s="38" t="inlineStr">
        <is>
          <t>2차 평가자 공통역량 종합 (11개 단순 평균)</t>
        </is>
      </c>
      <c r="F38" s="34">
        <f>IFERROR((IF(G26="S",5,IF(G26="A",4,IF(G26="B",3,IF(G26="C",2,IF(G26="D",1,0)))))+IF(G27="S",5,IF(G27="A",4,IF(G27="B",3,IF(G27="C",2,IF(G27="D",1,0)))))+IF(G28="S",5,IF(G28="A",4,IF(G28="B",3,IF(G28="C",2,IF(G28="D",1,0)))))+IF(G29="S",5,IF(G29="A",4,IF(G29="B",3,IF(G29="C",2,IF(G29="D",1,0)))))+IF(G30="S",5,IF(G30="A",4,IF(G30="B",3,IF(G30="C",2,IF(G30="D",1,0)))))+IF(G31="S",5,IF(G31="A",4,IF(G31="B",3,IF(G31="C",2,IF(G31="D",1,0)))))+IF(G32="S",5,IF(G32="A",4,IF(G32="B",3,IF(G32="C",2,IF(G32="D",1,0)))))+IF(G33="S",5,IF(G33="A",4,IF(G33="B",3,IF(G33="C",2,IF(G33="D",1,0)))))+IF(G34="S",5,IF(G34="A",4,IF(G34="B",3,IF(G34="C",2,IF(G34="D",1,0)))))+IF(G35="S",5,IF(G35="A",4,IF(G35="B",3,IF(G35="C",2,IF(G35="D",1,0)))))+IF(G36="S",5,IF(G36="A",4,IF(G36="B",3,IF(G36="C",2,IF(G36="D",1,0))))))/11,"")</f>
        <v/>
      </c>
      <c r="G38" s="35" t="inlineStr">
        <is>
          <t>→ 등급</t>
        </is>
      </c>
      <c r="H38" s="36">
        <f>IF(F38="","",IF(F38&gt;=4.5,"S",IF(F38&gt;=3.5,"A",IF(F38&gt;=2.5,"B",IF(F38&gt;=1.5,"C","D")))))</f>
        <v/>
      </c>
    </row>
    <row r="40" ht="26" customHeight="1">
      <c r="A40" s="39" t="inlineStr">
        <is>
          <t>▶ ③ 직무역량평가 — 메인 책무(D열 O)만 평가</t>
        </is>
      </c>
    </row>
    <row r="41" ht="28" customHeight="1">
      <c r="A41" s="28" t="inlineStr">
        <is>
          <t>No.</t>
        </is>
      </c>
      <c r="B41" s="28" t="inlineStr">
        <is>
          <t>전문영역</t>
        </is>
      </c>
      <c r="C41" s="28" t="inlineStr">
        <is>
          <t>핵심 책무</t>
        </is>
      </c>
      <c r="D41" s="28" t="inlineStr">
        <is>
          <t>메인</t>
        </is>
      </c>
      <c r="E41" s="28" t="inlineStr">
        <is>
          <t>1차</t>
        </is>
      </c>
      <c r="F41" s="28" t="inlineStr">
        <is>
          <t>2차</t>
        </is>
      </c>
      <c r="G41" s="28" t="inlineStr">
        <is>
          <t>평균(참고)</t>
        </is>
      </c>
    </row>
    <row r="42" ht="22" customHeight="1">
      <c r="A42" s="35" t="inlineStr">
        <is>
          <t>J-1</t>
        </is>
      </c>
      <c r="B42" s="40" t="inlineStr">
        <is>
          <t>영업기획</t>
        </is>
      </c>
      <c r="C42" s="41" t="inlineStr">
        <is>
          <t>시장조사 및 고객 발굴</t>
        </is>
      </c>
      <c r="D42" s="31" t="inlineStr"/>
      <c r="E42" s="31" t="inlineStr"/>
      <c r="F42" s="31" t="inlineStr"/>
      <c r="G42" s="32">
        <f>IF(D42="O",IFERROR(IF(AND(E42&lt;&gt;"",F42&lt;&gt;""),(IF(E42="S",5,IF(E42="A",4,IF(E42="B",3,IF(E42="C",2,IF(E42="D",1,0)))))+IF(F42="S",5,IF(F42="A",4,IF(F42="B",3,IF(F42="C",2,IF(F42="D",1,0))))))/2,IF(E42&lt;&gt;"",IF(E42="S",5,IF(E42="A",4,IF(E42="B",3,IF(E42="C",2,IF(E42="D",1,0))))),IF(F42&lt;&gt;"",IF(F42="S",5,IF(F42="A",4,IF(F42="B",3,IF(F42="C",2,IF(F42="D",1,0))))),""))),""),"")</f>
        <v/>
      </c>
    </row>
    <row r="43" ht="22" customHeight="1">
      <c r="A43" s="35" t="inlineStr">
        <is>
          <t>J-2</t>
        </is>
      </c>
      <c r="B43" s="40" t="inlineStr">
        <is>
          <t>영업기획</t>
        </is>
      </c>
      <c r="C43" s="41" t="inlineStr">
        <is>
          <t>제안 및 입찰 준비</t>
        </is>
      </c>
      <c r="D43" s="31" t="inlineStr"/>
      <c r="E43" s="31" t="inlineStr"/>
      <c r="F43" s="31" t="inlineStr"/>
      <c r="G43" s="32">
        <f>IF(D43="O",IFERROR(IF(AND(E43&lt;&gt;"",F43&lt;&gt;""),(IF(E43="S",5,IF(E43="A",4,IF(E43="B",3,IF(E43="C",2,IF(E43="D",1,0)))))+IF(F43="S",5,IF(F43="A",4,IF(F43="B",3,IF(F43="C",2,IF(F43="D",1,0))))))/2,IF(E43&lt;&gt;"",IF(E43="S",5,IF(E43="A",4,IF(E43="B",3,IF(E43="C",2,IF(E43="D",1,0))))),IF(F43&lt;&gt;"",IF(F43="S",5,IF(F43="A",4,IF(F43="B",3,IF(F43="C",2,IF(F43="D",1,0))))),""))),""),"")</f>
        <v/>
      </c>
    </row>
    <row r="44" ht="22" customHeight="1">
      <c r="A44" s="35" t="inlineStr">
        <is>
          <t>J-3</t>
        </is>
      </c>
      <c r="B44" s="40" t="inlineStr">
        <is>
          <t>영업기획</t>
        </is>
      </c>
      <c r="C44" s="41" t="inlineStr">
        <is>
          <t>계약 협상</t>
        </is>
      </c>
      <c r="D44" s="31" t="inlineStr"/>
      <c r="E44" s="31" t="inlineStr"/>
      <c r="F44" s="31" t="inlineStr"/>
      <c r="G44" s="32">
        <f>IF(D44="O",IFERROR(IF(AND(E44&lt;&gt;"",F44&lt;&gt;""),(IF(E44="S",5,IF(E44="A",4,IF(E44="B",3,IF(E44="C",2,IF(E44="D",1,0)))))+IF(F44="S",5,IF(F44="A",4,IF(F44="B",3,IF(F44="C",2,IF(F44="D",1,0))))))/2,IF(E44&lt;&gt;"",IF(E44="S",5,IF(E44="A",4,IF(E44="B",3,IF(E44="C",2,IF(E44="D",1,0))))),IF(F44&lt;&gt;"",IF(F44="S",5,IF(F44="A",4,IF(F44="B",3,IF(F44="C",2,IF(F44="D",1,0))))),""))),""),"")</f>
        <v/>
      </c>
    </row>
    <row r="45" ht="22" customHeight="1">
      <c r="A45" s="35" t="inlineStr">
        <is>
          <t>J-4</t>
        </is>
      </c>
      <c r="B45" s="40" t="inlineStr">
        <is>
          <t>고객관리</t>
        </is>
      </c>
      <c r="C45" s="41" t="inlineStr">
        <is>
          <t>기존 고객 관리</t>
        </is>
      </c>
      <c r="D45" s="31" t="inlineStr"/>
      <c r="E45" s="31" t="inlineStr"/>
      <c r="F45" s="31" t="inlineStr"/>
      <c r="G45" s="32">
        <f>IF(D45="O",IFERROR(IF(AND(E45&lt;&gt;"",F45&lt;&gt;""),(IF(E45="S",5,IF(E45="A",4,IF(E45="B",3,IF(E45="C",2,IF(E45="D",1,0)))))+IF(F45="S",5,IF(F45="A",4,IF(F45="B",3,IF(F45="C",2,IF(F45="D",1,0))))))/2,IF(E45&lt;&gt;"",IF(E45="S",5,IF(E45="A",4,IF(E45="B",3,IF(E45="C",2,IF(E45="D",1,0))))),IF(F45&lt;&gt;"",IF(F45="S",5,IF(F45="A",4,IF(F45="B",3,IF(F45="C",2,IF(F45="D",1,0))))),""))),""),"")</f>
        <v/>
      </c>
    </row>
    <row r="46" ht="22" customHeight="1">
      <c r="A46" s="35" t="inlineStr">
        <is>
          <t>J-5</t>
        </is>
      </c>
      <c r="B46" s="40" t="inlineStr">
        <is>
          <t>고객관리</t>
        </is>
      </c>
      <c r="C46" s="41" t="inlineStr">
        <is>
          <t>신규 고객 개발</t>
        </is>
      </c>
      <c r="D46" s="31" t="inlineStr"/>
      <c r="E46" s="31" t="inlineStr"/>
      <c r="F46" s="31" t="inlineStr"/>
      <c r="G46" s="32">
        <f>IF(D46="O",IFERROR(IF(AND(E46&lt;&gt;"",F46&lt;&gt;""),(IF(E46="S",5,IF(E46="A",4,IF(E46="B",3,IF(E46="C",2,IF(E46="D",1,0)))))+IF(F46="S",5,IF(F46="A",4,IF(F46="B",3,IF(F46="C",2,IF(F46="D",1,0))))))/2,IF(E46&lt;&gt;"",IF(E46="S",5,IF(E46="A",4,IF(E46="B",3,IF(E46="C",2,IF(E46="D",1,0))))),IF(F46&lt;&gt;"",IF(F46="S",5,IF(F46="A",4,IF(F46="B",3,IF(F46="C",2,IF(F46="D",1,0))))),""))),""),"")</f>
        <v/>
      </c>
    </row>
    <row r="47" ht="22" customHeight="1">
      <c r="A47" s="35" t="inlineStr">
        <is>
          <t>J-6</t>
        </is>
      </c>
      <c r="B47" s="40" t="inlineStr">
        <is>
          <t>프로젝트 영업</t>
        </is>
      </c>
      <c r="C47" s="41" t="inlineStr">
        <is>
          <t>프로젝트 발굴 및 수주</t>
        </is>
      </c>
      <c r="D47" s="31" t="inlineStr"/>
      <c r="E47" s="31" t="inlineStr"/>
      <c r="F47" s="31" t="inlineStr"/>
      <c r="G47" s="32">
        <f>IF(D47="O",IFERROR(IF(AND(E47&lt;&gt;"",F47&lt;&gt;""),(IF(E47="S",5,IF(E47="A",4,IF(E47="B",3,IF(E47="C",2,IF(E47="D",1,0)))))+IF(F47="S",5,IF(F47="A",4,IF(F47="B",3,IF(F47="C",2,IF(F47="D",1,0))))))/2,IF(E47&lt;&gt;"",IF(E47="S",5,IF(E47="A",4,IF(E47="B",3,IF(E47="C",2,IF(E47="D",1,0))))),IF(F47&lt;&gt;"",IF(F47="S",5,IF(F47="A",4,IF(F47="B",3,IF(F47="C",2,IF(F47="D",1,0))))),""))),""),"")</f>
        <v/>
      </c>
    </row>
    <row r="48" ht="22" customHeight="1">
      <c r="A48" s="35" t="inlineStr">
        <is>
          <t>J-7</t>
        </is>
      </c>
      <c r="B48" s="40" t="inlineStr">
        <is>
          <t>프로젝트 영업</t>
        </is>
      </c>
      <c r="C48" s="41" t="inlineStr">
        <is>
          <t>계약 후 사후관리</t>
        </is>
      </c>
      <c r="D48" s="31" t="inlineStr"/>
      <c r="E48" s="31" t="inlineStr"/>
      <c r="F48" s="31" t="inlineStr"/>
      <c r="G48" s="32">
        <f>IF(D48="O",IFERROR(IF(AND(E48&lt;&gt;"",F48&lt;&gt;""),(IF(E48="S",5,IF(E48="A",4,IF(E48="B",3,IF(E48="C",2,IF(E48="D",1,0)))))+IF(F48="S",5,IF(F48="A",4,IF(F48="B",3,IF(F48="C",2,IF(F48="D",1,0))))))/2,IF(E48&lt;&gt;"",IF(E48="S",5,IF(E48="A",4,IF(E48="B",3,IF(E48="C",2,IF(E48="D",1,0))))),IF(F48&lt;&gt;"",IF(F48="S",5,IF(F48="A",4,IF(F48="B",3,IF(F48="C",2,IF(F48="D",1,0))))),""))),""),"")</f>
        <v/>
      </c>
    </row>
    <row r="50" ht="24" customHeight="1">
      <c r="A50" s="42" t="inlineStr">
        <is>
          <t>1차 평가자 직무 종합 (메인 책무 평균)</t>
        </is>
      </c>
      <c r="E50" s="34">
        <f>IFERROR(SUMPRODUCT((D42:D48="O")*IFERROR(IF(E42:E48="S",5,IF(E42:E48="A",4,IF(E42:E48="B",3,IF(E42:E48="C",2,IF(E42:E48="D",1,0))))),0))/COUNTIF(D42:D48,"O"),"")</f>
        <v/>
      </c>
      <c r="F50" s="36">
        <f>IF(E50="","",IF(E50&gt;=4.5,"S",IF(E50&gt;=3.5,"A",IF(E50&gt;=2.5,"B",IF(E50&gt;=1.5,"C","D")))))</f>
        <v/>
      </c>
    </row>
    <row r="51" ht="24" customHeight="1">
      <c r="A51" s="42" t="inlineStr">
        <is>
          <t>2차 평가자 직무 종합</t>
        </is>
      </c>
      <c r="E51" s="34">
        <f>IFERROR(SUMPRODUCT((D42:D48="O")*IFERROR(IF(F42:F48="S",5,IF(F42:F48="A",4,IF(F42:F48="B",3,IF(F42:F48="C",2,IF(F42:F48="D",1,0))))),0))/COUNTIF(D42:D48,"O"),"")</f>
        <v/>
      </c>
      <c r="F51" s="36">
        <f>IF(E51="","",IF(E51&gt;=4.5,"S",IF(E51&gt;=3.5,"A",IF(E51&gt;=2.5,"B",IF(E51&gt;=1.5,"C","D")))))</f>
        <v/>
      </c>
    </row>
    <row r="54" ht="32" customHeight="1">
      <c r="A54" s="43" t="inlineStr">
        <is>
          <t>▶ 통합관리시트 입력 행 (아래 한 줄 A~G 7개 셀 통째 복사 → 통합시트 07a/07b 해당 사번 행 G~M에 [값 붙여넣기])</t>
        </is>
      </c>
    </row>
    <row r="55" ht="28" customHeight="1">
      <c r="A55" s="44" t="inlineStr">
        <is>
          <t>역할(1차)</t>
        </is>
      </c>
      <c r="B55" s="44" t="inlineStr">
        <is>
          <t>역할(2차)</t>
        </is>
      </c>
      <c r="C55" s="44" t="inlineStr">
        <is>
          <t>공통(1차)</t>
        </is>
      </c>
      <c r="D55" s="44" t="inlineStr">
        <is>
          <t>공통(2차)</t>
        </is>
      </c>
      <c r="E55" s="44" t="inlineStr">
        <is>
          <t>직무(1차)</t>
        </is>
      </c>
      <c r="F55" s="44" t="inlineStr">
        <is>
          <t>직무(2차)</t>
        </is>
      </c>
      <c r="G55" s="44" t="inlineStr">
        <is>
          <t>소견</t>
        </is>
      </c>
    </row>
    <row r="56" ht="36" customHeight="1">
      <c r="A56" s="45">
        <f>G21</f>
        <v/>
      </c>
      <c r="B56" s="45">
        <f>G22</f>
        <v/>
      </c>
      <c r="C56" s="45">
        <f>H37</f>
        <v/>
      </c>
      <c r="D56" s="45">
        <f>H38</f>
        <v/>
      </c>
      <c r="E56" s="45">
        <f>F50</f>
        <v/>
      </c>
      <c r="F56" s="45">
        <f>F51</f>
        <v/>
      </c>
      <c r="G56" s="46" t="inlineStr"/>
    </row>
    <row r="57" ht="26" customHeight="1">
      <c r="A57" s="47" t="inlineStr">
        <is>
          <t>사용법: 위 한 줄 A~G 선택 → Ctrl+C → 통합시트 07a/07b 해당 사번 행 G~M에 [선택하여 붙여넣기 → 값]</t>
        </is>
      </c>
    </row>
    <row r="59" ht="24" customHeight="1">
      <c r="A59" s="3" t="inlineStr">
        <is>
          <t>▶ 종합 소견</t>
        </is>
      </c>
    </row>
    <row r="60" ht="40" customHeight="1">
      <c r="A60" s="21" t="inlineStr">
        <is>
          <t>강점</t>
        </is>
      </c>
      <c r="B60" s="48" t="inlineStr"/>
    </row>
    <row r="61" ht="40" customHeight="1">
      <c r="A61" s="21" t="inlineStr">
        <is>
          <t>개선</t>
        </is>
      </c>
      <c r="B61" s="48" t="inlineStr"/>
    </row>
    <row r="62" ht="40" customHeight="1">
      <c r="A62" s="21" t="inlineStr">
        <is>
          <t>육성 방향</t>
        </is>
      </c>
      <c r="B62" s="48" t="inlineStr"/>
    </row>
  </sheetData>
  <mergeCells count="23">
    <mergeCell ref="A7:I7"/>
    <mergeCell ref="B62:I62"/>
    <mergeCell ref="F9:I9"/>
    <mergeCell ref="A22:D22"/>
    <mergeCell ref="A2:I2"/>
    <mergeCell ref="B14:I14"/>
    <mergeCell ref="A37:E37"/>
    <mergeCell ref="B60:I60"/>
    <mergeCell ref="A51:D51"/>
    <mergeCell ref="B61:I61"/>
    <mergeCell ref="A4:I4"/>
    <mergeCell ref="F10:I10"/>
    <mergeCell ref="A13:I13"/>
    <mergeCell ref="A40:I40"/>
    <mergeCell ref="A54:G54"/>
    <mergeCell ref="A24:I24"/>
    <mergeCell ref="A59:I59"/>
    <mergeCell ref="A38:E38"/>
    <mergeCell ref="F8:I8"/>
    <mergeCell ref="A50:D50"/>
    <mergeCell ref="A21:D21"/>
    <mergeCell ref="A1:I1"/>
    <mergeCell ref="A57:G57"/>
  </mergeCells>
  <conditionalFormatting sqref="A56:G56">
    <cfRule type="cellIs" priority="1" operator="equal" dxfId="0">
      <formula>"S"</formula>
    </cfRule>
    <cfRule type="cellIs" priority="2" operator="equal" dxfId="1">
      <formula>"A"</formula>
    </cfRule>
    <cfRule type="cellIs" priority="3" operator="equal" dxfId="2">
      <formula>"C"</formula>
    </cfRule>
    <cfRule type="cellIs" priority="4" operator="equal" dxfId="3">
      <formula>"D"</formula>
    </cfRule>
  </conditionalFormatting>
  <dataValidations count="5">
    <dataValidation sqref="B11" showDropDown="0" showInputMessage="0" showErrorMessage="0" allowBlank="0" type="list">
      <formula1>"상반기,하반기"</formula1>
    </dataValidation>
    <dataValidation sqref="E16:F20" showDropDown="0" showInputMessage="0" showErrorMessage="0" allowBlank="1" type="list">
      <formula1>"S,A,B,C,D"</formula1>
    </dataValidation>
    <dataValidation sqref="F26:G36" showDropDown="0" showInputMessage="0" showErrorMessage="0" allowBlank="1" type="list">
      <formula1>"S,A,B,C,D"</formula1>
    </dataValidation>
    <dataValidation sqref="D42:D48" showDropDown="0" showInputMessage="0" showErrorMessage="0" allowBlank="1" type="list">
      <formula1>"O,X"</formula1>
    </dataValidation>
    <dataValidation sqref="E42:F48" showDropDown="0" showInputMessage="0" showErrorMessage="0" allowBlank="1" type="list">
      <formula1>"S,A,B,C,D"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70AD47"/>
    <outlinePr summaryBelow="1" summaryRight="1"/>
    <pageSetUpPr/>
  </sheetPr>
  <dimension ref="A1:I62"/>
  <sheetViews>
    <sheetView workbookViewId="0">
      <selection activeCell="A1" sqref="A1"/>
    </sheetView>
  </sheetViews>
  <sheetFormatPr baseColWidth="8" defaultRowHeight="15"/>
  <cols>
    <col width="6" customWidth="1" min="1" max="1"/>
    <col width="11" customWidth="1" min="2" max="2"/>
    <col width="22" customWidth="1" min="3" max="3"/>
    <col width="30" customWidth="1" min="4" max="4"/>
    <col width="32" customWidth="1" min="5" max="5"/>
    <col width="11" customWidth="1" min="6" max="6"/>
    <col width="11" customWidth="1" min="7" max="7"/>
    <col width="12" customWidth="1" min="8" max="8"/>
    <col width="12" customWidth="1" min="9" max="9"/>
  </cols>
  <sheetData>
    <row r="1" ht="30" customHeight="1">
      <c r="A1" s="1" t="inlineStr">
        <is>
          <t>성과평가지 양식 - 프로젝트영업 / G5-S (실무 스페셜리스트)</t>
        </is>
      </c>
    </row>
    <row r="2" ht="22" customHeight="1">
      <c r="A2" s="2" t="inlineStr">
        <is>
          <t>1·2차 평가자가 등급(S/A/B/C/D)만 입력. 가중치는 통합관리시트에서 자동 처리.</t>
        </is>
      </c>
    </row>
    <row r="4" ht="24" customHeight="1">
      <c r="A4" s="3" t="inlineStr">
        <is>
          <t>▶ 평가 대상자 정보 (주황셀에 입력)</t>
        </is>
      </c>
    </row>
    <row r="5" ht="22" customHeight="1">
      <c r="A5" s="18" t="inlineStr">
        <is>
          <t>사번</t>
        </is>
      </c>
      <c r="B5" s="19" t="inlineStr"/>
      <c r="C5" s="18" t="inlineStr">
        <is>
          <t>성명</t>
        </is>
      </c>
      <c r="D5" s="19" t="inlineStr"/>
      <c r="E5" s="18" t="inlineStr">
        <is>
          <t>직군</t>
        </is>
      </c>
      <c r="F5" s="19" t="inlineStr"/>
      <c r="G5" s="18" t="inlineStr">
        <is>
          <t>부서</t>
        </is>
      </c>
      <c r="H5" s="19" t="inlineStr"/>
    </row>
    <row r="6" ht="22" customHeight="1">
      <c r="A6" s="18" t="inlineStr">
        <is>
          <t>기존직급</t>
        </is>
      </c>
      <c r="B6" s="19" t="inlineStr"/>
      <c r="C6" s="18" t="inlineStr">
        <is>
          <t>직무</t>
        </is>
      </c>
      <c r="D6" s="20" t="inlineStr">
        <is>
          <t>프로젝트영업</t>
        </is>
      </c>
      <c r="E6" s="18" t="inlineStr">
        <is>
          <t>역할등급</t>
        </is>
      </c>
      <c r="F6" s="20" t="inlineStr">
        <is>
          <t>G5-S</t>
        </is>
      </c>
      <c r="G6" s="18" t="inlineStr">
        <is>
          <t>역할명</t>
        </is>
      </c>
      <c r="H6" s="20" t="inlineStr">
        <is>
          <t>실무 스페셜리스트</t>
        </is>
      </c>
    </row>
    <row r="7" ht="24" customHeight="1">
      <c r="A7" s="3" t="inlineStr">
        <is>
          <t>▶ 평가자 정보 (주황셀에 입력)</t>
        </is>
      </c>
    </row>
    <row r="8" ht="24" customHeight="1">
      <c r="A8" s="15" t="inlineStr">
        <is>
          <t>구분</t>
        </is>
      </c>
      <c r="B8" s="15" t="inlineStr">
        <is>
          <t>사번</t>
        </is>
      </c>
      <c r="C8" s="15" t="inlineStr">
        <is>
          <t>성명</t>
        </is>
      </c>
      <c r="D8" s="15" t="inlineStr">
        <is>
          <t>직책</t>
        </is>
      </c>
      <c r="E8" s="15" t="inlineStr">
        <is>
          <t>부서</t>
        </is>
      </c>
      <c r="F8" s="15" t="inlineStr">
        <is>
          <t>이메일</t>
        </is>
      </c>
    </row>
    <row r="9" ht="24" customHeight="1">
      <c r="A9" s="21" t="inlineStr">
        <is>
          <t>1차 평가자 (직속상사)</t>
        </is>
      </c>
      <c r="B9" s="22" t="inlineStr"/>
      <c r="C9" s="22" t="inlineStr"/>
      <c r="D9" s="22" t="inlineStr"/>
      <c r="E9" s="22" t="inlineStr"/>
      <c r="F9" s="23" t="inlineStr"/>
    </row>
    <row r="10" ht="24" customHeight="1">
      <c r="A10" s="21" t="inlineStr">
        <is>
          <t>2차 평가자 (조정자)</t>
        </is>
      </c>
      <c r="B10" s="22" t="inlineStr"/>
      <c r="C10" s="22" t="inlineStr"/>
      <c r="D10" s="22" t="inlineStr"/>
      <c r="E10" s="22" t="inlineStr"/>
      <c r="F10" s="23" t="inlineStr"/>
    </row>
    <row r="11" ht="24" customHeight="1">
      <c r="A11" s="21" t="inlineStr">
        <is>
          <t>평가 차수</t>
        </is>
      </c>
      <c r="B11" s="24" t="inlineStr">
        <is>
          <t>상반기</t>
        </is>
      </c>
      <c r="C11" s="21" t="inlineStr">
        <is>
          <t>평가 완료일</t>
        </is>
      </c>
      <c r="D11" s="22" t="inlineStr"/>
    </row>
    <row r="13" ht="26" customHeight="1">
      <c r="A13" s="25" t="inlineStr">
        <is>
          <t>▶ ① 역할평가 — 5개 BARS 항목</t>
        </is>
      </c>
    </row>
    <row r="14" ht="38" customHeight="1">
      <c r="A14" s="26" t="inlineStr">
        <is>
          <t>역할 정의</t>
        </is>
      </c>
      <c r="B14" s="27" t="inlineStr">
        <is>
          <t>직무 최고 수준의 전문성과 고난이도 프로젝트를 수행하며 기술 자산화·전파 주도.</t>
        </is>
      </c>
    </row>
    <row r="15" ht="28" customHeight="1">
      <c r="A15" s="28" t="inlineStr">
        <is>
          <t>No.</t>
        </is>
      </c>
      <c r="B15" s="28" t="inlineStr">
        <is>
          <t>평가항목</t>
        </is>
      </c>
      <c r="C15" s="28" t="inlineStr">
        <is>
          <t>평가 기준</t>
        </is>
      </c>
      <c r="D15" s="28" t="inlineStr">
        <is>
          <t>S/A/B/C/D 등급 기준</t>
        </is>
      </c>
      <c r="E15" s="28" t="inlineStr">
        <is>
          <t>1차</t>
        </is>
      </c>
      <c r="F15" s="28" t="inlineStr">
        <is>
          <t>2차</t>
        </is>
      </c>
      <c r="G15" s="28" t="inlineStr">
        <is>
          <t>평균(참고)</t>
        </is>
      </c>
    </row>
    <row r="16" ht="90" customHeight="1">
      <c r="A16" s="26" t="inlineStr">
        <is>
          <t>R-1</t>
        </is>
      </c>
      <c r="B16" s="17" t="inlineStr">
        <is>
          <t>책임범위 이행도</t>
        </is>
      </c>
      <c r="C16" s="29" t="inlineStr">
        <is>
          <t>역할등급에 부합하는 책임 범위 내 업무 수행</t>
        </is>
      </c>
      <c r="D16" s="30" t="inlineStr">
        <is>
          <t>S  기대 현저히 초과
A  기대 상회
B  기대 부합
C  부분 미흡
D  전반 미흡</t>
        </is>
      </c>
      <c r="E16" s="31" t="inlineStr"/>
      <c r="F16" s="31" t="inlineStr"/>
      <c r="G16" s="32">
        <f>IFERROR(IF(AND(E16&lt;&gt;"",F16&lt;&gt;""),(IF(E16="S",5,IF(E16="A",4,IF(E16="B",3,IF(E16="C",2,IF(E16="D",1,0)))))+IF(F16="S",5,IF(F16="A",4,IF(F16="B",3,IF(F16="C",2,IF(F16="D",1,0))))))/2,IF(E16&lt;&gt;"",IF(E16="S",5,IF(E16="A",4,IF(E16="B",3,IF(E16="C",2,IF(E16="D",1,0))))),IF(F16&lt;&gt;"",IF(F16="S",5,IF(F16="A",4,IF(F16="B",3,IF(F16="C",2,IF(F16="D",1,0))))),""))),"")</f>
        <v/>
      </c>
    </row>
    <row r="17" ht="90" customHeight="1">
      <c r="A17" s="26" t="inlineStr">
        <is>
          <t>R-2</t>
        </is>
      </c>
      <c r="B17" s="17" t="inlineStr">
        <is>
          <t>의사결정 적절성</t>
        </is>
      </c>
      <c r="C17" s="29" t="inlineStr">
        <is>
          <t>권한 수준 내 시의적절·합리적 의사결정</t>
        </is>
      </c>
      <c r="D17" s="30" t="inlineStr">
        <is>
          <t>S  기대 현저히 초과
A  기대 상회
B  기대 부합
C  부분 미흡
D  전반 미흡</t>
        </is>
      </c>
      <c r="E17" s="31" t="inlineStr"/>
      <c r="F17" s="31" t="inlineStr"/>
      <c r="G17" s="32">
        <f>IFERROR(IF(AND(E17&lt;&gt;"",F17&lt;&gt;""),(IF(E17="S",5,IF(E17="A",4,IF(E17="B",3,IF(E17="C",2,IF(E17="D",1,0)))))+IF(F17="S",5,IF(F17="A",4,IF(F17="B",3,IF(F17="C",2,IF(F17="D",1,0))))))/2,IF(E17&lt;&gt;"",IF(E17="S",5,IF(E17="A",4,IF(E17="B",3,IF(E17="C",2,IF(E17="D",1,0))))),IF(F17&lt;&gt;"",IF(F17="S",5,IF(F17="A",4,IF(F17="B",3,IF(F17="C",2,IF(F17="D",1,0))))),""))),"")</f>
        <v/>
      </c>
    </row>
    <row r="18" ht="90" customHeight="1">
      <c r="A18" s="26" t="inlineStr">
        <is>
          <t>R-3</t>
        </is>
      </c>
      <c r="B18" s="17" t="inlineStr">
        <is>
          <t>성과 기여도</t>
        </is>
      </c>
      <c r="C18" s="29" t="inlineStr">
        <is>
          <t>조직·프로젝트 목표 달성에 정량적 기여</t>
        </is>
      </c>
      <c r="D18" s="30" t="inlineStr">
        <is>
          <t>S  기대 현저히 초과
A  기대 상회
B  기대 부합
C  부분 미흡
D  전반 미흡</t>
        </is>
      </c>
      <c r="E18" s="31" t="inlineStr"/>
      <c r="F18" s="31" t="inlineStr"/>
      <c r="G18" s="32">
        <f>IFERROR(IF(AND(E18&lt;&gt;"",F18&lt;&gt;""),(IF(E18="S",5,IF(E18="A",4,IF(E18="B",3,IF(E18="C",2,IF(E18="D",1,0)))))+IF(F18="S",5,IF(F18="A",4,IF(F18="B",3,IF(F18="C",2,IF(F18="D",1,0))))))/2,IF(E18&lt;&gt;"",IF(E18="S",5,IF(E18="A",4,IF(E18="B",3,IF(E18="C",2,IF(E18="D",1,0))))),IF(F18&lt;&gt;"",IF(F18="S",5,IF(F18="A",4,IF(F18="B",3,IF(F18="C",2,IF(F18="D",1,0))))),""))),"")</f>
        <v/>
      </c>
    </row>
    <row r="19" ht="90" customHeight="1">
      <c r="A19" s="26" t="inlineStr">
        <is>
          <t>R-4</t>
        </is>
      </c>
      <c r="B19" s="17" t="inlineStr">
        <is>
          <t>조직 후배 코칭</t>
        </is>
      </c>
      <c r="C19" s="29" t="inlineStr">
        <is>
          <t>상·하위 역할과 효과적 협업 및 후배 코칭</t>
        </is>
      </c>
      <c r="D19" s="30" t="inlineStr">
        <is>
          <t>S  기대 현저히 초과
A  기대 상회
B  기대 부합
C  부분 미흡
D  전반 미흡</t>
        </is>
      </c>
      <c r="E19" s="31" t="inlineStr"/>
      <c r="F19" s="31" t="inlineStr"/>
      <c r="G19" s="32">
        <f>IFERROR(IF(AND(E19&lt;&gt;"",F19&lt;&gt;""),(IF(E19="S",5,IF(E19="A",4,IF(E19="B",3,IF(E19="C",2,IF(E19="D",1,0)))))+IF(F19="S",5,IF(F19="A",4,IF(F19="B",3,IF(F19="C",2,IF(F19="D",1,0))))))/2,IF(E19&lt;&gt;"",IF(E19="S",5,IF(E19="A",4,IF(E19="B",3,IF(E19="C",2,IF(E19="D",1,0))))),IF(F19&lt;&gt;"",IF(F19="S",5,IF(F19="A",4,IF(F19="B",3,IF(F19="C",2,IF(F19="D",1,0))))),""))),"")</f>
        <v/>
      </c>
    </row>
    <row r="20" ht="90" customHeight="1">
      <c r="A20" s="26" t="inlineStr">
        <is>
          <t>R-5</t>
        </is>
      </c>
      <c r="B20" s="17" t="inlineStr">
        <is>
          <t>산출물 완성도</t>
        </is>
      </c>
      <c r="C20" s="29" t="inlineStr">
        <is>
          <t>산출물 품질과 기한 준수</t>
        </is>
      </c>
      <c r="D20" s="30" t="inlineStr">
        <is>
          <t>S  기대 현저히 초과
A  기대 상회
B  기대 부합
C  부분 미흡
D  전반 미흡</t>
        </is>
      </c>
      <c r="E20" s="31" t="inlineStr"/>
      <c r="F20" s="31" t="inlineStr"/>
      <c r="G20" s="32">
        <f>IFERROR(IF(AND(E20&lt;&gt;"",F20&lt;&gt;""),(IF(E20="S",5,IF(E20="A",4,IF(E20="B",3,IF(E20="C",2,IF(E20="D",1,0)))))+IF(F20="S",5,IF(F20="A",4,IF(F20="B",3,IF(F20="C",2,IF(F20="D",1,0))))))/2,IF(E20&lt;&gt;"",IF(E20="S",5,IF(E20="A",4,IF(E20="B",3,IF(E20="C",2,IF(E20="D",1,0))))),IF(F20&lt;&gt;"",IF(F20="S",5,IF(F20="A",4,IF(F20="B",3,IF(F20="C",2,IF(F20="D",1,0))))),""))),"")</f>
        <v/>
      </c>
    </row>
    <row r="21" ht="24" customHeight="1">
      <c r="A21" s="33" t="inlineStr">
        <is>
          <t>1차 평가자 역할 종합 (5개 평균)</t>
        </is>
      </c>
      <c r="E21" s="34">
        <f>IFERROR((IF(E16="S",5,IF(E16="A",4,IF(E16="B",3,IF(E16="C",2,IF(E16="D",1,0)))))+IF(E17="S",5,IF(E17="A",4,IF(E17="B",3,IF(E17="C",2,IF(E17="D",1,0)))))+IF(E18="S",5,IF(E18="A",4,IF(E18="B",3,IF(E18="C",2,IF(E18="D",1,0)))))+IF(E19="S",5,IF(E19="A",4,IF(E19="B",3,IF(E19="C",2,IF(E19="D",1,0)))))+IF(E20="S",5,IF(E20="A",4,IF(E20="B",3,IF(E20="C",2,IF(E20="D",1,0))))))/5,"")</f>
        <v/>
      </c>
      <c r="F21" s="35" t="inlineStr">
        <is>
          <t>→ 등급</t>
        </is>
      </c>
      <c r="G21" s="36">
        <f>IF(E21="","",IF(E21&gt;=4.5,"S",IF(E21&gt;=3.5,"A",IF(E21&gt;=2.5,"B",IF(E21&gt;=1.5,"C","D")))))</f>
        <v/>
      </c>
    </row>
    <row r="22" ht="24" customHeight="1">
      <c r="A22" s="33" t="inlineStr">
        <is>
          <t>2차 평가자 역할 종합 (5개 평균)</t>
        </is>
      </c>
      <c r="E22" s="34">
        <f>IFERROR((IF(F16="S",5,IF(F16="A",4,IF(F16="B",3,IF(F16="C",2,IF(F16="D",1,0)))))+IF(F17="S",5,IF(F17="A",4,IF(F17="B",3,IF(F17="C",2,IF(F17="D",1,0)))))+IF(F18="S",5,IF(F18="A",4,IF(F18="B",3,IF(F18="C",2,IF(F18="D",1,0)))))+IF(F19="S",5,IF(F19="A",4,IF(F19="B",3,IF(F19="C",2,IF(F19="D",1,0)))))+IF(F20="S",5,IF(F20="A",4,IF(F20="B",3,IF(F20="C",2,IF(F20="D",1,0))))))/5,"")</f>
        <v/>
      </c>
      <c r="F22" s="35" t="inlineStr">
        <is>
          <t>→ 등급</t>
        </is>
      </c>
      <c r="G22" s="36">
        <f>IF(E22="","",IF(E22&gt;=4.5,"S",IF(E22&gt;=3.5,"A",IF(E22&gt;=2.5,"B",IF(E22&gt;=1.5,"C","D")))))</f>
        <v/>
      </c>
    </row>
    <row r="24" ht="26" customHeight="1">
      <c r="A24" s="37" t="inlineStr">
        <is>
          <t>▶ ② 공통역량평가 — 11개 (★ S/A/B/C/D 평가기준 포함)</t>
        </is>
      </c>
    </row>
    <row r="25" ht="28" customHeight="1">
      <c r="A25" s="28" t="inlineStr">
        <is>
          <t>No.</t>
        </is>
      </c>
      <c r="B25" s="28" t="inlineStr">
        <is>
          <t>역량군</t>
        </is>
      </c>
      <c r="C25" s="28" t="inlineStr">
        <is>
          <t>핵심 역량</t>
        </is>
      </c>
      <c r="D25" s="28" t="inlineStr">
        <is>
          <t>평가 기준</t>
        </is>
      </c>
      <c r="E25" s="28" t="inlineStr">
        <is>
          <t>S/A/B/C/D 등급 기준</t>
        </is>
      </c>
      <c r="F25" s="28" t="inlineStr">
        <is>
          <t>1차</t>
        </is>
      </c>
      <c r="G25" s="28" t="inlineStr">
        <is>
          <t>2차</t>
        </is>
      </c>
      <c r="H25" s="28" t="inlineStr">
        <is>
          <t>평균(참고)</t>
        </is>
      </c>
    </row>
    <row r="26" ht="100" customHeight="1">
      <c r="A26" s="2" t="inlineStr">
        <is>
          <t>C-1</t>
        </is>
      </c>
      <c r="B26" s="2" t="inlineStr">
        <is>
          <t>업무</t>
        </is>
      </c>
      <c r="C26" s="17" t="inlineStr">
        <is>
          <t>직무 전문성</t>
        </is>
      </c>
      <c r="D26" s="29" t="inlineStr">
        <is>
          <t>직무에 필요한 전문 지식 및 기술 보유, 실무 적용</t>
        </is>
      </c>
      <c r="E26" s="30" t="inlineStr">
        <is>
          <t>S  고급 지식과 숙련도, 타 부서 교육 가능
A  최신 트렌드 반영, 실무에 적절 활용
B  일반 수준 이해 및 적용
C  일부 기술 이해, 개선 필요
D  지식 부족, 실무 반영 어려움</t>
        </is>
      </c>
      <c r="F26" s="31" t="inlineStr"/>
      <c r="G26" s="31" t="inlineStr"/>
      <c r="H26" s="32">
        <f>IFERROR(IF(AND(F26&lt;&gt;"",G26&lt;&gt;""),(IF(F26="S",5,IF(F26="A",4,IF(F26="B",3,IF(F26="C",2,IF(F26="D",1,0)))))+IF(G26="S",5,IF(G26="A",4,IF(G26="B",3,IF(G26="C",2,IF(G26="D",1,0))))))/2,IF(F26&lt;&gt;"",IF(F26="S",5,IF(F26="A",4,IF(F26="B",3,IF(F26="C",2,IF(F26="D",1,0))))),IF(G26&lt;&gt;"",IF(G26="S",5,IF(G26="A",4,IF(G26="B",3,IF(G26="C",2,IF(G26="D",1,0))))),""))),"")</f>
        <v/>
      </c>
    </row>
    <row r="27" ht="100" customHeight="1">
      <c r="A27" s="2" t="inlineStr">
        <is>
          <t>C-2</t>
        </is>
      </c>
      <c r="B27" s="2" t="inlineStr">
        <is>
          <t>업무</t>
        </is>
      </c>
      <c r="C27" s="17" t="inlineStr">
        <is>
          <t>분석력</t>
        </is>
      </c>
      <c r="D27" s="29" t="inlineStr">
        <is>
          <t>데이터·수치 기반 사고로 업무 효율 향상</t>
        </is>
      </c>
      <c r="E27" s="30" t="inlineStr">
        <is>
          <t>S  데이터 기반 전략 도출 가능
A  분석 후 결과 활용 능숙
B  기본적 분석 및 간단한 적용 가능
C  기본 해석은 가능하나 활용 미흡
D  자료 해석 불가, 의사결정 어려움</t>
        </is>
      </c>
      <c r="F27" s="31" t="inlineStr"/>
      <c r="G27" s="31" t="inlineStr"/>
      <c r="H27" s="32">
        <f>IFERROR(IF(AND(F27&lt;&gt;"",G27&lt;&gt;""),(IF(F27="S",5,IF(F27="A",4,IF(F27="B",3,IF(F27="C",2,IF(F27="D",1,0)))))+IF(G27="S",5,IF(G27="A",4,IF(G27="B",3,IF(G27="C",2,IF(G27="D",1,0))))))/2,IF(F27&lt;&gt;"",IF(F27="S",5,IF(F27="A",4,IF(F27="B",3,IF(F27="C",2,IF(F27="D",1,0))))),IF(G27&lt;&gt;"",IF(G27="S",5,IF(G27="A",4,IF(G27="B",3,IF(G27="C",2,IF(G27="D",1,0))))),""))),"")</f>
        <v/>
      </c>
    </row>
    <row r="28" ht="100" customHeight="1">
      <c r="A28" s="2" t="inlineStr">
        <is>
          <t>C-3</t>
        </is>
      </c>
      <c r="B28" s="2" t="inlineStr">
        <is>
          <t>업무</t>
        </is>
      </c>
      <c r="C28" s="17" t="inlineStr">
        <is>
          <t>기획/실행력</t>
        </is>
      </c>
      <c r="D28" s="29" t="inlineStr">
        <is>
          <t>목표 설정·계획 수립·체계적 실행 능력</t>
        </is>
      </c>
      <c r="E28" s="30" t="inlineStr">
        <is>
          <t>S  스스로 목표 수립 및 조직 리딩 가능
A  계획 수립 능력 우수 및 실행 일관성
B  일반적 목표 수립 및 실현 가능
C  실행 계획 일부 있으나 체계 부족
D  목표 설정 부정확, 실행력 부족</t>
        </is>
      </c>
      <c r="F28" s="31" t="inlineStr"/>
      <c r="G28" s="31" t="inlineStr"/>
      <c r="H28" s="32">
        <f>IFERROR(IF(AND(F28&lt;&gt;"",G28&lt;&gt;""),(IF(F28="S",5,IF(F28="A",4,IF(F28="B",3,IF(F28="C",2,IF(F28="D",1,0)))))+IF(G28="S",5,IF(G28="A",4,IF(G28="B",3,IF(G28="C",2,IF(G28="D",1,0))))))/2,IF(F28&lt;&gt;"",IF(F28="S",5,IF(F28="A",4,IF(F28="B",3,IF(F28="C",2,IF(F28="D",1,0))))),IF(G28&lt;&gt;"",IF(G28="S",5,IF(G28="A",4,IF(G28="B",3,IF(G28="C",2,IF(G28="D",1,0))))),""))),"")</f>
        <v/>
      </c>
    </row>
    <row r="29" ht="100" customHeight="1">
      <c r="A29" s="2" t="inlineStr">
        <is>
          <t>C-4</t>
        </is>
      </c>
      <c r="B29" s="2" t="inlineStr">
        <is>
          <t>조직</t>
        </is>
      </c>
      <c r="C29" s="17" t="inlineStr">
        <is>
          <t>자원·시간 관리</t>
        </is>
      </c>
      <c r="D29" s="29" t="inlineStr">
        <is>
          <t>업무 우선순위 설정 및 시간 내 효과적 완수</t>
        </is>
      </c>
      <c r="E29" s="30" t="inlineStr">
        <is>
          <t>S  다중 과제 효율 배분, 시간관리 탁월
A  업무 효율성 높고 우선순위 명확
B  일반 수준 일정 조율 가능
C  마감 어려움, 우선순위 혼란
D  업무 지연 잦고 계획 없음</t>
        </is>
      </c>
      <c r="F29" s="31" t="inlineStr"/>
      <c r="G29" s="31" t="inlineStr"/>
      <c r="H29" s="32">
        <f>IFERROR(IF(AND(F29&lt;&gt;"",G29&lt;&gt;""),(IF(F29="S",5,IF(F29="A",4,IF(F29="B",3,IF(F29="C",2,IF(F29="D",1,0)))))+IF(G29="S",5,IF(G29="A",4,IF(G29="B",3,IF(G29="C",2,IF(G29="D",1,0))))))/2,IF(F29&lt;&gt;"",IF(F29="S",5,IF(F29="A",4,IF(F29="B",3,IF(F29="C",2,IF(F29="D",1,0))))),IF(G29&lt;&gt;"",IF(G29="S",5,IF(G29="A",4,IF(G29="B",3,IF(G29="C",2,IF(G29="D",1,0))))),""))),"")</f>
        <v/>
      </c>
    </row>
    <row r="30" ht="100" customHeight="1">
      <c r="A30" s="2" t="inlineStr">
        <is>
          <t>C-5</t>
        </is>
      </c>
      <c r="B30" s="2" t="inlineStr">
        <is>
          <t>조직</t>
        </is>
      </c>
      <c r="C30" s="17" t="inlineStr">
        <is>
          <t>협업 능력</t>
        </is>
      </c>
      <c r="D30" s="29" t="inlineStr">
        <is>
          <t>팀·타 부서와의 협업 태도, 정보 공유</t>
        </is>
      </c>
      <c r="E30" s="30" t="inlineStr">
        <is>
          <t>S  타 부서와의 시너지 창출
A  정보 공유, 원활한 협업
B  공동목표 수용 및 일부 협력
C  소극적 협조, 갈등 유발
D  협력 거부, 독단적 태도</t>
        </is>
      </c>
      <c r="F30" s="31" t="inlineStr"/>
      <c r="G30" s="31" t="inlineStr"/>
      <c r="H30" s="32">
        <f>IFERROR(IF(AND(F30&lt;&gt;"",G30&lt;&gt;""),(IF(F30="S",5,IF(F30="A",4,IF(F30="B",3,IF(F30="C",2,IF(F30="D",1,0)))))+IF(G30="S",5,IF(G30="A",4,IF(G30="B",3,IF(G30="C",2,IF(G30="D",1,0))))))/2,IF(F30&lt;&gt;"",IF(F30="S",5,IF(F30="A",4,IF(F30="B",3,IF(F30="C",2,IF(F30="D",1,0))))),IF(G30&lt;&gt;"",IF(G30="S",5,IF(G30="A",4,IF(G30="B",3,IF(G30="C",2,IF(G30="D",1,0))))),""))),"")</f>
        <v/>
      </c>
    </row>
    <row r="31" ht="100" customHeight="1">
      <c r="A31" s="2" t="inlineStr">
        <is>
          <t>C-6</t>
        </is>
      </c>
      <c r="B31" s="2" t="inlineStr">
        <is>
          <t>조직</t>
        </is>
      </c>
      <c r="C31" s="17" t="inlineStr">
        <is>
          <t>소통 능력</t>
        </is>
      </c>
      <c r="D31" s="29" t="inlineStr">
        <is>
          <t>명확한 의사 전달·경청·효과적 커뮤니케이션</t>
        </is>
      </c>
      <c r="E31" s="30" t="inlineStr">
        <is>
          <t>S  갈등 중재 및 공감능력 우수
A  정확한 의사 전달 및 경청
B  피드백 수용 및 전달 가능
C  소통 시 불편 유발
D  일방적 주장, 피드백 거부</t>
        </is>
      </c>
      <c r="F31" s="31" t="inlineStr"/>
      <c r="G31" s="31" t="inlineStr"/>
      <c r="H31" s="32">
        <f>IFERROR(IF(AND(F31&lt;&gt;"",G31&lt;&gt;""),(IF(F31="S",5,IF(F31="A",4,IF(F31="B",3,IF(F31="C",2,IF(F31="D",1,0)))))+IF(G31="S",5,IF(G31="A",4,IF(G31="B",3,IF(G31="C",2,IF(G31="D",1,0))))))/2,IF(F31&lt;&gt;"",IF(F31="S",5,IF(F31="A",4,IF(F31="B",3,IF(F31="C",2,IF(F31="D",1,0))))),IF(G31&lt;&gt;"",IF(G31="S",5,IF(G31="A",4,IF(G31="B",3,IF(G31="C",2,IF(G31="D",1,0))))),""))),"")</f>
        <v/>
      </c>
    </row>
    <row r="32" ht="100" customHeight="1">
      <c r="A32" s="2" t="inlineStr">
        <is>
          <t>C-7</t>
        </is>
      </c>
      <c r="B32" s="2" t="inlineStr">
        <is>
          <t>인성</t>
        </is>
      </c>
      <c r="C32" s="17" t="inlineStr">
        <is>
          <t>윤리/책임감</t>
        </is>
      </c>
      <c r="D32" s="29" t="inlineStr">
        <is>
          <t>공정·투명한 절차, 책임감 있는 업무</t>
        </is>
      </c>
      <c r="E32" s="30" t="inlineStr">
        <is>
          <t>S  모범적 자세, 조직문화 선도
A  조직 규범 내 성실 수행
B  기본 책임 수행
C  책임 회피 경향
D  무책임, 규정 무시</t>
        </is>
      </c>
      <c r="F32" s="31" t="inlineStr"/>
      <c r="G32" s="31" t="inlineStr"/>
      <c r="H32" s="32">
        <f>IFERROR(IF(AND(F32&lt;&gt;"",G32&lt;&gt;""),(IF(F32="S",5,IF(F32="A",4,IF(F32="B",3,IF(F32="C",2,IF(F32="D",1,0)))))+IF(G32="S",5,IF(G32="A",4,IF(G32="B",3,IF(G32="C",2,IF(G32="D",1,0))))))/2,IF(F32&lt;&gt;"",IF(F32="S",5,IF(F32="A",4,IF(F32="B",3,IF(F32="C",2,IF(F32="D",1,0))))),IF(G32&lt;&gt;"",IF(G32="S",5,IF(G32="A",4,IF(G32="B",3,IF(G32="C",2,IF(G32="D",1,0))))),""))),"")</f>
        <v/>
      </c>
    </row>
    <row r="33" ht="100" customHeight="1">
      <c r="A33" s="2" t="inlineStr">
        <is>
          <t>C-8</t>
        </is>
      </c>
      <c r="B33" s="2" t="inlineStr">
        <is>
          <t>인성</t>
        </is>
      </c>
      <c r="C33" s="17" t="inlineStr">
        <is>
          <t>업무 태도</t>
        </is>
      </c>
      <c r="D33" s="29" t="inlineStr">
        <is>
          <t>성실·주도적 태도, 변화 유연성</t>
        </is>
      </c>
      <c r="E33" s="30" t="inlineStr">
        <is>
          <t>S  문제 해결 중심의 선도적 자세
A  책임감, 적극적 태도
B  일정 주도성 보임
C  소극적, 피동적 태도
D  수동적, 지시 없이는 행동 안 함</t>
        </is>
      </c>
      <c r="F33" s="31" t="inlineStr"/>
      <c r="G33" s="31" t="inlineStr"/>
      <c r="H33" s="32">
        <f>IFERROR(IF(AND(F33&lt;&gt;"",G33&lt;&gt;""),(IF(F33="S",5,IF(F33="A",4,IF(F33="B",3,IF(F33="C",2,IF(F33="D",1,0)))))+IF(G33="S",5,IF(G33="A",4,IF(G33="B",3,IF(G33="C",2,IF(G33="D",1,0))))))/2,IF(F33&lt;&gt;"",IF(F33="S",5,IF(F33="A",4,IF(F33="B",3,IF(F33="C",2,IF(F33="D",1,0))))),IF(G33&lt;&gt;"",IF(G33="S",5,IF(G33="A",4,IF(G33="B",3,IF(G33="C",2,IF(G33="D",1,0))))),""))),"")</f>
        <v/>
      </c>
    </row>
    <row r="34" ht="100" customHeight="1">
      <c r="A34" s="2" t="inlineStr">
        <is>
          <t>C-9</t>
        </is>
      </c>
      <c r="B34" s="2" t="inlineStr">
        <is>
          <t>미래</t>
        </is>
      </c>
      <c r="C34" s="17" t="inlineStr">
        <is>
          <t>혁신 역량</t>
        </is>
      </c>
      <c r="D34" s="29" t="inlineStr">
        <is>
          <t>AI·자동화 등 최신 기술의 실무 접목</t>
        </is>
      </c>
      <c r="E34" s="30" t="inlineStr">
        <is>
          <t>S  혁신적 아이디어 제시 및 실현
A  적극 활용하여 효율성 제고
B  일상적 업무에 도구 활용
C  부분적 기능 사용
D  기술 활용 거의 없음</t>
        </is>
      </c>
      <c r="F34" s="31" t="inlineStr"/>
      <c r="G34" s="31" t="inlineStr"/>
      <c r="H34" s="32">
        <f>IFERROR(IF(AND(F34&lt;&gt;"",G34&lt;&gt;""),(IF(F34="S",5,IF(F34="A",4,IF(F34="B",3,IF(F34="C",2,IF(F34="D",1,0)))))+IF(G34="S",5,IF(G34="A",4,IF(G34="B",3,IF(G34="C",2,IF(G34="D",1,0))))))/2,IF(F34&lt;&gt;"",IF(F34="S",5,IF(F34="A",4,IF(F34="B",3,IF(F34="C",2,IF(F34="D",1,0))))),IF(G34&lt;&gt;"",IF(G34="S",5,IF(G34="A",4,IF(G34="B",3,IF(G34="C",2,IF(G34="D",1,0))))),""))),"")</f>
        <v/>
      </c>
    </row>
    <row r="35" ht="100" customHeight="1">
      <c r="A35" s="2" t="inlineStr">
        <is>
          <t>C-10</t>
        </is>
      </c>
      <c r="B35" s="2" t="inlineStr">
        <is>
          <t>미래</t>
        </is>
      </c>
      <c r="C35" s="17" t="inlineStr">
        <is>
          <t>프로세스 개선</t>
        </is>
      </c>
      <c r="D35" s="29" t="inlineStr">
        <is>
          <t>업무 절차 분석 및 비효율 개선</t>
        </is>
      </c>
      <c r="E35" s="30" t="inlineStr">
        <is>
          <t>S  제안 실행까지 주도함
A  능동적 개선 제안
B  개선의 필요성 인식
C  타인이 해야 할 일로 인식
D  개선 의지 없음</t>
        </is>
      </c>
      <c r="F35" s="31" t="inlineStr"/>
      <c r="G35" s="31" t="inlineStr"/>
      <c r="H35" s="32">
        <f>IFERROR(IF(AND(F35&lt;&gt;"",G35&lt;&gt;""),(IF(F35="S",5,IF(F35="A",4,IF(F35="B",3,IF(F35="C",2,IF(F35="D",1,0)))))+IF(G35="S",5,IF(G35="A",4,IF(G35="B",3,IF(G35="C",2,IF(G35="D",1,0))))))/2,IF(F35&lt;&gt;"",IF(F35="S",5,IF(F35="A",4,IF(F35="B",3,IF(F35="C",2,IF(F35="D",1,0))))),IF(G35&lt;&gt;"",IF(G35="S",5,IF(G35="A",4,IF(G35="B",3,IF(G35="C",2,IF(G35="D",1,0))))),""))),"")</f>
        <v/>
      </c>
    </row>
    <row r="36" ht="100" customHeight="1">
      <c r="A36" s="2" t="inlineStr">
        <is>
          <t>C-11</t>
        </is>
      </c>
      <c r="B36" s="2" t="inlineStr">
        <is>
          <t>미래</t>
        </is>
      </c>
      <c r="C36" s="17" t="inlineStr">
        <is>
          <t>지속가능 기여</t>
        </is>
      </c>
      <c r="D36" s="29" t="inlineStr">
        <is>
          <t>장기적 성과 향상·조직 기여</t>
        </is>
      </c>
      <c r="E36" s="30" t="inlineStr">
        <is>
          <t>S  성과 리딩 및 지속 성과 도출
A  개인 및 팀 성과 기여
B  기본 수준의 성과
C  성과 불명확, 기여 낮음
D  성과 없음, 소극적 태도</t>
        </is>
      </c>
      <c r="F36" s="31" t="inlineStr"/>
      <c r="G36" s="31" t="inlineStr"/>
      <c r="H36" s="32">
        <f>IFERROR(IF(AND(F36&lt;&gt;"",G36&lt;&gt;""),(IF(F36="S",5,IF(F36="A",4,IF(F36="B",3,IF(F36="C",2,IF(F36="D",1,0)))))+IF(G36="S",5,IF(G36="A",4,IF(G36="B",3,IF(G36="C",2,IF(G36="D",1,0))))))/2,IF(F36&lt;&gt;"",IF(F36="S",5,IF(F36="A",4,IF(F36="B",3,IF(F36="C",2,IF(F36="D",1,0))))),IF(G36&lt;&gt;"",IF(G36="S",5,IF(G36="A",4,IF(G36="B",3,IF(G36="C",2,IF(G36="D",1,0))))),""))),"")</f>
        <v/>
      </c>
    </row>
    <row r="37" ht="24" customHeight="1">
      <c r="A37" s="38" t="inlineStr">
        <is>
          <t>1차 평가자 공통역량 종합 (11개 단순 평균)</t>
        </is>
      </c>
      <c r="F37" s="34">
        <f>IFERROR((IF(F26="S",5,IF(F26="A",4,IF(F26="B",3,IF(F26="C",2,IF(F26="D",1,0)))))+IF(F27="S",5,IF(F27="A",4,IF(F27="B",3,IF(F27="C",2,IF(F27="D",1,0)))))+IF(F28="S",5,IF(F28="A",4,IF(F28="B",3,IF(F28="C",2,IF(F28="D",1,0)))))+IF(F29="S",5,IF(F29="A",4,IF(F29="B",3,IF(F29="C",2,IF(F29="D",1,0)))))+IF(F30="S",5,IF(F30="A",4,IF(F30="B",3,IF(F30="C",2,IF(F30="D",1,0)))))+IF(F31="S",5,IF(F31="A",4,IF(F31="B",3,IF(F31="C",2,IF(F31="D",1,0)))))+IF(F32="S",5,IF(F32="A",4,IF(F32="B",3,IF(F32="C",2,IF(F32="D",1,0)))))+IF(F33="S",5,IF(F33="A",4,IF(F33="B",3,IF(F33="C",2,IF(F33="D",1,0)))))+IF(F34="S",5,IF(F34="A",4,IF(F34="B",3,IF(F34="C",2,IF(F34="D",1,0)))))+IF(F35="S",5,IF(F35="A",4,IF(F35="B",3,IF(F35="C",2,IF(F35="D",1,0)))))+IF(F36="S",5,IF(F36="A",4,IF(F36="B",3,IF(F36="C",2,IF(F36="D",1,0))))))/11,"")</f>
        <v/>
      </c>
      <c r="G37" s="35" t="inlineStr">
        <is>
          <t>→ 등급</t>
        </is>
      </c>
      <c r="H37" s="36">
        <f>IF(F37="","",IF(F37&gt;=4.5,"S",IF(F37&gt;=3.5,"A",IF(F37&gt;=2.5,"B",IF(F37&gt;=1.5,"C","D")))))</f>
        <v/>
      </c>
    </row>
    <row r="38" ht="24" customHeight="1">
      <c r="A38" s="38" t="inlineStr">
        <is>
          <t>2차 평가자 공통역량 종합 (11개 단순 평균)</t>
        </is>
      </c>
      <c r="F38" s="34">
        <f>IFERROR((IF(G26="S",5,IF(G26="A",4,IF(G26="B",3,IF(G26="C",2,IF(G26="D",1,0)))))+IF(G27="S",5,IF(G27="A",4,IF(G27="B",3,IF(G27="C",2,IF(G27="D",1,0)))))+IF(G28="S",5,IF(G28="A",4,IF(G28="B",3,IF(G28="C",2,IF(G28="D",1,0)))))+IF(G29="S",5,IF(G29="A",4,IF(G29="B",3,IF(G29="C",2,IF(G29="D",1,0)))))+IF(G30="S",5,IF(G30="A",4,IF(G30="B",3,IF(G30="C",2,IF(G30="D",1,0)))))+IF(G31="S",5,IF(G31="A",4,IF(G31="B",3,IF(G31="C",2,IF(G31="D",1,0)))))+IF(G32="S",5,IF(G32="A",4,IF(G32="B",3,IF(G32="C",2,IF(G32="D",1,0)))))+IF(G33="S",5,IF(G33="A",4,IF(G33="B",3,IF(G33="C",2,IF(G33="D",1,0)))))+IF(G34="S",5,IF(G34="A",4,IF(G34="B",3,IF(G34="C",2,IF(G34="D",1,0)))))+IF(G35="S",5,IF(G35="A",4,IF(G35="B",3,IF(G35="C",2,IF(G35="D",1,0)))))+IF(G36="S",5,IF(G36="A",4,IF(G36="B",3,IF(G36="C",2,IF(G36="D",1,0))))))/11,"")</f>
        <v/>
      </c>
      <c r="G38" s="35" t="inlineStr">
        <is>
          <t>→ 등급</t>
        </is>
      </c>
      <c r="H38" s="36">
        <f>IF(F38="","",IF(F38&gt;=4.5,"S",IF(F38&gt;=3.5,"A",IF(F38&gt;=2.5,"B",IF(F38&gt;=1.5,"C","D")))))</f>
        <v/>
      </c>
    </row>
    <row r="40" ht="26" customHeight="1">
      <c r="A40" s="39" t="inlineStr">
        <is>
          <t>▶ ③ 직무역량평가 — 메인 책무(D열 O)만 평가</t>
        </is>
      </c>
    </row>
    <row r="41" ht="28" customHeight="1">
      <c r="A41" s="28" t="inlineStr">
        <is>
          <t>No.</t>
        </is>
      </c>
      <c r="B41" s="28" t="inlineStr">
        <is>
          <t>전문영역</t>
        </is>
      </c>
      <c r="C41" s="28" t="inlineStr">
        <is>
          <t>핵심 책무</t>
        </is>
      </c>
      <c r="D41" s="28" t="inlineStr">
        <is>
          <t>메인</t>
        </is>
      </c>
      <c r="E41" s="28" t="inlineStr">
        <is>
          <t>1차</t>
        </is>
      </c>
      <c r="F41" s="28" t="inlineStr">
        <is>
          <t>2차</t>
        </is>
      </c>
      <c r="G41" s="28" t="inlineStr">
        <is>
          <t>평균(참고)</t>
        </is>
      </c>
    </row>
    <row r="42" ht="22" customHeight="1">
      <c r="A42" s="35" t="inlineStr">
        <is>
          <t>J-1</t>
        </is>
      </c>
      <c r="B42" s="40" t="inlineStr">
        <is>
          <t>영업기획</t>
        </is>
      </c>
      <c r="C42" s="41" t="inlineStr">
        <is>
          <t>시장조사 및 고객 발굴</t>
        </is>
      </c>
      <c r="D42" s="31" t="inlineStr"/>
      <c r="E42" s="31" t="inlineStr"/>
      <c r="F42" s="31" t="inlineStr"/>
      <c r="G42" s="32">
        <f>IF(D42="O",IFERROR(IF(AND(E42&lt;&gt;"",F42&lt;&gt;""),(IF(E42="S",5,IF(E42="A",4,IF(E42="B",3,IF(E42="C",2,IF(E42="D",1,0)))))+IF(F42="S",5,IF(F42="A",4,IF(F42="B",3,IF(F42="C",2,IF(F42="D",1,0))))))/2,IF(E42&lt;&gt;"",IF(E42="S",5,IF(E42="A",4,IF(E42="B",3,IF(E42="C",2,IF(E42="D",1,0))))),IF(F42&lt;&gt;"",IF(F42="S",5,IF(F42="A",4,IF(F42="B",3,IF(F42="C",2,IF(F42="D",1,0))))),""))),""),"")</f>
        <v/>
      </c>
    </row>
    <row r="43" ht="22" customHeight="1">
      <c r="A43" s="35" t="inlineStr">
        <is>
          <t>J-2</t>
        </is>
      </c>
      <c r="B43" s="40" t="inlineStr">
        <is>
          <t>영업기획</t>
        </is>
      </c>
      <c r="C43" s="41" t="inlineStr">
        <is>
          <t>제안 및 입찰 준비</t>
        </is>
      </c>
      <c r="D43" s="31" t="inlineStr"/>
      <c r="E43" s="31" t="inlineStr"/>
      <c r="F43" s="31" t="inlineStr"/>
      <c r="G43" s="32">
        <f>IF(D43="O",IFERROR(IF(AND(E43&lt;&gt;"",F43&lt;&gt;""),(IF(E43="S",5,IF(E43="A",4,IF(E43="B",3,IF(E43="C",2,IF(E43="D",1,0)))))+IF(F43="S",5,IF(F43="A",4,IF(F43="B",3,IF(F43="C",2,IF(F43="D",1,0))))))/2,IF(E43&lt;&gt;"",IF(E43="S",5,IF(E43="A",4,IF(E43="B",3,IF(E43="C",2,IF(E43="D",1,0))))),IF(F43&lt;&gt;"",IF(F43="S",5,IF(F43="A",4,IF(F43="B",3,IF(F43="C",2,IF(F43="D",1,0))))),""))),""),"")</f>
        <v/>
      </c>
    </row>
    <row r="44" ht="22" customHeight="1">
      <c r="A44" s="35" t="inlineStr">
        <is>
          <t>J-3</t>
        </is>
      </c>
      <c r="B44" s="40" t="inlineStr">
        <is>
          <t>영업기획</t>
        </is>
      </c>
      <c r="C44" s="41" t="inlineStr">
        <is>
          <t>계약 협상</t>
        </is>
      </c>
      <c r="D44" s="31" t="inlineStr"/>
      <c r="E44" s="31" t="inlineStr"/>
      <c r="F44" s="31" t="inlineStr"/>
      <c r="G44" s="32">
        <f>IF(D44="O",IFERROR(IF(AND(E44&lt;&gt;"",F44&lt;&gt;""),(IF(E44="S",5,IF(E44="A",4,IF(E44="B",3,IF(E44="C",2,IF(E44="D",1,0)))))+IF(F44="S",5,IF(F44="A",4,IF(F44="B",3,IF(F44="C",2,IF(F44="D",1,0))))))/2,IF(E44&lt;&gt;"",IF(E44="S",5,IF(E44="A",4,IF(E44="B",3,IF(E44="C",2,IF(E44="D",1,0))))),IF(F44&lt;&gt;"",IF(F44="S",5,IF(F44="A",4,IF(F44="B",3,IF(F44="C",2,IF(F44="D",1,0))))),""))),""),"")</f>
        <v/>
      </c>
    </row>
    <row r="45" ht="22" customHeight="1">
      <c r="A45" s="35" t="inlineStr">
        <is>
          <t>J-4</t>
        </is>
      </c>
      <c r="B45" s="40" t="inlineStr">
        <is>
          <t>고객관리</t>
        </is>
      </c>
      <c r="C45" s="41" t="inlineStr">
        <is>
          <t>기존 고객 관리</t>
        </is>
      </c>
      <c r="D45" s="31" t="inlineStr"/>
      <c r="E45" s="31" t="inlineStr"/>
      <c r="F45" s="31" t="inlineStr"/>
      <c r="G45" s="32">
        <f>IF(D45="O",IFERROR(IF(AND(E45&lt;&gt;"",F45&lt;&gt;""),(IF(E45="S",5,IF(E45="A",4,IF(E45="B",3,IF(E45="C",2,IF(E45="D",1,0)))))+IF(F45="S",5,IF(F45="A",4,IF(F45="B",3,IF(F45="C",2,IF(F45="D",1,0))))))/2,IF(E45&lt;&gt;"",IF(E45="S",5,IF(E45="A",4,IF(E45="B",3,IF(E45="C",2,IF(E45="D",1,0))))),IF(F45&lt;&gt;"",IF(F45="S",5,IF(F45="A",4,IF(F45="B",3,IF(F45="C",2,IF(F45="D",1,0))))),""))),""),"")</f>
        <v/>
      </c>
    </row>
    <row r="46" ht="22" customHeight="1">
      <c r="A46" s="35" t="inlineStr">
        <is>
          <t>J-5</t>
        </is>
      </c>
      <c r="B46" s="40" t="inlineStr">
        <is>
          <t>고객관리</t>
        </is>
      </c>
      <c r="C46" s="41" t="inlineStr">
        <is>
          <t>신규 고객 개발</t>
        </is>
      </c>
      <c r="D46" s="31" t="inlineStr"/>
      <c r="E46" s="31" t="inlineStr"/>
      <c r="F46" s="31" t="inlineStr"/>
      <c r="G46" s="32">
        <f>IF(D46="O",IFERROR(IF(AND(E46&lt;&gt;"",F46&lt;&gt;""),(IF(E46="S",5,IF(E46="A",4,IF(E46="B",3,IF(E46="C",2,IF(E46="D",1,0)))))+IF(F46="S",5,IF(F46="A",4,IF(F46="B",3,IF(F46="C",2,IF(F46="D",1,0))))))/2,IF(E46&lt;&gt;"",IF(E46="S",5,IF(E46="A",4,IF(E46="B",3,IF(E46="C",2,IF(E46="D",1,0))))),IF(F46&lt;&gt;"",IF(F46="S",5,IF(F46="A",4,IF(F46="B",3,IF(F46="C",2,IF(F46="D",1,0))))),""))),""),"")</f>
        <v/>
      </c>
    </row>
    <row r="47" ht="22" customHeight="1">
      <c r="A47" s="35" t="inlineStr">
        <is>
          <t>J-6</t>
        </is>
      </c>
      <c r="B47" s="40" t="inlineStr">
        <is>
          <t>프로젝트 영업</t>
        </is>
      </c>
      <c r="C47" s="41" t="inlineStr">
        <is>
          <t>프로젝트 발굴 및 수주</t>
        </is>
      </c>
      <c r="D47" s="31" t="inlineStr"/>
      <c r="E47" s="31" t="inlineStr"/>
      <c r="F47" s="31" t="inlineStr"/>
      <c r="G47" s="32">
        <f>IF(D47="O",IFERROR(IF(AND(E47&lt;&gt;"",F47&lt;&gt;""),(IF(E47="S",5,IF(E47="A",4,IF(E47="B",3,IF(E47="C",2,IF(E47="D",1,0)))))+IF(F47="S",5,IF(F47="A",4,IF(F47="B",3,IF(F47="C",2,IF(F47="D",1,0))))))/2,IF(E47&lt;&gt;"",IF(E47="S",5,IF(E47="A",4,IF(E47="B",3,IF(E47="C",2,IF(E47="D",1,0))))),IF(F47&lt;&gt;"",IF(F47="S",5,IF(F47="A",4,IF(F47="B",3,IF(F47="C",2,IF(F47="D",1,0))))),""))),""),"")</f>
        <v/>
      </c>
    </row>
    <row r="48" ht="22" customHeight="1">
      <c r="A48" s="35" t="inlineStr">
        <is>
          <t>J-7</t>
        </is>
      </c>
      <c r="B48" s="40" t="inlineStr">
        <is>
          <t>프로젝트 영업</t>
        </is>
      </c>
      <c r="C48" s="41" t="inlineStr">
        <is>
          <t>계약 후 사후관리</t>
        </is>
      </c>
      <c r="D48" s="31" t="inlineStr"/>
      <c r="E48" s="31" t="inlineStr"/>
      <c r="F48" s="31" t="inlineStr"/>
      <c r="G48" s="32">
        <f>IF(D48="O",IFERROR(IF(AND(E48&lt;&gt;"",F48&lt;&gt;""),(IF(E48="S",5,IF(E48="A",4,IF(E48="B",3,IF(E48="C",2,IF(E48="D",1,0)))))+IF(F48="S",5,IF(F48="A",4,IF(F48="B",3,IF(F48="C",2,IF(F48="D",1,0))))))/2,IF(E48&lt;&gt;"",IF(E48="S",5,IF(E48="A",4,IF(E48="B",3,IF(E48="C",2,IF(E48="D",1,0))))),IF(F48&lt;&gt;"",IF(F48="S",5,IF(F48="A",4,IF(F48="B",3,IF(F48="C",2,IF(F48="D",1,0))))),""))),""),"")</f>
        <v/>
      </c>
    </row>
    <row r="50" ht="24" customHeight="1">
      <c r="A50" s="42" t="inlineStr">
        <is>
          <t>1차 평가자 직무 종합 (메인 책무 평균)</t>
        </is>
      </c>
      <c r="E50" s="34">
        <f>IFERROR(SUMPRODUCT((D42:D48="O")*IFERROR(IF(E42:E48="S",5,IF(E42:E48="A",4,IF(E42:E48="B",3,IF(E42:E48="C",2,IF(E42:E48="D",1,0))))),0))/COUNTIF(D42:D48,"O"),"")</f>
        <v/>
      </c>
      <c r="F50" s="36">
        <f>IF(E50="","",IF(E50&gt;=4.5,"S",IF(E50&gt;=3.5,"A",IF(E50&gt;=2.5,"B",IF(E50&gt;=1.5,"C","D")))))</f>
        <v/>
      </c>
    </row>
    <row r="51" ht="24" customHeight="1">
      <c r="A51" s="42" t="inlineStr">
        <is>
          <t>2차 평가자 직무 종합</t>
        </is>
      </c>
      <c r="E51" s="34">
        <f>IFERROR(SUMPRODUCT((D42:D48="O")*IFERROR(IF(F42:F48="S",5,IF(F42:F48="A",4,IF(F42:F48="B",3,IF(F42:F48="C",2,IF(F42:F48="D",1,0))))),0))/COUNTIF(D42:D48,"O"),"")</f>
        <v/>
      </c>
      <c r="F51" s="36">
        <f>IF(E51="","",IF(E51&gt;=4.5,"S",IF(E51&gt;=3.5,"A",IF(E51&gt;=2.5,"B",IF(E51&gt;=1.5,"C","D")))))</f>
        <v/>
      </c>
    </row>
    <row r="54" ht="32" customHeight="1">
      <c r="A54" s="43" t="inlineStr">
        <is>
          <t>▶ 통합관리시트 입력 행 (아래 한 줄 A~G 7개 셀 통째 복사 → 통합시트 07a/07b 해당 사번 행 G~M에 [값 붙여넣기])</t>
        </is>
      </c>
    </row>
    <row r="55" ht="28" customHeight="1">
      <c r="A55" s="44" t="inlineStr">
        <is>
          <t>역할(1차)</t>
        </is>
      </c>
      <c r="B55" s="44" t="inlineStr">
        <is>
          <t>역할(2차)</t>
        </is>
      </c>
      <c r="C55" s="44" t="inlineStr">
        <is>
          <t>공통(1차)</t>
        </is>
      </c>
      <c r="D55" s="44" t="inlineStr">
        <is>
          <t>공통(2차)</t>
        </is>
      </c>
      <c r="E55" s="44" t="inlineStr">
        <is>
          <t>직무(1차)</t>
        </is>
      </c>
      <c r="F55" s="44" t="inlineStr">
        <is>
          <t>직무(2차)</t>
        </is>
      </c>
      <c r="G55" s="44" t="inlineStr">
        <is>
          <t>소견</t>
        </is>
      </c>
    </row>
    <row r="56" ht="36" customHeight="1">
      <c r="A56" s="45">
        <f>G21</f>
        <v/>
      </c>
      <c r="B56" s="45">
        <f>G22</f>
        <v/>
      </c>
      <c r="C56" s="45">
        <f>H37</f>
        <v/>
      </c>
      <c r="D56" s="45">
        <f>H38</f>
        <v/>
      </c>
      <c r="E56" s="45">
        <f>F50</f>
        <v/>
      </c>
      <c r="F56" s="45">
        <f>F51</f>
        <v/>
      </c>
      <c r="G56" s="46" t="inlineStr"/>
    </row>
    <row r="57" ht="26" customHeight="1">
      <c r="A57" s="47" t="inlineStr">
        <is>
          <t>사용법: 위 한 줄 A~G 선택 → Ctrl+C → 통합시트 07a/07b 해당 사번 행 G~M에 [선택하여 붙여넣기 → 값]</t>
        </is>
      </c>
    </row>
    <row r="59" ht="24" customHeight="1">
      <c r="A59" s="3" t="inlineStr">
        <is>
          <t>▶ 종합 소견</t>
        </is>
      </c>
    </row>
    <row r="60" ht="40" customHeight="1">
      <c r="A60" s="21" t="inlineStr">
        <is>
          <t>강점</t>
        </is>
      </c>
      <c r="B60" s="48" t="inlineStr"/>
    </row>
    <row r="61" ht="40" customHeight="1">
      <c r="A61" s="21" t="inlineStr">
        <is>
          <t>개선</t>
        </is>
      </c>
      <c r="B61" s="48" t="inlineStr"/>
    </row>
    <row r="62" ht="40" customHeight="1">
      <c r="A62" s="21" t="inlineStr">
        <is>
          <t>육성 방향</t>
        </is>
      </c>
      <c r="B62" s="48" t="inlineStr"/>
    </row>
  </sheetData>
  <mergeCells count="23">
    <mergeCell ref="A7:I7"/>
    <mergeCell ref="B62:I62"/>
    <mergeCell ref="F9:I9"/>
    <mergeCell ref="A22:D22"/>
    <mergeCell ref="A2:I2"/>
    <mergeCell ref="B14:I14"/>
    <mergeCell ref="A37:E37"/>
    <mergeCell ref="B60:I60"/>
    <mergeCell ref="A51:D51"/>
    <mergeCell ref="B61:I61"/>
    <mergeCell ref="A4:I4"/>
    <mergeCell ref="F10:I10"/>
    <mergeCell ref="A13:I13"/>
    <mergeCell ref="A40:I40"/>
    <mergeCell ref="A54:G54"/>
    <mergeCell ref="A24:I24"/>
    <mergeCell ref="A59:I59"/>
    <mergeCell ref="A38:E38"/>
    <mergeCell ref="F8:I8"/>
    <mergeCell ref="A50:D50"/>
    <mergeCell ref="A21:D21"/>
    <mergeCell ref="A1:I1"/>
    <mergeCell ref="A57:G57"/>
  </mergeCells>
  <conditionalFormatting sqref="A56:G56">
    <cfRule type="cellIs" priority="1" operator="equal" dxfId="0">
      <formula>"S"</formula>
    </cfRule>
    <cfRule type="cellIs" priority="2" operator="equal" dxfId="1">
      <formula>"A"</formula>
    </cfRule>
    <cfRule type="cellIs" priority="3" operator="equal" dxfId="2">
      <formula>"C"</formula>
    </cfRule>
    <cfRule type="cellIs" priority="4" operator="equal" dxfId="3">
      <formula>"D"</formula>
    </cfRule>
  </conditionalFormatting>
  <dataValidations count="5">
    <dataValidation sqref="B11" showDropDown="0" showInputMessage="0" showErrorMessage="0" allowBlank="0" type="list">
      <formula1>"상반기,하반기"</formula1>
    </dataValidation>
    <dataValidation sqref="E16:F20" showDropDown="0" showInputMessage="0" showErrorMessage="0" allowBlank="1" type="list">
      <formula1>"S,A,B,C,D"</formula1>
    </dataValidation>
    <dataValidation sqref="F26:G36" showDropDown="0" showInputMessage="0" showErrorMessage="0" allowBlank="1" type="list">
      <formula1>"S,A,B,C,D"</formula1>
    </dataValidation>
    <dataValidation sqref="D42:D48" showDropDown="0" showInputMessage="0" showErrorMessage="0" allowBlank="1" type="list">
      <formula1>"O,X"</formula1>
    </dataValidation>
    <dataValidation sqref="E42:F48" showDropDown="0" showInputMessage="0" showErrorMessage="0" allowBlank="1" type="list">
      <formula1>"S,A,B,C,D"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70AD47"/>
    <outlinePr summaryBelow="1" summaryRight="1"/>
    <pageSetUpPr/>
  </sheetPr>
  <dimension ref="A1:I62"/>
  <sheetViews>
    <sheetView workbookViewId="0">
      <selection activeCell="A1" sqref="A1"/>
    </sheetView>
  </sheetViews>
  <sheetFormatPr baseColWidth="8" defaultRowHeight="15"/>
  <cols>
    <col width="6" customWidth="1" min="1" max="1"/>
    <col width="11" customWidth="1" min="2" max="2"/>
    <col width="22" customWidth="1" min="3" max="3"/>
    <col width="30" customWidth="1" min="4" max="4"/>
    <col width="32" customWidth="1" min="5" max="5"/>
    <col width="11" customWidth="1" min="6" max="6"/>
    <col width="11" customWidth="1" min="7" max="7"/>
    <col width="12" customWidth="1" min="8" max="8"/>
    <col width="12" customWidth="1" min="9" max="9"/>
  </cols>
  <sheetData>
    <row r="1" ht="30" customHeight="1">
      <c r="A1" s="1" t="inlineStr">
        <is>
          <t>성과평가지 양식 - 프로젝트영업 / G4 (실무 책임(PM))</t>
        </is>
      </c>
    </row>
    <row r="2" ht="22" customHeight="1">
      <c r="A2" s="2" t="inlineStr">
        <is>
          <t>1·2차 평가자가 등급(S/A/B/C/D)만 입력. 가중치는 통합관리시트에서 자동 처리.</t>
        </is>
      </c>
    </row>
    <row r="4" ht="24" customHeight="1">
      <c r="A4" s="3" t="inlineStr">
        <is>
          <t>▶ 평가 대상자 정보 (주황셀에 입력)</t>
        </is>
      </c>
    </row>
    <row r="5" ht="22" customHeight="1">
      <c r="A5" s="18" t="inlineStr">
        <is>
          <t>사번</t>
        </is>
      </c>
      <c r="B5" s="19" t="inlineStr"/>
      <c r="C5" s="18" t="inlineStr">
        <is>
          <t>성명</t>
        </is>
      </c>
      <c r="D5" s="19" t="inlineStr"/>
      <c r="E5" s="18" t="inlineStr">
        <is>
          <t>직군</t>
        </is>
      </c>
      <c r="F5" s="19" t="inlineStr"/>
      <c r="G5" s="18" t="inlineStr">
        <is>
          <t>부서</t>
        </is>
      </c>
      <c r="H5" s="19" t="inlineStr"/>
    </row>
    <row r="6" ht="22" customHeight="1">
      <c r="A6" s="18" t="inlineStr">
        <is>
          <t>기존직급</t>
        </is>
      </c>
      <c r="B6" s="19" t="inlineStr"/>
      <c r="C6" s="18" t="inlineStr">
        <is>
          <t>직무</t>
        </is>
      </c>
      <c r="D6" s="20" t="inlineStr">
        <is>
          <t>프로젝트영업</t>
        </is>
      </c>
      <c r="E6" s="18" t="inlineStr">
        <is>
          <t>역할등급</t>
        </is>
      </c>
      <c r="F6" s="20" t="inlineStr">
        <is>
          <t>G4</t>
        </is>
      </c>
      <c r="G6" s="18" t="inlineStr">
        <is>
          <t>역할명</t>
        </is>
      </c>
      <c r="H6" s="20" t="inlineStr">
        <is>
          <t>실무 책임(PM)</t>
        </is>
      </c>
    </row>
    <row r="7" ht="24" customHeight="1">
      <c r="A7" s="3" t="inlineStr">
        <is>
          <t>▶ 평가자 정보 (주황셀에 입력)</t>
        </is>
      </c>
    </row>
    <row r="8" ht="24" customHeight="1">
      <c r="A8" s="15" t="inlineStr">
        <is>
          <t>구분</t>
        </is>
      </c>
      <c r="B8" s="15" t="inlineStr">
        <is>
          <t>사번</t>
        </is>
      </c>
      <c r="C8" s="15" t="inlineStr">
        <is>
          <t>성명</t>
        </is>
      </c>
      <c r="D8" s="15" t="inlineStr">
        <is>
          <t>직책</t>
        </is>
      </c>
      <c r="E8" s="15" t="inlineStr">
        <is>
          <t>부서</t>
        </is>
      </c>
      <c r="F8" s="15" t="inlineStr">
        <is>
          <t>이메일</t>
        </is>
      </c>
    </row>
    <row r="9" ht="24" customHeight="1">
      <c r="A9" s="21" t="inlineStr">
        <is>
          <t>1차 평가자 (직속상사)</t>
        </is>
      </c>
      <c r="B9" s="22" t="inlineStr"/>
      <c r="C9" s="22" t="inlineStr"/>
      <c r="D9" s="22" t="inlineStr"/>
      <c r="E9" s="22" t="inlineStr"/>
      <c r="F9" s="23" t="inlineStr"/>
    </row>
    <row r="10" ht="24" customHeight="1">
      <c r="A10" s="21" t="inlineStr">
        <is>
          <t>2차 평가자 (조정자)</t>
        </is>
      </c>
      <c r="B10" s="22" t="inlineStr"/>
      <c r="C10" s="22" t="inlineStr"/>
      <c r="D10" s="22" t="inlineStr"/>
      <c r="E10" s="22" t="inlineStr"/>
      <c r="F10" s="23" t="inlineStr"/>
    </row>
    <row r="11" ht="24" customHeight="1">
      <c r="A11" s="21" t="inlineStr">
        <is>
          <t>평가 차수</t>
        </is>
      </c>
      <c r="B11" s="24" t="inlineStr">
        <is>
          <t>상반기</t>
        </is>
      </c>
      <c r="C11" s="21" t="inlineStr">
        <is>
          <t>평가 완료일</t>
        </is>
      </c>
      <c r="D11" s="22" t="inlineStr"/>
    </row>
    <row r="13" ht="26" customHeight="1">
      <c r="A13" s="25" t="inlineStr">
        <is>
          <t>▶ ① 역할평가 — 5개 BARS 항목</t>
        </is>
      </c>
    </row>
    <row r="14" ht="38" customHeight="1">
      <c r="A14" s="26" t="inlineStr">
        <is>
          <t>역할 정의</t>
        </is>
      </c>
      <c r="B14" s="27" t="inlineStr">
        <is>
          <t>단위 프로젝트의 전략 수립·추진을 주도하며 예산·일정·품질 목표 달성 책임.</t>
        </is>
      </c>
    </row>
    <row r="15" ht="28" customHeight="1">
      <c r="A15" s="28" t="inlineStr">
        <is>
          <t>No.</t>
        </is>
      </c>
      <c r="B15" s="28" t="inlineStr">
        <is>
          <t>평가항목</t>
        </is>
      </c>
      <c r="C15" s="28" t="inlineStr">
        <is>
          <t>평가 기준</t>
        </is>
      </c>
      <c r="D15" s="28" t="inlineStr">
        <is>
          <t>S/A/B/C/D 등급 기준</t>
        </is>
      </c>
      <c r="E15" s="28" t="inlineStr">
        <is>
          <t>1차</t>
        </is>
      </c>
      <c r="F15" s="28" t="inlineStr">
        <is>
          <t>2차</t>
        </is>
      </c>
      <c r="G15" s="28" t="inlineStr">
        <is>
          <t>평균(참고)</t>
        </is>
      </c>
    </row>
    <row r="16" ht="90" customHeight="1">
      <c r="A16" s="26" t="inlineStr">
        <is>
          <t>R-1</t>
        </is>
      </c>
      <c r="B16" s="17" t="inlineStr">
        <is>
          <t>책임범위 이행도</t>
        </is>
      </c>
      <c r="C16" s="29" t="inlineStr">
        <is>
          <t>역할등급에 부합하는 책임 범위 내 업무 수행</t>
        </is>
      </c>
      <c r="D16" s="30" t="inlineStr">
        <is>
          <t>S  기대 현저히 초과
A  기대 상회
B  기대 부합
C  부분 미흡
D  전반 미흡</t>
        </is>
      </c>
      <c r="E16" s="31" t="inlineStr"/>
      <c r="F16" s="31" t="inlineStr"/>
      <c r="G16" s="32">
        <f>IFERROR(IF(AND(E16&lt;&gt;"",F16&lt;&gt;""),(IF(E16="S",5,IF(E16="A",4,IF(E16="B",3,IF(E16="C",2,IF(E16="D",1,0)))))+IF(F16="S",5,IF(F16="A",4,IF(F16="B",3,IF(F16="C",2,IF(F16="D",1,0))))))/2,IF(E16&lt;&gt;"",IF(E16="S",5,IF(E16="A",4,IF(E16="B",3,IF(E16="C",2,IF(E16="D",1,0))))),IF(F16&lt;&gt;"",IF(F16="S",5,IF(F16="A",4,IF(F16="B",3,IF(F16="C",2,IF(F16="D",1,0))))),""))),"")</f>
        <v/>
      </c>
    </row>
    <row r="17" ht="90" customHeight="1">
      <c r="A17" s="26" t="inlineStr">
        <is>
          <t>R-2</t>
        </is>
      </c>
      <c r="B17" s="17" t="inlineStr">
        <is>
          <t>의사결정 적절성</t>
        </is>
      </c>
      <c r="C17" s="29" t="inlineStr">
        <is>
          <t>권한 수준 내 시의적절·합리적 의사결정</t>
        </is>
      </c>
      <c r="D17" s="30" t="inlineStr">
        <is>
          <t>S  기대 현저히 초과
A  기대 상회
B  기대 부합
C  부분 미흡
D  전반 미흡</t>
        </is>
      </c>
      <c r="E17" s="31" t="inlineStr"/>
      <c r="F17" s="31" t="inlineStr"/>
      <c r="G17" s="32">
        <f>IFERROR(IF(AND(E17&lt;&gt;"",F17&lt;&gt;""),(IF(E17="S",5,IF(E17="A",4,IF(E17="B",3,IF(E17="C",2,IF(E17="D",1,0)))))+IF(F17="S",5,IF(F17="A",4,IF(F17="B",3,IF(F17="C",2,IF(F17="D",1,0))))))/2,IF(E17&lt;&gt;"",IF(E17="S",5,IF(E17="A",4,IF(E17="B",3,IF(E17="C",2,IF(E17="D",1,0))))),IF(F17&lt;&gt;"",IF(F17="S",5,IF(F17="A",4,IF(F17="B",3,IF(F17="C",2,IF(F17="D",1,0))))),""))),"")</f>
        <v/>
      </c>
    </row>
    <row r="18" ht="90" customHeight="1">
      <c r="A18" s="26" t="inlineStr">
        <is>
          <t>R-3</t>
        </is>
      </c>
      <c r="B18" s="17" t="inlineStr">
        <is>
          <t>성과 기여도</t>
        </is>
      </c>
      <c r="C18" s="29" t="inlineStr">
        <is>
          <t>조직·프로젝트 목표 달성에 정량적 기여</t>
        </is>
      </c>
      <c r="D18" s="30" t="inlineStr">
        <is>
          <t>S  기대 현저히 초과
A  기대 상회
B  기대 부합
C  부분 미흡
D  전반 미흡</t>
        </is>
      </c>
      <c r="E18" s="31" t="inlineStr"/>
      <c r="F18" s="31" t="inlineStr"/>
      <c r="G18" s="32">
        <f>IFERROR(IF(AND(E18&lt;&gt;"",F18&lt;&gt;""),(IF(E18="S",5,IF(E18="A",4,IF(E18="B",3,IF(E18="C",2,IF(E18="D",1,0)))))+IF(F18="S",5,IF(F18="A",4,IF(F18="B",3,IF(F18="C",2,IF(F18="D",1,0))))))/2,IF(E18&lt;&gt;"",IF(E18="S",5,IF(E18="A",4,IF(E18="B",3,IF(E18="C",2,IF(E18="D",1,0))))),IF(F18&lt;&gt;"",IF(F18="S",5,IF(F18="A",4,IF(F18="B",3,IF(F18="C",2,IF(F18="D",1,0))))),""))),"")</f>
        <v/>
      </c>
    </row>
    <row r="19" ht="90" customHeight="1">
      <c r="A19" s="26" t="inlineStr">
        <is>
          <t>R-4</t>
        </is>
      </c>
      <c r="B19" s="17" t="inlineStr">
        <is>
          <t>조직 후배 코칭</t>
        </is>
      </c>
      <c r="C19" s="29" t="inlineStr">
        <is>
          <t>상·하위 역할과 효과적 협업 및 후배 코칭</t>
        </is>
      </c>
      <c r="D19" s="30" t="inlineStr">
        <is>
          <t>S  기대 현저히 초과
A  기대 상회
B  기대 부합
C  부분 미흡
D  전반 미흡</t>
        </is>
      </c>
      <c r="E19" s="31" t="inlineStr"/>
      <c r="F19" s="31" t="inlineStr"/>
      <c r="G19" s="32">
        <f>IFERROR(IF(AND(E19&lt;&gt;"",F19&lt;&gt;""),(IF(E19="S",5,IF(E19="A",4,IF(E19="B",3,IF(E19="C",2,IF(E19="D",1,0)))))+IF(F19="S",5,IF(F19="A",4,IF(F19="B",3,IF(F19="C",2,IF(F19="D",1,0))))))/2,IF(E19&lt;&gt;"",IF(E19="S",5,IF(E19="A",4,IF(E19="B",3,IF(E19="C",2,IF(E19="D",1,0))))),IF(F19&lt;&gt;"",IF(F19="S",5,IF(F19="A",4,IF(F19="B",3,IF(F19="C",2,IF(F19="D",1,0))))),""))),"")</f>
        <v/>
      </c>
    </row>
    <row r="20" ht="90" customHeight="1">
      <c r="A20" s="26" t="inlineStr">
        <is>
          <t>R-5</t>
        </is>
      </c>
      <c r="B20" s="17" t="inlineStr">
        <is>
          <t>산출물 완성도</t>
        </is>
      </c>
      <c r="C20" s="29" t="inlineStr">
        <is>
          <t>산출물 품질과 기한 준수</t>
        </is>
      </c>
      <c r="D20" s="30" t="inlineStr">
        <is>
          <t>S  기대 현저히 초과
A  기대 상회
B  기대 부합
C  부분 미흡
D  전반 미흡</t>
        </is>
      </c>
      <c r="E20" s="31" t="inlineStr"/>
      <c r="F20" s="31" t="inlineStr"/>
      <c r="G20" s="32">
        <f>IFERROR(IF(AND(E20&lt;&gt;"",F20&lt;&gt;""),(IF(E20="S",5,IF(E20="A",4,IF(E20="B",3,IF(E20="C",2,IF(E20="D",1,0)))))+IF(F20="S",5,IF(F20="A",4,IF(F20="B",3,IF(F20="C",2,IF(F20="D",1,0))))))/2,IF(E20&lt;&gt;"",IF(E20="S",5,IF(E20="A",4,IF(E20="B",3,IF(E20="C",2,IF(E20="D",1,0))))),IF(F20&lt;&gt;"",IF(F20="S",5,IF(F20="A",4,IF(F20="B",3,IF(F20="C",2,IF(F20="D",1,0))))),""))),"")</f>
        <v/>
      </c>
    </row>
    <row r="21" ht="24" customHeight="1">
      <c r="A21" s="33" t="inlineStr">
        <is>
          <t>1차 평가자 역할 종합 (5개 평균)</t>
        </is>
      </c>
      <c r="E21" s="34">
        <f>IFERROR((IF(E16="S",5,IF(E16="A",4,IF(E16="B",3,IF(E16="C",2,IF(E16="D",1,0)))))+IF(E17="S",5,IF(E17="A",4,IF(E17="B",3,IF(E17="C",2,IF(E17="D",1,0)))))+IF(E18="S",5,IF(E18="A",4,IF(E18="B",3,IF(E18="C",2,IF(E18="D",1,0)))))+IF(E19="S",5,IF(E19="A",4,IF(E19="B",3,IF(E19="C",2,IF(E19="D",1,0)))))+IF(E20="S",5,IF(E20="A",4,IF(E20="B",3,IF(E20="C",2,IF(E20="D",1,0))))))/5,"")</f>
        <v/>
      </c>
      <c r="F21" s="35" t="inlineStr">
        <is>
          <t>→ 등급</t>
        </is>
      </c>
      <c r="G21" s="36">
        <f>IF(E21="","",IF(E21&gt;=4.5,"S",IF(E21&gt;=3.5,"A",IF(E21&gt;=2.5,"B",IF(E21&gt;=1.5,"C","D")))))</f>
        <v/>
      </c>
    </row>
    <row r="22" ht="24" customHeight="1">
      <c r="A22" s="33" t="inlineStr">
        <is>
          <t>2차 평가자 역할 종합 (5개 평균)</t>
        </is>
      </c>
      <c r="E22" s="34">
        <f>IFERROR((IF(F16="S",5,IF(F16="A",4,IF(F16="B",3,IF(F16="C",2,IF(F16="D",1,0)))))+IF(F17="S",5,IF(F17="A",4,IF(F17="B",3,IF(F17="C",2,IF(F17="D",1,0)))))+IF(F18="S",5,IF(F18="A",4,IF(F18="B",3,IF(F18="C",2,IF(F18="D",1,0)))))+IF(F19="S",5,IF(F19="A",4,IF(F19="B",3,IF(F19="C",2,IF(F19="D",1,0)))))+IF(F20="S",5,IF(F20="A",4,IF(F20="B",3,IF(F20="C",2,IF(F20="D",1,0))))))/5,"")</f>
        <v/>
      </c>
      <c r="F22" s="35" t="inlineStr">
        <is>
          <t>→ 등급</t>
        </is>
      </c>
      <c r="G22" s="36">
        <f>IF(E22="","",IF(E22&gt;=4.5,"S",IF(E22&gt;=3.5,"A",IF(E22&gt;=2.5,"B",IF(E22&gt;=1.5,"C","D")))))</f>
        <v/>
      </c>
    </row>
    <row r="24" ht="26" customHeight="1">
      <c r="A24" s="37" t="inlineStr">
        <is>
          <t>▶ ② 공통역량평가 — 11개 (★ S/A/B/C/D 평가기준 포함)</t>
        </is>
      </c>
    </row>
    <row r="25" ht="28" customHeight="1">
      <c r="A25" s="28" t="inlineStr">
        <is>
          <t>No.</t>
        </is>
      </c>
      <c r="B25" s="28" t="inlineStr">
        <is>
          <t>역량군</t>
        </is>
      </c>
      <c r="C25" s="28" t="inlineStr">
        <is>
          <t>핵심 역량</t>
        </is>
      </c>
      <c r="D25" s="28" t="inlineStr">
        <is>
          <t>평가 기준</t>
        </is>
      </c>
      <c r="E25" s="28" t="inlineStr">
        <is>
          <t>S/A/B/C/D 등급 기준</t>
        </is>
      </c>
      <c r="F25" s="28" t="inlineStr">
        <is>
          <t>1차</t>
        </is>
      </c>
      <c r="G25" s="28" t="inlineStr">
        <is>
          <t>2차</t>
        </is>
      </c>
      <c r="H25" s="28" t="inlineStr">
        <is>
          <t>평균(참고)</t>
        </is>
      </c>
    </row>
    <row r="26" ht="100" customHeight="1">
      <c r="A26" s="2" t="inlineStr">
        <is>
          <t>C-1</t>
        </is>
      </c>
      <c r="B26" s="2" t="inlineStr">
        <is>
          <t>업무</t>
        </is>
      </c>
      <c r="C26" s="17" t="inlineStr">
        <is>
          <t>직무 전문성</t>
        </is>
      </c>
      <c r="D26" s="29" t="inlineStr">
        <is>
          <t>직무에 필요한 전문 지식 및 기술 보유, 실무 적용</t>
        </is>
      </c>
      <c r="E26" s="30" t="inlineStr">
        <is>
          <t>S  고급 지식과 숙련도, 타 부서 교육 가능
A  최신 트렌드 반영, 실무에 적절 활용
B  일반 수준 이해 및 적용
C  일부 기술 이해, 개선 필요
D  지식 부족, 실무 반영 어려움</t>
        </is>
      </c>
      <c r="F26" s="31" t="inlineStr"/>
      <c r="G26" s="31" t="inlineStr"/>
      <c r="H26" s="32">
        <f>IFERROR(IF(AND(F26&lt;&gt;"",G26&lt;&gt;""),(IF(F26="S",5,IF(F26="A",4,IF(F26="B",3,IF(F26="C",2,IF(F26="D",1,0)))))+IF(G26="S",5,IF(G26="A",4,IF(G26="B",3,IF(G26="C",2,IF(G26="D",1,0))))))/2,IF(F26&lt;&gt;"",IF(F26="S",5,IF(F26="A",4,IF(F26="B",3,IF(F26="C",2,IF(F26="D",1,0))))),IF(G26&lt;&gt;"",IF(G26="S",5,IF(G26="A",4,IF(G26="B",3,IF(G26="C",2,IF(G26="D",1,0))))),""))),"")</f>
        <v/>
      </c>
    </row>
    <row r="27" ht="100" customHeight="1">
      <c r="A27" s="2" t="inlineStr">
        <is>
          <t>C-2</t>
        </is>
      </c>
      <c r="B27" s="2" t="inlineStr">
        <is>
          <t>업무</t>
        </is>
      </c>
      <c r="C27" s="17" t="inlineStr">
        <is>
          <t>분석력</t>
        </is>
      </c>
      <c r="D27" s="29" t="inlineStr">
        <is>
          <t>데이터·수치 기반 사고로 업무 효율 향상</t>
        </is>
      </c>
      <c r="E27" s="30" t="inlineStr">
        <is>
          <t>S  데이터 기반 전략 도출 가능
A  분석 후 결과 활용 능숙
B  기본적 분석 및 간단한 적용 가능
C  기본 해석은 가능하나 활용 미흡
D  자료 해석 불가, 의사결정 어려움</t>
        </is>
      </c>
      <c r="F27" s="31" t="inlineStr"/>
      <c r="G27" s="31" t="inlineStr"/>
      <c r="H27" s="32">
        <f>IFERROR(IF(AND(F27&lt;&gt;"",G27&lt;&gt;""),(IF(F27="S",5,IF(F27="A",4,IF(F27="B",3,IF(F27="C",2,IF(F27="D",1,0)))))+IF(G27="S",5,IF(G27="A",4,IF(G27="B",3,IF(G27="C",2,IF(G27="D",1,0))))))/2,IF(F27&lt;&gt;"",IF(F27="S",5,IF(F27="A",4,IF(F27="B",3,IF(F27="C",2,IF(F27="D",1,0))))),IF(G27&lt;&gt;"",IF(G27="S",5,IF(G27="A",4,IF(G27="B",3,IF(G27="C",2,IF(G27="D",1,0))))),""))),"")</f>
        <v/>
      </c>
    </row>
    <row r="28" ht="100" customHeight="1">
      <c r="A28" s="2" t="inlineStr">
        <is>
          <t>C-3</t>
        </is>
      </c>
      <c r="B28" s="2" t="inlineStr">
        <is>
          <t>업무</t>
        </is>
      </c>
      <c r="C28" s="17" t="inlineStr">
        <is>
          <t>기획/실행력</t>
        </is>
      </c>
      <c r="D28" s="29" t="inlineStr">
        <is>
          <t>목표 설정·계획 수립·체계적 실행 능력</t>
        </is>
      </c>
      <c r="E28" s="30" t="inlineStr">
        <is>
          <t>S  스스로 목표 수립 및 조직 리딩 가능
A  계획 수립 능력 우수 및 실행 일관성
B  일반적 목표 수립 및 실현 가능
C  실행 계획 일부 있으나 체계 부족
D  목표 설정 부정확, 실행력 부족</t>
        </is>
      </c>
      <c r="F28" s="31" t="inlineStr"/>
      <c r="G28" s="31" t="inlineStr"/>
      <c r="H28" s="32">
        <f>IFERROR(IF(AND(F28&lt;&gt;"",G28&lt;&gt;""),(IF(F28="S",5,IF(F28="A",4,IF(F28="B",3,IF(F28="C",2,IF(F28="D",1,0)))))+IF(G28="S",5,IF(G28="A",4,IF(G28="B",3,IF(G28="C",2,IF(G28="D",1,0))))))/2,IF(F28&lt;&gt;"",IF(F28="S",5,IF(F28="A",4,IF(F28="B",3,IF(F28="C",2,IF(F28="D",1,0))))),IF(G28&lt;&gt;"",IF(G28="S",5,IF(G28="A",4,IF(G28="B",3,IF(G28="C",2,IF(G28="D",1,0))))),""))),"")</f>
        <v/>
      </c>
    </row>
    <row r="29" ht="100" customHeight="1">
      <c r="A29" s="2" t="inlineStr">
        <is>
          <t>C-4</t>
        </is>
      </c>
      <c r="B29" s="2" t="inlineStr">
        <is>
          <t>조직</t>
        </is>
      </c>
      <c r="C29" s="17" t="inlineStr">
        <is>
          <t>자원·시간 관리</t>
        </is>
      </c>
      <c r="D29" s="29" t="inlineStr">
        <is>
          <t>업무 우선순위 설정 및 시간 내 효과적 완수</t>
        </is>
      </c>
      <c r="E29" s="30" t="inlineStr">
        <is>
          <t>S  다중 과제 효율 배분, 시간관리 탁월
A  업무 효율성 높고 우선순위 명확
B  일반 수준 일정 조율 가능
C  마감 어려움, 우선순위 혼란
D  업무 지연 잦고 계획 없음</t>
        </is>
      </c>
      <c r="F29" s="31" t="inlineStr"/>
      <c r="G29" s="31" t="inlineStr"/>
      <c r="H29" s="32">
        <f>IFERROR(IF(AND(F29&lt;&gt;"",G29&lt;&gt;""),(IF(F29="S",5,IF(F29="A",4,IF(F29="B",3,IF(F29="C",2,IF(F29="D",1,0)))))+IF(G29="S",5,IF(G29="A",4,IF(G29="B",3,IF(G29="C",2,IF(G29="D",1,0))))))/2,IF(F29&lt;&gt;"",IF(F29="S",5,IF(F29="A",4,IF(F29="B",3,IF(F29="C",2,IF(F29="D",1,0))))),IF(G29&lt;&gt;"",IF(G29="S",5,IF(G29="A",4,IF(G29="B",3,IF(G29="C",2,IF(G29="D",1,0))))),""))),"")</f>
        <v/>
      </c>
    </row>
    <row r="30" ht="100" customHeight="1">
      <c r="A30" s="2" t="inlineStr">
        <is>
          <t>C-5</t>
        </is>
      </c>
      <c r="B30" s="2" t="inlineStr">
        <is>
          <t>조직</t>
        </is>
      </c>
      <c r="C30" s="17" t="inlineStr">
        <is>
          <t>협업 능력</t>
        </is>
      </c>
      <c r="D30" s="29" t="inlineStr">
        <is>
          <t>팀·타 부서와의 협업 태도, 정보 공유</t>
        </is>
      </c>
      <c r="E30" s="30" t="inlineStr">
        <is>
          <t>S  타 부서와의 시너지 창출
A  정보 공유, 원활한 협업
B  공동목표 수용 및 일부 협력
C  소극적 협조, 갈등 유발
D  협력 거부, 독단적 태도</t>
        </is>
      </c>
      <c r="F30" s="31" t="inlineStr"/>
      <c r="G30" s="31" t="inlineStr"/>
      <c r="H30" s="32">
        <f>IFERROR(IF(AND(F30&lt;&gt;"",G30&lt;&gt;""),(IF(F30="S",5,IF(F30="A",4,IF(F30="B",3,IF(F30="C",2,IF(F30="D",1,0)))))+IF(G30="S",5,IF(G30="A",4,IF(G30="B",3,IF(G30="C",2,IF(G30="D",1,0))))))/2,IF(F30&lt;&gt;"",IF(F30="S",5,IF(F30="A",4,IF(F30="B",3,IF(F30="C",2,IF(F30="D",1,0))))),IF(G30&lt;&gt;"",IF(G30="S",5,IF(G30="A",4,IF(G30="B",3,IF(G30="C",2,IF(G30="D",1,0))))),""))),"")</f>
        <v/>
      </c>
    </row>
    <row r="31" ht="100" customHeight="1">
      <c r="A31" s="2" t="inlineStr">
        <is>
          <t>C-6</t>
        </is>
      </c>
      <c r="B31" s="2" t="inlineStr">
        <is>
          <t>조직</t>
        </is>
      </c>
      <c r="C31" s="17" t="inlineStr">
        <is>
          <t>소통 능력</t>
        </is>
      </c>
      <c r="D31" s="29" t="inlineStr">
        <is>
          <t>명확한 의사 전달·경청·효과적 커뮤니케이션</t>
        </is>
      </c>
      <c r="E31" s="30" t="inlineStr">
        <is>
          <t>S  갈등 중재 및 공감능력 우수
A  정확한 의사 전달 및 경청
B  피드백 수용 및 전달 가능
C  소통 시 불편 유발
D  일방적 주장, 피드백 거부</t>
        </is>
      </c>
      <c r="F31" s="31" t="inlineStr"/>
      <c r="G31" s="31" t="inlineStr"/>
      <c r="H31" s="32">
        <f>IFERROR(IF(AND(F31&lt;&gt;"",G31&lt;&gt;""),(IF(F31="S",5,IF(F31="A",4,IF(F31="B",3,IF(F31="C",2,IF(F31="D",1,0)))))+IF(G31="S",5,IF(G31="A",4,IF(G31="B",3,IF(G31="C",2,IF(G31="D",1,0))))))/2,IF(F31&lt;&gt;"",IF(F31="S",5,IF(F31="A",4,IF(F31="B",3,IF(F31="C",2,IF(F31="D",1,0))))),IF(G31&lt;&gt;"",IF(G31="S",5,IF(G31="A",4,IF(G31="B",3,IF(G31="C",2,IF(G31="D",1,0))))),""))),"")</f>
        <v/>
      </c>
    </row>
    <row r="32" ht="100" customHeight="1">
      <c r="A32" s="2" t="inlineStr">
        <is>
          <t>C-7</t>
        </is>
      </c>
      <c r="B32" s="2" t="inlineStr">
        <is>
          <t>인성</t>
        </is>
      </c>
      <c r="C32" s="17" t="inlineStr">
        <is>
          <t>윤리/책임감</t>
        </is>
      </c>
      <c r="D32" s="29" t="inlineStr">
        <is>
          <t>공정·투명한 절차, 책임감 있는 업무</t>
        </is>
      </c>
      <c r="E32" s="30" t="inlineStr">
        <is>
          <t>S  모범적 자세, 조직문화 선도
A  조직 규범 내 성실 수행
B  기본 책임 수행
C  책임 회피 경향
D  무책임, 규정 무시</t>
        </is>
      </c>
      <c r="F32" s="31" t="inlineStr"/>
      <c r="G32" s="31" t="inlineStr"/>
      <c r="H32" s="32">
        <f>IFERROR(IF(AND(F32&lt;&gt;"",G32&lt;&gt;""),(IF(F32="S",5,IF(F32="A",4,IF(F32="B",3,IF(F32="C",2,IF(F32="D",1,0)))))+IF(G32="S",5,IF(G32="A",4,IF(G32="B",3,IF(G32="C",2,IF(G32="D",1,0))))))/2,IF(F32&lt;&gt;"",IF(F32="S",5,IF(F32="A",4,IF(F32="B",3,IF(F32="C",2,IF(F32="D",1,0))))),IF(G32&lt;&gt;"",IF(G32="S",5,IF(G32="A",4,IF(G32="B",3,IF(G32="C",2,IF(G32="D",1,0))))),""))),"")</f>
        <v/>
      </c>
    </row>
    <row r="33" ht="100" customHeight="1">
      <c r="A33" s="2" t="inlineStr">
        <is>
          <t>C-8</t>
        </is>
      </c>
      <c r="B33" s="2" t="inlineStr">
        <is>
          <t>인성</t>
        </is>
      </c>
      <c r="C33" s="17" t="inlineStr">
        <is>
          <t>업무 태도</t>
        </is>
      </c>
      <c r="D33" s="29" t="inlineStr">
        <is>
          <t>성실·주도적 태도, 변화 유연성</t>
        </is>
      </c>
      <c r="E33" s="30" t="inlineStr">
        <is>
          <t>S  문제 해결 중심의 선도적 자세
A  책임감, 적극적 태도
B  일정 주도성 보임
C  소극적, 피동적 태도
D  수동적, 지시 없이는 행동 안 함</t>
        </is>
      </c>
      <c r="F33" s="31" t="inlineStr"/>
      <c r="G33" s="31" t="inlineStr"/>
      <c r="H33" s="32">
        <f>IFERROR(IF(AND(F33&lt;&gt;"",G33&lt;&gt;""),(IF(F33="S",5,IF(F33="A",4,IF(F33="B",3,IF(F33="C",2,IF(F33="D",1,0)))))+IF(G33="S",5,IF(G33="A",4,IF(G33="B",3,IF(G33="C",2,IF(G33="D",1,0))))))/2,IF(F33&lt;&gt;"",IF(F33="S",5,IF(F33="A",4,IF(F33="B",3,IF(F33="C",2,IF(F33="D",1,0))))),IF(G33&lt;&gt;"",IF(G33="S",5,IF(G33="A",4,IF(G33="B",3,IF(G33="C",2,IF(G33="D",1,0))))),""))),"")</f>
        <v/>
      </c>
    </row>
    <row r="34" ht="100" customHeight="1">
      <c r="A34" s="2" t="inlineStr">
        <is>
          <t>C-9</t>
        </is>
      </c>
      <c r="B34" s="2" t="inlineStr">
        <is>
          <t>미래</t>
        </is>
      </c>
      <c r="C34" s="17" t="inlineStr">
        <is>
          <t>혁신 역량</t>
        </is>
      </c>
      <c r="D34" s="29" t="inlineStr">
        <is>
          <t>AI·자동화 등 최신 기술의 실무 접목</t>
        </is>
      </c>
      <c r="E34" s="30" t="inlineStr">
        <is>
          <t>S  혁신적 아이디어 제시 및 실현
A  적극 활용하여 효율성 제고
B  일상적 업무에 도구 활용
C  부분적 기능 사용
D  기술 활용 거의 없음</t>
        </is>
      </c>
      <c r="F34" s="31" t="inlineStr"/>
      <c r="G34" s="31" t="inlineStr"/>
      <c r="H34" s="32">
        <f>IFERROR(IF(AND(F34&lt;&gt;"",G34&lt;&gt;""),(IF(F34="S",5,IF(F34="A",4,IF(F34="B",3,IF(F34="C",2,IF(F34="D",1,0)))))+IF(G34="S",5,IF(G34="A",4,IF(G34="B",3,IF(G34="C",2,IF(G34="D",1,0))))))/2,IF(F34&lt;&gt;"",IF(F34="S",5,IF(F34="A",4,IF(F34="B",3,IF(F34="C",2,IF(F34="D",1,0))))),IF(G34&lt;&gt;"",IF(G34="S",5,IF(G34="A",4,IF(G34="B",3,IF(G34="C",2,IF(G34="D",1,0))))),""))),"")</f>
        <v/>
      </c>
    </row>
    <row r="35" ht="100" customHeight="1">
      <c r="A35" s="2" t="inlineStr">
        <is>
          <t>C-10</t>
        </is>
      </c>
      <c r="B35" s="2" t="inlineStr">
        <is>
          <t>미래</t>
        </is>
      </c>
      <c r="C35" s="17" t="inlineStr">
        <is>
          <t>프로세스 개선</t>
        </is>
      </c>
      <c r="D35" s="29" t="inlineStr">
        <is>
          <t>업무 절차 분석 및 비효율 개선</t>
        </is>
      </c>
      <c r="E35" s="30" t="inlineStr">
        <is>
          <t>S  제안 실행까지 주도함
A  능동적 개선 제안
B  개선의 필요성 인식
C  타인이 해야 할 일로 인식
D  개선 의지 없음</t>
        </is>
      </c>
      <c r="F35" s="31" t="inlineStr"/>
      <c r="G35" s="31" t="inlineStr"/>
      <c r="H35" s="32">
        <f>IFERROR(IF(AND(F35&lt;&gt;"",G35&lt;&gt;""),(IF(F35="S",5,IF(F35="A",4,IF(F35="B",3,IF(F35="C",2,IF(F35="D",1,0)))))+IF(G35="S",5,IF(G35="A",4,IF(G35="B",3,IF(G35="C",2,IF(G35="D",1,0))))))/2,IF(F35&lt;&gt;"",IF(F35="S",5,IF(F35="A",4,IF(F35="B",3,IF(F35="C",2,IF(F35="D",1,0))))),IF(G35&lt;&gt;"",IF(G35="S",5,IF(G35="A",4,IF(G35="B",3,IF(G35="C",2,IF(G35="D",1,0))))),""))),"")</f>
        <v/>
      </c>
    </row>
    <row r="36" ht="100" customHeight="1">
      <c r="A36" s="2" t="inlineStr">
        <is>
          <t>C-11</t>
        </is>
      </c>
      <c r="B36" s="2" t="inlineStr">
        <is>
          <t>미래</t>
        </is>
      </c>
      <c r="C36" s="17" t="inlineStr">
        <is>
          <t>지속가능 기여</t>
        </is>
      </c>
      <c r="D36" s="29" t="inlineStr">
        <is>
          <t>장기적 성과 향상·조직 기여</t>
        </is>
      </c>
      <c r="E36" s="30" t="inlineStr">
        <is>
          <t>S  성과 리딩 및 지속 성과 도출
A  개인 및 팀 성과 기여
B  기본 수준의 성과
C  성과 불명확, 기여 낮음
D  성과 없음, 소극적 태도</t>
        </is>
      </c>
      <c r="F36" s="31" t="inlineStr"/>
      <c r="G36" s="31" t="inlineStr"/>
      <c r="H36" s="32">
        <f>IFERROR(IF(AND(F36&lt;&gt;"",G36&lt;&gt;""),(IF(F36="S",5,IF(F36="A",4,IF(F36="B",3,IF(F36="C",2,IF(F36="D",1,0)))))+IF(G36="S",5,IF(G36="A",4,IF(G36="B",3,IF(G36="C",2,IF(G36="D",1,0))))))/2,IF(F36&lt;&gt;"",IF(F36="S",5,IF(F36="A",4,IF(F36="B",3,IF(F36="C",2,IF(F36="D",1,0))))),IF(G36&lt;&gt;"",IF(G36="S",5,IF(G36="A",4,IF(G36="B",3,IF(G36="C",2,IF(G36="D",1,0))))),""))),"")</f>
        <v/>
      </c>
    </row>
    <row r="37" ht="24" customHeight="1">
      <c r="A37" s="38" t="inlineStr">
        <is>
          <t>1차 평가자 공통역량 종합 (11개 단순 평균)</t>
        </is>
      </c>
      <c r="F37" s="34">
        <f>IFERROR((IF(F26="S",5,IF(F26="A",4,IF(F26="B",3,IF(F26="C",2,IF(F26="D",1,0)))))+IF(F27="S",5,IF(F27="A",4,IF(F27="B",3,IF(F27="C",2,IF(F27="D",1,0)))))+IF(F28="S",5,IF(F28="A",4,IF(F28="B",3,IF(F28="C",2,IF(F28="D",1,0)))))+IF(F29="S",5,IF(F29="A",4,IF(F29="B",3,IF(F29="C",2,IF(F29="D",1,0)))))+IF(F30="S",5,IF(F30="A",4,IF(F30="B",3,IF(F30="C",2,IF(F30="D",1,0)))))+IF(F31="S",5,IF(F31="A",4,IF(F31="B",3,IF(F31="C",2,IF(F31="D",1,0)))))+IF(F32="S",5,IF(F32="A",4,IF(F32="B",3,IF(F32="C",2,IF(F32="D",1,0)))))+IF(F33="S",5,IF(F33="A",4,IF(F33="B",3,IF(F33="C",2,IF(F33="D",1,0)))))+IF(F34="S",5,IF(F34="A",4,IF(F34="B",3,IF(F34="C",2,IF(F34="D",1,0)))))+IF(F35="S",5,IF(F35="A",4,IF(F35="B",3,IF(F35="C",2,IF(F35="D",1,0)))))+IF(F36="S",5,IF(F36="A",4,IF(F36="B",3,IF(F36="C",2,IF(F36="D",1,0))))))/11,"")</f>
        <v/>
      </c>
      <c r="G37" s="35" t="inlineStr">
        <is>
          <t>→ 등급</t>
        </is>
      </c>
      <c r="H37" s="36">
        <f>IF(F37="","",IF(F37&gt;=4.5,"S",IF(F37&gt;=3.5,"A",IF(F37&gt;=2.5,"B",IF(F37&gt;=1.5,"C","D")))))</f>
        <v/>
      </c>
    </row>
    <row r="38" ht="24" customHeight="1">
      <c r="A38" s="38" t="inlineStr">
        <is>
          <t>2차 평가자 공통역량 종합 (11개 단순 평균)</t>
        </is>
      </c>
      <c r="F38" s="34">
        <f>IFERROR((IF(G26="S",5,IF(G26="A",4,IF(G26="B",3,IF(G26="C",2,IF(G26="D",1,0)))))+IF(G27="S",5,IF(G27="A",4,IF(G27="B",3,IF(G27="C",2,IF(G27="D",1,0)))))+IF(G28="S",5,IF(G28="A",4,IF(G28="B",3,IF(G28="C",2,IF(G28="D",1,0)))))+IF(G29="S",5,IF(G29="A",4,IF(G29="B",3,IF(G29="C",2,IF(G29="D",1,0)))))+IF(G30="S",5,IF(G30="A",4,IF(G30="B",3,IF(G30="C",2,IF(G30="D",1,0)))))+IF(G31="S",5,IF(G31="A",4,IF(G31="B",3,IF(G31="C",2,IF(G31="D",1,0)))))+IF(G32="S",5,IF(G32="A",4,IF(G32="B",3,IF(G32="C",2,IF(G32="D",1,0)))))+IF(G33="S",5,IF(G33="A",4,IF(G33="B",3,IF(G33="C",2,IF(G33="D",1,0)))))+IF(G34="S",5,IF(G34="A",4,IF(G34="B",3,IF(G34="C",2,IF(G34="D",1,0)))))+IF(G35="S",5,IF(G35="A",4,IF(G35="B",3,IF(G35="C",2,IF(G35="D",1,0)))))+IF(G36="S",5,IF(G36="A",4,IF(G36="B",3,IF(G36="C",2,IF(G36="D",1,0))))))/11,"")</f>
        <v/>
      </c>
      <c r="G38" s="35" t="inlineStr">
        <is>
          <t>→ 등급</t>
        </is>
      </c>
      <c r="H38" s="36">
        <f>IF(F38="","",IF(F38&gt;=4.5,"S",IF(F38&gt;=3.5,"A",IF(F38&gt;=2.5,"B",IF(F38&gt;=1.5,"C","D")))))</f>
        <v/>
      </c>
    </row>
    <row r="40" ht="26" customHeight="1">
      <c r="A40" s="39" t="inlineStr">
        <is>
          <t>▶ ③ 직무역량평가 — 메인 책무(D열 O)만 평가</t>
        </is>
      </c>
    </row>
    <row r="41" ht="28" customHeight="1">
      <c r="A41" s="28" t="inlineStr">
        <is>
          <t>No.</t>
        </is>
      </c>
      <c r="B41" s="28" t="inlineStr">
        <is>
          <t>전문영역</t>
        </is>
      </c>
      <c r="C41" s="28" t="inlineStr">
        <is>
          <t>핵심 책무</t>
        </is>
      </c>
      <c r="D41" s="28" t="inlineStr">
        <is>
          <t>메인</t>
        </is>
      </c>
      <c r="E41" s="28" t="inlineStr">
        <is>
          <t>1차</t>
        </is>
      </c>
      <c r="F41" s="28" t="inlineStr">
        <is>
          <t>2차</t>
        </is>
      </c>
      <c r="G41" s="28" t="inlineStr">
        <is>
          <t>평균(참고)</t>
        </is>
      </c>
    </row>
    <row r="42" ht="22" customHeight="1">
      <c r="A42" s="35" t="inlineStr">
        <is>
          <t>J-1</t>
        </is>
      </c>
      <c r="B42" s="40" t="inlineStr">
        <is>
          <t>영업기획</t>
        </is>
      </c>
      <c r="C42" s="41" t="inlineStr">
        <is>
          <t>시장조사 및 고객 발굴</t>
        </is>
      </c>
      <c r="D42" s="31" t="inlineStr"/>
      <c r="E42" s="31" t="inlineStr"/>
      <c r="F42" s="31" t="inlineStr"/>
      <c r="G42" s="32">
        <f>IF(D42="O",IFERROR(IF(AND(E42&lt;&gt;"",F42&lt;&gt;""),(IF(E42="S",5,IF(E42="A",4,IF(E42="B",3,IF(E42="C",2,IF(E42="D",1,0)))))+IF(F42="S",5,IF(F42="A",4,IF(F42="B",3,IF(F42="C",2,IF(F42="D",1,0))))))/2,IF(E42&lt;&gt;"",IF(E42="S",5,IF(E42="A",4,IF(E42="B",3,IF(E42="C",2,IF(E42="D",1,0))))),IF(F42&lt;&gt;"",IF(F42="S",5,IF(F42="A",4,IF(F42="B",3,IF(F42="C",2,IF(F42="D",1,0))))),""))),""),"")</f>
        <v/>
      </c>
    </row>
    <row r="43" ht="22" customHeight="1">
      <c r="A43" s="35" t="inlineStr">
        <is>
          <t>J-2</t>
        </is>
      </c>
      <c r="B43" s="40" t="inlineStr">
        <is>
          <t>영업기획</t>
        </is>
      </c>
      <c r="C43" s="41" t="inlineStr">
        <is>
          <t>제안 및 입찰 준비</t>
        </is>
      </c>
      <c r="D43" s="31" t="inlineStr"/>
      <c r="E43" s="31" t="inlineStr"/>
      <c r="F43" s="31" t="inlineStr"/>
      <c r="G43" s="32">
        <f>IF(D43="O",IFERROR(IF(AND(E43&lt;&gt;"",F43&lt;&gt;""),(IF(E43="S",5,IF(E43="A",4,IF(E43="B",3,IF(E43="C",2,IF(E43="D",1,0)))))+IF(F43="S",5,IF(F43="A",4,IF(F43="B",3,IF(F43="C",2,IF(F43="D",1,0))))))/2,IF(E43&lt;&gt;"",IF(E43="S",5,IF(E43="A",4,IF(E43="B",3,IF(E43="C",2,IF(E43="D",1,0))))),IF(F43&lt;&gt;"",IF(F43="S",5,IF(F43="A",4,IF(F43="B",3,IF(F43="C",2,IF(F43="D",1,0))))),""))),""),"")</f>
        <v/>
      </c>
    </row>
    <row r="44" ht="22" customHeight="1">
      <c r="A44" s="35" t="inlineStr">
        <is>
          <t>J-3</t>
        </is>
      </c>
      <c r="B44" s="40" t="inlineStr">
        <is>
          <t>영업기획</t>
        </is>
      </c>
      <c r="C44" s="41" t="inlineStr">
        <is>
          <t>계약 협상</t>
        </is>
      </c>
      <c r="D44" s="31" t="inlineStr"/>
      <c r="E44" s="31" t="inlineStr"/>
      <c r="F44" s="31" t="inlineStr"/>
      <c r="G44" s="32">
        <f>IF(D44="O",IFERROR(IF(AND(E44&lt;&gt;"",F44&lt;&gt;""),(IF(E44="S",5,IF(E44="A",4,IF(E44="B",3,IF(E44="C",2,IF(E44="D",1,0)))))+IF(F44="S",5,IF(F44="A",4,IF(F44="B",3,IF(F44="C",2,IF(F44="D",1,0))))))/2,IF(E44&lt;&gt;"",IF(E44="S",5,IF(E44="A",4,IF(E44="B",3,IF(E44="C",2,IF(E44="D",1,0))))),IF(F44&lt;&gt;"",IF(F44="S",5,IF(F44="A",4,IF(F44="B",3,IF(F44="C",2,IF(F44="D",1,0))))),""))),""),"")</f>
        <v/>
      </c>
    </row>
    <row r="45" ht="22" customHeight="1">
      <c r="A45" s="35" t="inlineStr">
        <is>
          <t>J-4</t>
        </is>
      </c>
      <c r="B45" s="40" t="inlineStr">
        <is>
          <t>고객관리</t>
        </is>
      </c>
      <c r="C45" s="41" t="inlineStr">
        <is>
          <t>기존 고객 관리</t>
        </is>
      </c>
      <c r="D45" s="31" t="inlineStr"/>
      <c r="E45" s="31" t="inlineStr"/>
      <c r="F45" s="31" t="inlineStr"/>
      <c r="G45" s="32">
        <f>IF(D45="O",IFERROR(IF(AND(E45&lt;&gt;"",F45&lt;&gt;""),(IF(E45="S",5,IF(E45="A",4,IF(E45="B",3,IF(E45="C",2,IF(E45="D",1,0)))))+IF(F45="S",5,IF(F45="A",4,IF(F45="B",3,IF(F45="C",2,IF(F45="D",1,0))))))/2,IF(E45&lt;&gt;"",IF(E45="S",5,IF(E45="A",4,IF(E45="B",3,IF(E45="C",2,IF(E45="D",1,0))))),IF(F45&lt;&gt;"",IF(F45="S",5,IF(F45="A",4,IF(F45="B",3,IF(F45="C",2,IF(F45="D",1,0))))),""))),""),"")</f>
        <v/>
      </c>
    </row>
    <row r="46" ht="22" customHeight="1">
      <c r="A46" s="35" t="inlineStr">
        <is>
          <t>J-5</t>
        </is>
      </c>
      <c r="B46" s="40" t="inlineStr">
        <is>
          <t>고객관리</t>
        </is>
      </c>
      <c r="C46" s="41" t="inlineStr">
        <is>
          <t>신규 고객 개발</t>
        </is>
      </c>
      <c r="D46" s="31" t="inlineStr"/>
      <c r="E46" s="31" t="inlineStr"/>
      <c r="F46" s="31" t="inlineStr"/>
      <c r="G46" s="32">
        <f>IF(D46="O",IFERROR(IF(AND(E46&lt;&gt;"",F46&lt;&gt;""),(IF(E46="S",5,IF(E46="A",4,IF(E46="B",3,IF(E46="C",2,IF(E46="D",1,0)))))+IF(F46="S",5,IF(F46="A",4,IF(F46="B",3,IF(F46="C",2,IF(F46="D",1,0))))))/2,IF(E46&lt;&gt;"",IF(E46="S",5,IF(E46="A",4,IF(E46="B",3,IF(E46="C",2,IF(E46="D",1,0))))),IF(F46&lt;&gt;"",IF(F46="S",5,IF(F46="A",4,IF(F46="B",3,IF(F46="C",2,IF(F46="D",1,0))))),""))),""),"")</f>
        <v/>
      </c>
    </row>
    <row r="47" ht="22" customHeight="1">
      <c r="A47" s="35" t="inlineStr">
        <is>
          <t>J-6</t>
        </is>
      </c>
      <c r="B47" s="40" t="inlineStr">
        <is>
          <t>프로젝트 영업</t>
        </is>
      </c>
      <c r="C47" s="41" t="inlineStr">
        <is>
          <t>프로젝트 발굴 및 수주</t>
        </is>
      </c>
      <c r="D47" s="31" t="inlineStr"/>
      <c r="E47" s="31" t="inlineStr"/>
      <c r="F47" s="31" t="inlineStr"/>
      <c r="G47" s="32">
        <f>IF(D47="O",IFERROR(IF(AND(E47&lt;&gt;"",F47&lt;&gt;""),(IF(E47="S",5,IF(E47="A",4,IF(E47="B",3,IF(E47="C",2,IF(E47="D",1,0)))))+IF(F47="S",5,IF(F47="A",4,IF(F47="B",3,IF(F47="C",2,IF(F47="D",1,0))))))/2,IF(E47&lt;&gt;"",IF(E47="S",5,IF(E47="A",4,IF(E47="B",3,IF(E47="C",2,IF(E47="D",1,0))))),IF(F47&lt;&gt;"",IF(F47="S",5,IF(F47="A",4,IF(F47="B",3,IF(F47="C",2,IF(F47="D",1,0))))),""))),""),"")</f>
        <v/>
      </c>
    </row>
    <row r="48" ht="22" customHeight="1">
      <c r="A48" s="35" t="inlineStr">
        <is>
          <t>J-7</t>
        </is>
      </c>
      <c r="B48" s="40" t="inlineStr">
        <is>
          <t>프로젝트 영업</t>
        </is>
      </c>
      <c r="C48" s="41" t="inlineStr">
        <is>
          <t>계약 후 사후관리</t>
        </is>
      </c>
      <c r="D48" s="31" t="inlineStr"/>
      <c r="E48" s="31" t="inlineStr"/>
      <c r="F48" s="31" t="inlineStr"/>
      <c r="G48" s="32">
        <f>IF(D48="O",IFERROR(IF(AND(E48&lt;&gt;"",F48&lt;&gt;""),(IF(E48="S",5,IF(E48="A",4,IF(E48="B",3,IF(E48="C",2,IF(E48="D",1,0)))))+IF(F48="S",5,IF(F48="A",4,IF(F48="B",3,IF(F48="C",2,IF(F48="D",1,0))))))/2,IF(E48&lt;&gt;"",IF(E48="S",5,IF(E48="A",4,IF(E48="B",3,IF(E48="C",2,IF(E48="D",1,0))))),IF(F48&lt;&gt;"",IF(F48="S",5,IF(F48="A",4,IF(F48="B",3,IF(F48="C",2,IF(F48="D",1,0))))),""))),""),"")</f>
        <v/>
      </c>
    </row>
    <row r="50" ht="24" customHeight="1">
      <c r="A50" s="42" t="inlineStr">
        <is>
          <t>1차 평가자 직무 종합 (메인 책무 평균)</t>
        </is>
      </c>
      <c r="E50" s="34">
        <f>IFERROR(SUMPRODUCT((D42:D48="O")*IFERROR(IF(E42:E48="S",5,IF(E42:E48="A",4,IF(E42:E48="B",3,IF(E42:E48="C",2,IF(E42:E48="D",1,0))))),0))/COUNTIF(D42:D48,"O"),"")</f>
        <v/>
      </c>
      <c r="F50" s="36">
        <f>IF(E50="","",IF(E50&gt;=4.5,"S",IF(E50&gt;=3.5,"A",IF(E50&gt;=2.5,"B",IF(E50&gt;=1.5,"C","D")))))</f>
        <v/>
      </c>
    </row>
    <row r="51" ht="24" customHeight="1">
      <c r="A51" s="42" t="inlineStr">
        <is>
          <t>2차 평가자 직무 종합</t>
        </is>
      </c>
      <c r="E51" s="34">
        <f>IFERROR(SUMPRODUCT((D42:D48="O")*IFERROR(IF(F42:F48="S",5,IF(F42:F48="A",4,IF(F42:F48="B",3,IF(F42:F48="C",2,IF(F42:F48="D",1,0))))),0))/COUNTIF(D42:D48,"O"),"")</f>
        <v/>
      </c>
      <c r="F51" s="36">
        <f>IF(E51="","",IF(E51&gt;=4.5,"S",IF(E51&gt;=3.5,"A",IF(E51&gt;=2.5,"B",IF(E51&gt;=1.5,"C","D")))))</f>
        <v/>
      </c>
    </row>
    <row r="54" ht="32" customHeight="1">
      <c r="A54" s="43" t="inlineStr">
        <is>
          <t>▶ 통합관리시트 입력 행 (아래 한 줄 A~G 7개 셀 통째 복사 → 통합시트 07a/07b 해당 사번 행 G~M에 [값 붙여넣기])</t>
        </is>
      </c>
    </row>
    <row r="55" ht="28" customHeight="1">
      <c r="A55" s="44" t="inlineStr">
        <is>
          <t>역할(1차)</t>
        </is>
      </c>
      <c r="B55" s="44" t="inlineStr">
        <is>
          <t>역할(2차)</t>
        </is>
      </c>
      <c r="C55" s="44" t="inlineStr">
        <is>
          <t>공통(1차)</t>
        </is>
      </c>
      <c r="D55" s="44" t="inlineStr">
        <is>
          <t>공통(2차)</t>
        </is>
      </c>
      <c r="E55" s="44" t="inlineStr">
        <is>
          <t>직무(1차)</t>
        </is>
      </c>
      <c r="F55" s="44" t="inlineStr">
        <is>
          <t>직무(2차)</t>
        </is>
      </c>
      <c r="G55" s="44" t="inlineStr">
        <is>
          <t>소견</t>
        </is>
      </c>
    </row>
    <row r="56" ht="36" customHeight="1">
      <c r="A56" s="45">
        <f>G21</f>
        <v/>
      </c>
      <c r="B56" s="45">
        <f>G22</f>
        <v/>
      </c>
      <c r="C56" s="45">
        <f>H37</f>
        <v/>
      </c>
      <c r="D56" s="45">
        <f>H38</f>
        <v/>
      </c>
      <c r="E56" s="45">
        <f>F50</f>
        <v/>
      </c>
      <c r="F56" s="45">
        <f>F51</f>
        <v/>
      </c>
      <c r="G56" s="46" t="inlineStr"/>
    </row>
    <row r="57" ht="26" customHeight="1">
      <c r="A57" s="47" t="inlineStr">
        <is>
          <t>사용법: 위 한 줄 A~G 선택 → Ctrl+C → 통합시트 07a/07b 해당 사번 행 G~M에 [선택하여 붙여넣기 → 값]</t>
        </is>
      </c>
    </row>
    <row r="59" ht="24" customHeight="1">
      <c r="A59" s="3" t="inlineStr">
        <is>
          <t>▶ 종합 소견</t>
        </is>
      </c>
    </row>
    <row r="60" ht="40" customHeight="1">
      <c r="A60" s="21" t="inlineStr">
        <is>
          <t>강점</t>
        </is>
      </c>
      <c r="B60" s="48" t="inlineStr"/>
    </row>
    <row r="61" ht="40" customHeight="1">
      <c r="A61" s="21" t="inlineStr">
        <is>
          <t>개선</t>
        </is>
      </c>
      <c r="B61" s="48" t="inlineStr"/>
    </row>
    <row r="62" ht="40" customHeight="1">
      <c r="A62" s="21" t="inlineStr">
        <is>
          <t>육성 방향</t>
        </is>
      </c>
      <c r="B62" s="48" t="inlineStr"/>
    </row>
  </sheetData>
  <mergeCells count="23">
    <mergeCell ref="A7:I7"/>
    <mergeCell ref="B62:I62"/>
    <mergeCell ref="F9:I9"/>
    <mergeCell ref="A22:D22"/>
    <mergeCell ref="A2:I2"/>
    <mergeCell ref="B14:I14"/>
    <mergeCell ref="A37:E37"/>
    <mergeCell ref="B60:I60"/>
    <mergeCell ref="A51:D51"/>
    <mergeCell ref="B61:I61"/>
    <mergeCell ref="A4:I4"/>
    <mergeCell ref="F10:I10"/>
    <mergeCell ref="A13:I13"/>
    <mergeCell ref="A40:I40"/>
    <mergeCell ref="A54:G54"/>
    <mergeCell ref="A24:I24"/>
    <mergeCell ref="A59:I59"/>
    <mergeCell ref="A38:E38"/>
    <mergeCell ref="F8:I8"/>
    <mergeCell ref="A50:D50"/>
    <mergeCell ref="A21:D21"/>
    <mergeCell ref="A1:I1"/>
    <mergeCell ref="A57:G57"/>
  </mergeCells>
  <conditionalFormatting sqref="A56:G56">
    <cfRule type="cellIs" priority="1" operator="equal" dxfId="0">
      <formula>"S"</formula>
    </cfRule>
    <cfRule type="cellIs" priority="2" operator="equal" dxfId="1">
      <formula>"A"</formula>
    </cfRule>
    <cfRule type="cellIs" priority="3" operator="equal" dxfId="2">
      <formula>"C"</formula>
    </cfRule>
    <cfRule type="cellIs" priority="4" operator="equal" dxfId="3">
      <formula>"D"</formula>
    </cfRule>
  </conditionalFormatting>
  <dataValidations count="5">
    <dataValidation sqref="B11" showDropDown="0" showInputMessage="0" showErrorMessage="0" allowBlank="0" type="list">
      <formula1>"상반기,하반기"</formula1>
    </dataValidation>
    <dataValidation sqref="E16:F20" showDropDown="0" showInputMessage="0" showErrorMessage="0" allowBlank="1" type="list">
      <formula1>"S,A,B,C,D"</formula1>
    </dataValidation>
    <dataValidation sqref="F26:G36" showDropDown="0" showInputMessage="0" showErrorMessage="0" allowBlank="1" type="list">
      <formula1>"S,A,B,C,D"</formula1>
    </dataValidation>
    <dataValidation sqref="D42:D48" showDropDown="0" showInputMessage="0" showErrorMessage="0" allowBlank="1" type="list">
      <formula1>"O,X"</formula1>
    </dataValidation>
    <dataValidation sqref="E42:F48" showDropDown="0" showInputMessage="0" showErrorMessage="0" allowBlank="1" type="list">
      <formula1>"S,A,B,C,D"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70AD47"/>
    <outlinePr summaryBelow="1" summaryRight="1"/>
    <pageSetUpPr/>
  </sheetPr>
  <dimension ref="A1:I62"/>
  <sheetViews>
    <sheetView workbookViewId="0">
      <selection activeCell="A1" sqref="A1"/>
    </sheetView>
  </sheetViews>
  <sheetFormatPr baseColWidth="8" defaultRowHeight="15"/>
  <cols>
    <col width="6" customWidth="1" min="1" max="1"/>
    <col width="11" customWidth="1" min="2" max="2"/>
    <col width="22" customWidth="1" min="3" max="3"/>
    <col width="30" customWidth="1" min="4" max="4"/>
    <col width="32" customWidth="1" min="5" max="5"/>
    <col width="11" customWidth="1" min="6" max="6"/>
    <col width="11" customWidth="1" min="7" max="7"/>
    <col width="12" customWidth="1" min="8" max="8"/>
    <col width="12" customWidth="1" min="9" max="9"/>
  </cols>
  <sheetData>
    <row r="1" ht="30" customHeight="1">
      <c r="A1" s="1" t="inlineStr">
        <is>
          <t>성과평가지 양식 - 프로젝트영업 / G3 (핵심 실무)</t>
        </is>
      </c>
    </row>
    <row r="2" ht="22" customHeight="1">
      <c r="A2" s="2" t="inlineStr">
        <is>
          <t>1·2차 평가자가 등급(S/A/B/C/D)만 입력. 가중치는 통합관리시트에서 자동 처리.</t>
        </is>
      </c>
    </row>
    <row r="4" ht="24" customHeight="1">
      <c r="A4" s="3" t="inlineStr">
        <is>
          <t>▶ 평가 대상자 정보 (주황셀에 입력)</t>
        </is>
      </c>
    </row>
    <row r="5" ht="22" customHeight="1">
      <c r="A5" s="18" t="inlineStr">
        <is>
          <t>사번</t>
        </is>
      </c>
      <c r="B5" s="19" t="inlineStr"/>
      <c r="C5" s="18" t="inlineStr">
        <is>
          <t>성명</t>
        </is>
      </c>
      <c r="D5" s="19" t="inlineStr"/>
      <c r="E5" s="18" t="inlineStr">
        <is>
          <t>직군</t>
        </is>
      </c>
      <c r="F5" s="19" t="inlineStr"/>
      <c r="G5" s="18" t="inlineStr">
        <is>
          <t>부서</t>
        </is>
      </c>
      <c r="H5" s="19" t="inlineStr"/>
    </row>
    <row r="6" ht="22" customHeight="1">
      <c r="A6" s="18" t="inlineStr">
        <is>
          <t>기존직급</t>
        </is>
      </c>
      <c r="B6" s="19" t="inlineStr"/>
      <c r="C6" s="18" t="inlineStr">
        <is>
          <t>직무</t>
        </is>
      </c>
      <c r="D6" s="20" t="inlineStr">
        <is>
          <t>프로젝트영업</t>
        </is>
      </c>
      <c r="E6" s="18" t="inlineStr">
        <is>
          <t>역할등급</t>
        </is>
      </c>
      <c r="F6" s="20" t="inlineStr">
        <is>
          <t>G3</t>
        </is>
      </c>
      <c r="G6" s="18" t="inlineStr">
        <is>
          <t>역할명</t>
        </is>
      </c>
      <c r="H6" s="20" t="inlineStr">
        <is>
          <t>핵심 실무</t>
        </is>
      </c>
    </row>
    <row r="7" ht="24" customHeight="1">
      <c r="A7" s="3" t="inlineStr">
        <is>
          <t>▶ 평가자 정보 (주황셀에 입력)</t>
        </is>
      </c>
    </row>
    <row r="8" ht="24" customHeight="1">
      <c r="A8" s="15" t="inlineStr">
        <is>
          <t>구분</t>
        </is>
      </c>
      <c r="B8" s="15" t="inlineStr">
        <is>
          <t>사번</t>
        </is>
      </c>
      <c r="C8" s="15" t="inlineStr">
        <is>
          <t>성명</t>
        </is>
      </c>
      <c r="D8" s="15" t="inlineStr">
        <is>
          <t>직책</t>
        </is>
      </c>
      <c r="E8" s="15" t="inlineStr">
        <is>
          <t>부서</t>
        </is>
      </c>
      <c r="F8" s="15" t="inlineStr">
        <is>
          <t>이메일</t>
        </is>
      </c>
    </row>
    <row r="9" ht="24" customHeight="1">
      <c r="A9" s="21" t="inlineStr">
        <is>
          <t>1차 평가자 (직속상사)</t>
        </is>
      </c>
      <c r="B9" s="22" t="inlineStr"/>
      <c r="C9" s="22" t="inlineStr"/>
      <c r="D9" s="22" t="inlineStr"/>
      <c r="E9" s="22" t="inlineStr"/>
      <c r="F9" s="23" t="inlineStr"/>
    </row>
    <row r="10" ht="24" customHeight="1">
      <c r="A10" s="21" t="inlineStr">
        <is>
          <t>2차 평가자 (조정자)</t>
        </is>
      </c>
      <c r="B10" s="22" t="inlineStr"/>
      <c r="C10" s="22" t="inlineStr"/>
      <c r="D10" s="22" t="inlineStr"/>
      <c r="E10" s="22" t="inlineStr"/>
      <c r="F10" s="23" t="inlineStr"/>
    </row>
    <row r="11" ht="24" customHeight="1">
      <c r="A11" s="21" t="inlineStr">
        <is>
          <t>평가 차수</t>
        </is>
      </c>
      <c r="B11" s="24" t="inlineStr">
        <is>
          <t>상반기</t>
        </is>
      </c>
      <c r="C11" s="21" t="inlineStr">
        <is>
          <t>평가 완료일</t>
        </is>
      </c>
      <c r="D11" s="22" t="inlineStr"/>
    </row>
    <row r="13" ht="26" customHeight="1">
      <c r="A13" s="25" t="inlineStr">
        <is>
          <t>▶ ① 역할평가 — 5개 BARS 항목</t>
        </is>
      </c>
    </row>
    <row r="14" ht="38" customHeight="1">
      <c r="A14" s="26" t="inlineStr">
        <is>
          <t>역할 정의</t>
        </is>
      </c>
      <c r="B14" s="27" t="inlineStr">
        <is>
          <t>전문 지식과 기술로 핵심 과업을 기획·수행하며 산출물 품질·일정 준수 책임.</t>
        </is>
      </c>
    </row>
    <row r="15" ht="28" customHeight="1">
      <c r="A15" s="28" t="inlineStr">
        <is>
          <t>No.</t>
        </is>
      </c>
      <c r="B15" s="28" t="inlineStr">
        <is>
          <t>평가항목</t>
        </is>
      </c>
      <c r="C15" s="28" t="inlineStr">
        <is>
          <t>평가 기준</t>
        </is>
      </c>
      <c r="D15" s="28" t="inlineStr">
        <is>
          <t>S/A/B/C/D 등급 기준</t>
        </is>
      </c>
      <c r="E15" s="28" t="inlineStr">
        <is>
          <t>1차</t>
        </is>
      </c>
      <c r="F15" s="28" t="inlineStr">
        <is>
          <t>2차</t>
        </is>
      </c>
      <c r="G15" s="28" t="inlineStr">
        <is>
          <t>평균(참고)</t>
        </is>
      </c>
    </row>
    <row r="16" ht="90" customHeight="1">
      <c r="A16" s="26" t="inlineStr">
        <is>
          <t>R-1</t>
        </is>
      </c>
      <c r="B16" s="17" t="inlineStr">
        <is>
          <t>책임범위 이행도</t>
        </is>
      </c>
      <c r="C16" s="29" t="inlineStr">
        <is>
          <t>역할등급에 부합하는 책임 범위 내 업무 수행</t>
        </is>
      </c>
      <c r="D16" s="30" t="inlineStr">
        <is>
          <t>S  기대 현저히 초과
A  기대 상회
B  기대 부합
C  부분 미흡
D  전반 미흡</t>
        </is>
      </c>
      <c r="E16" s="31" t="inlineStr"/>
      <c r="F16" s="31" t="inlineStr"/>
      <c r="G16" s="32">
        <f>IFERROR(IF(AND(E16&lt;&gt;"",F16&lt;&gt;""),(IF(E16="S",5,IF(E16="A",4,IF(E16="B",3,IF(E16="C",2,IF(E16="D",1,0)))))+IF(F16="S",5,IF(F16="A",4,IF(F16="B",3,IF(F16="C",2,IF(F16="D",1,0))))))/2,IF(E16&lt;&gt;"",IF(E16="S",5,IF(E16="A",4,IF(E16="B",3,IF(E16="C",2,IF(E16="D",1,0))))),IF(F16&lt;&gt;"",IF(F16="S",5,IF(F16="A",4,IF(F16="B",3,IF(F16="C",2,IF(F16="D",1,0))))),""))),"")</f>
        <v/>
      </c>
    </row>
    <row r="17" ht="90" customHeight="1">
      <c r="A17" s="26" t="inlineStr">
        <is>
          <t>R-2</t>
        </is>
      </c>
      <c r="B17" s="17" t="inlineStr">
        <is>
          <t>의사결정 적절성</t>
        </is>
      </c>
      <c r="C17" s="29" t="inlineStr">
        <is>
          <t>권한 수준 내 시의적절·합리적 의사결정</t>
        </is>
      </c>
      <c r="D17" s="30" t="inlineStr">
        <is>
          <t>S  기대 현저히 초과
A  기대 상회
B  기대 부합
C  부분 미흡
D  전반 미흡</t>
        </is>
      </c>
      <c r="E17" s="31" t="inlineStr"/>
      <c r="F17" s="31" t="inlineStr"/>
      <c r="G17" s="32">
        <f>IFERROR(IF(AND(E17&lt;&gt;"",F17&lt;&gt;""),(IF(E17="S",5,IF(E17="A",4,IF(E17="B",3,IF(E17="C",2,IF(E17="D",1,0)))))+IF(F17="S",5,IF(F17="A",4,IF(F17="B",3,IF(F17="C",2,IF(F17="D",1,0))))))/2,IF(E17&lt;&gt;"",IF(E17="S",5,IF(E17="A",4,IF(E17="B",3,IF(E17="C",2,IF(E17="D",1,0))))),IF(F17&lt;&gt;"",IF(F17="S",5,IF(F17="A",4,IF(F17="B",3,IF(F17="C",2,IF(F17="D",1,0))))),""))),"")</f>
        <v/>
      </c>
    </row>
    <row r="18" ht="90" customHeight="1">
      <c r="A18" s="26" t="inlineStr">
        <is>
          <t>R-3</t>
        </is>
      </c>
      <c r="B18" s="17" t="inlineStr">
        <is>
          <t>성과 기여도</t>
        </is>
      </c>
      <c r="C18" s="29" t="inlineStr">
        <is>
          <t>조직·프로젝트 목표 달성에 정량적 기여</t>
        </is>
      </c>
      <c r="D18" s="30" t="inlineStr">
        <is>
          <t>S  기대 현저히 초과
A  기대 상회
B  기대 부합
C  부분 미흡
D  전반 미흡</t>
        </is>
      </c>
      <c r="E18" s="31" t="inlineStr"/>
      <c r="F18" s="31" t="inlineStr"/>
      <c r="G18" s="32">
        <f>IFERROR(IF(AND(E18&lt;&gt;"",F18&lt;&gt;""),(IF(E18="S",5,IF(E18="A",4,IF(E18="B",3,IF(E18="C",2,IF(E18="D",1,0)))))+IF(F18="S",5,IF(F18="A",4,IF(F18="B",3,IF(F18="C",2,IF(F18="D",1,0))))))/2,IF(E18&lt;&gt;"",IF(E18="S",5,IF(E18="A",4,IF(E18="B",3,IF(E18="C",2,IF(E18="D",1,0))))),IF(F18&lt;&gt;"",IF(F18="S",5,IF(F18="A",4,IF(F18="B",3,IF(F18="C",2,IF(F18="D",1,0))))),""))),"")</f>
        <v/>
      </c>
    </row>
    <row r="19" ht="90" customHeight="1">
      <c r="A19" s="26" t="inlineStr">
        <is>
          <t>R-4</t>
        </is>
      </c>
      <c r="B19" s="17" t="inlineStr">
        <is>
          <t>조직 후배 코칭</t>
        </is>
      </c>
      <c r="C19" s="29" t="inlineStr">
        <is>
          <t>상·하위 역할과 효과적 협업 및 후배 코칭</t>
        </is>
      </c>
      <c r="D19" s="30" t="inlineStr">
        <is>
          <t>S  기대 현저히 초과
A  기대 상회
B  기대 부합
C  부분 미흡
D  전반 미흡</t>
        </is>
      </c>
      <c r="E19" s="31" t="inlineStr"/>
      <c r="F19" s="31" t="inlineStr"/>
      <c r="G19" s="32">
        <f>IFERROR(IF(AND(E19&lt;&gt;"",F19&lt;&gt;""),(IF(E19="S",5,IF(E19="A",4,IF(E19="B",3,IF(E19="C",2,IF(E19="D",1,0)))))+IF(F19="S",5,IF(F19="A",4,IF(F19="B",3,IF(F19="C",2,IF(F19="D",1,0))))))/2,IF(E19&lt;&gt;"",IF(E19="S",5,IF(E19="A",4,IF(E19="B",3,IF(E19="C",2,IF(E19="D",1,0))))),IF(F19&lt;&gt;"",IF(F19="S",5,IF(F19="A",4,IF(F19="B",3,IF(F19="C",2,IF(F19="D",1,0))))),""))),"")</f>
        <v/>
      </c>
    </row>
    <row r="20" ht="90" customHeight="1">
      <c r="A20" s="26" t="inlineStr">
        <is>
          <t>R-5</t>
        </is>
      </c>
      <c r="B20" s="17" t="inlineStr">
        <is>
          <t>산출물 완성도</t>
        </is>
      </c>
      <c r="C20" s="29" t="inlineStr">
        <is>
          <t>산출물 품질과 기한 준수</t>
        </is>
      </c>
      <c r="D20" s="30" t="inlineStr">
        <is>
          <t>S  기대 현저히 초과
A  기대 상회
B  기대 부합
C  부분 미흡
D  전반 미흡</t>
        </is>
      </c>
      <c r="E20" s="31" t="inlineStr"/>
      <c r="F20" s="31" t="inlineStr"/>
      <c r="G20" s="32">
        <f>IFERROR(IF(AND(E20&lt;&gt;"",F20&lt;&gt;""),(IF(E20="S",5,IF(E20="A",4,IF(E20="B",3,IF(E20="C",2,IF(E20="D",1,0)))))+IF(F20="S",5,IF(F20="A",4,IF(F20="B",3,IF(F20="C",2,IF(F20="D",1,0))))))/2,IF(E20&lt;&gt;"",IF(E20="S",5,IF(E20="A",4,IF(E20="B",3,IF(E20="C",2,IF(E20="D",1,0))))),IF(F20&lt;&gt;"",IF(F20="S",5,IF(F20="A",4,IF(F20="B",3,IF(F20="C",2,IF(F20="D",1,0))))),""))),"")</f>
        <v/>
      </c>
    </row>
    <row r="21" ht="24" customHeight="1">
      <c r="A21" s="33" t="inlineStr">
        <is>
          <t>1차 평가자 역할 종합 (5개 평균)</t>
        </is>
      </c>
      <c r="E21" s="34">
        <f>IFERROR((IF(E16="S",5,IF(E16="A",4,IF(E16="B",3,IF(E16="C",2,IF(E16="D",1,0)))))+IF(E17="S",5,IF(E17="A",4,IF(E17="B",3,IF(E17="C",2,IF(E17="D",1,0)))))+IF(E18="S",5,IF(E18="A",4,IF(E18="B",3,IF(E18="C",2,IF(E18="D",1,0)))))+IF(E19="S",5,IF(E19="A",4,IF(E19="B",3,IF(E19="C",2,IF(E19="D",1,0)))))+IF(E20="S",5,IF(E20="A",4,IF(E20="B",3,IF(E20="C",2,IF(E20="D",1,0))))))/5,"")</f>
        <v/>
      </c>
      <c r="F21" s="35" t="inlineStr">
        <is>
          <t>→ 등급</t>
        </is>
      </c>
      <c r="G21" s="36">
        <f>IF(E21="","",IF(E21&gt;=4.5,"S",IF(E21&gt;=3.5,"A",IF(E21&gt;=2.5,"B",IF(E21&gt;=1.5,"C","D")))))</f>
        <v/>
      </c>
    </row>
    <row r="22" ht="24" customHeight="1">
      <c r="A22" s="33" t="inlineStr">
        <is>
          <t>2차 평가자 역할 종합 (5개 평균)</t>
        </is>
      </c>
      <c r="E22" s="34">
        <f>IFERROR((IF(F16="S",5,IF(F16="A",4,IF(F16="B",3,IF(F16="C",2,IF(F16="D",1,0)))))+IF(F17="S",5,IF(F17="A",4,IF(F17="B",3,IF(F17="C",2,IF(F17="D",1,0)))))+IF(F18="S",5,IF(F18="A",4,IF(F18="B",3,IF(F18="C",2,IF(F18="D",1,0)))))+IF(F19="S",5,IF(F19="A",4,IF(F19="B",3,IF(F19="C",2,IF(F19="D",1,0)))))+IF(F20="S",5,IF(F20="A",4,IF(F20="B",3,IF(F20="C",2,IF(F20="D",1,0))))))/5,"")</f>
        <v/>
      </c>
      <c r="F22" s="35" t="inlineStr">
        <is>
          <t>→ 등급</t>
        </is>
      </c>
      <c r="G22" s="36">
        <f>IF(E22="","",IF(E22&gt;=4.5,"S",IF(E22&gt;=3.5,"A",IF(E22&gt;=2.5,"B",IF(E22&gt;=1.5,"C","D")))))</f>
        <v/>
      </c>
    </row>
    <row r="24" ht="26" customHeight="1">
      <c r="A24" s="37" t="inlineStr">
        <is>
          <t>▶ ② 공통역량평가 — 11개 (★ S/A/B/C/D 평가기준 포함)</t>
        </is>
      </c>
    </row>
    <row r="25" ht="28" customHeight="1">
      <c r="A25" s="28" t="inlineStr">
        <is>
          <t>No.</t>
        </is>
      </c>
      <c r="B25" s="28" t="inlineStr">
        <is>
          <t>역량군</t>
        </is>
      </c>
      <c r="C25" s="28" t="inlineStr">
        <is>
          <t>핵심 역량</t>
        </is>
      </c>
      <c r="D25" s="28" t="inlineStr">
        <is>
          <t>평가 기준</t>
        </is>
      </c>
      <c r="E25" s="28" t="inlineStr">
        <is>
          <t>S/A/B/C/D 등급 기준</t>
        </is>
      </c>
      <c r="F25" s="28" t="inlineStr">
        <is>
          <t>1차</t>
        </is>
      </c>
      <c r="G25" s="28" t="inlineStr">
        <is>
          <t>2차</t>
        </is>
      </c>
      <c r="H25" s="28" t="inlineStr">
        <is>
          <t>평균(참고)</t>
        </is>
      </c>
    </row>
    <row r="26" ht="100" customHeight="1">
      <c r="A26" s="2" t="inlineStr">
        <is>
          <t>C-1</t>
        </is>
      </c>
      <c r="B26" s="2" t="inlineStr">
        <is>
          <t>업무</t>
        </is>
      </c>
      <c r="C26" s="17" t="inlineStr">
        <is>
          <t>직무 전문성</t>
        </is>
      </c>
      <c r="D26" s="29" t="inlineStr">
        <is>
          <t>직무에 필요한 전문 지식 및 기술 보유, 실무 적용</t>
        </is>
      </c>
      <c r="E26" s="30" t="inlineStr">
        <is>
          <t>S  고급 지식과 숙련도, 타 부서 교육 가능
A  최신 트렌드 반영, 실무에 적절 활용
B  일반 수준 이해 및 적용
C  일부 기술 이해, 개선 필요
D  지식 부족, 실무 반영 어려움</t>
        </is>
      </c>
      <c r="F26" s="31" t="inlineStr"/>
      <c r="G26" s="31" t="inlineStr"/>
      <c r="H26" s="32">
        <f>IFERROR(IF(AND(F26&lt;&gt;"",G26&lt;&gt;""),(IF(F26="S",5,IF(F26="A",4,IF(F26="B",3,IF(F26="C",2,IF(F26="D",1,0)))))+IF(G26="S",5,IF(G26="A",4,IF(G26="B",3,IF(G26="C",2,IF(G26="D",1,0))))))/2,IF(F26&lt;&gt;"",IF(F26="S",5,IF(F26="A",4,IF(F26="B",3,IF(F26="C",2,IF(F26="D",1,0))))),IF(G26&lt;&gt;"",IF(G26="S",5,IF(G26="A",4,IF(G26="B",3,IF(G26="C",2,IF(G26="D",1,0))))),""))),"")</f>
        <v/>
      </c>
    </row>
    <row r="27" ht="100" customHeight="1">
      <c r="A27" s="2" t="inlineStr">
        <is>
          <t>C-2</t>
        </is>
      </c>
      <c r="B27" s="2" t="inlineStr">
        <is>
          <t>업무</t>
        </is>
      </c>
      <c r="C27" s="17" t="inlineStr">
        <is>
          <t>분석력</t>
        </is>
      </c>
      <c r="D27" s="29" t="inlineStr">
        <is>
          <t>데이터·수치 기반 사고로 업무 효율 향상</t>
        </is>
      </c>
      <c r="E27" s="30" t="inlineStr">
        <is>
          <t>S  데이터 기반 전략 도출 가능
A  분석 후 결과 활용 능숙
B  기본적 분석 및 간단한 적용 가능
C  기본 해석은 가능하나 활용 미흡
D  자료 해석 불가, 의사결정 어려움</t>
        </is>
      </c>
      <c r="F27" s="31" t="inlineStr"/>
      <c r="G27" s="31" t="inlineStr"/>
      <c r="H27" s="32">
        <f>IFERROR(IF(AND(F27&lt;&gt;"",G27&lt;&gt;""),(IF(F27="S",5,IF(F27="A",4,IF(F27="B",3,IF(F27="C",2,IF(F27="D",1,0)))))+IF(G27="S",5,IF(G27="A",4,IF(G27="B",3,IF(G27="C",2,IF(G27="D",1,0))))))/2,IF(F27&lt;&gt;"",IF(F27="S",5,IF(F27="A",4,IF(F27="B",3,IF(F27="C",2,IF(F27="D",1,0))))),IF(G27&lt;&gt;"",IF(G27="S",5,IF(G27="A",4,IF(G27="B",3,IF(G27="C",2,IF(G27="D",1,0))))),""))),"")</f>
        <v/>
      </c>
    </row>
    <row r="28" ht="100" customHeight="1">
      <c r="A28" s="2" t="inlineStr">
        <is>
          <t>C-3</t>
        </is>
      </c>
      <c r="B28" s="2" t="inlineStr">
        <is>
          <t>업무</t>
        </is>
      </c>
      <c r="C28" s="17" t="inlineStr">
        <is>
          <t>기획/실행력</t>
        </is>
      </c>
      <c r="D28" s="29" t="inlineStr">
        <is>
          <t>목표 설정·계획 수립·체계적 실행 능력</t>
        </is>
      </c>
      <c r="E28" s="30" t="inlineStr">
        <is>
          <t>S  스스로 목표 수립 및 조직 리딩 가능
A  계획 수립 능력 우수 및 실행 일관성
B  일반적 목표 수립 및 실현 가능
C  실행 계획 일부 있으나 체계 부족
D  목표 설정 부정확, 실행력 부족</t>
        </is>
      </c>
      <c r="F28" s="31" t="inlineStr"/>
      <c r="G28" s="31" t="inlineStr"/>
      <c r="H28" s="32">
        <f>IFERROR(IF(AND(F28&lt;&gt;"",G28&lt;&gt;""),(IF(F28="S",5,IF(F28="A",4,IF(F28="B",3,IF(F28="C",2,IF(F28="D",1,0)))))+IF(G28="S",5,IF(G28="A",4,IF(G28="B",3,IF(G28="C",2,IF(G28="D",1,0))))))/2,IF(F28&lt;&gt;"",IF(F28="S",5,IF(F28="A",4,IF(F28="B",3,IF(F28="C",2,IF(F28="D",1,0))))),IF(G28&lt;&gt;"",IF(G28="S",5,IF(G28="A",4,IF(G28="B",3,IF(G28="C",2,IF(G28="D",1,0))))),""))),"")</f>
        <v/>
      </c>
    </row>
    <row r="29" ht="100" customHeight="1">
      <c r="A29" s="2" t="inlineStr">
        <is>
          <t>C-4</t>
        </is>
      </c>
      <c r="B29" s="2" t="inlineStr">
        <is>
          <t>조직</t>
        </is>
      </c>
      <c r="C29" s="17" t="inlineStr">
        <is>
          <t>자원·시간 관리</t>
        </is>
      </c>
      <c r="D29" s="29" t="inlineStr">
        <is>
          <t>업무 우선순위 설정 및 시간 내 효과적 완수</t>
        </is>
      </c>
      <c r="E29" s="30" t="inlineStr">
        <is>
          <t>S  다중 과제 효율 배분, 시간관리 탁월
A  업무 효율성 높고 우선순위 명확
B  일반 수준 일정 조율 가능
C  마감 어려움, 우선순위 혼란
D  업무 지연 잦고 계획 없음</t>
        </is>
      </c>
      <c r="F29" s="31" t="inlineStr"/>
      <c r="G29" s="31" t="inlineStr"/>
      <c r="H29" s="32">
        <f>IFERROR(IF(AND(F29&lt;&gt;"",G29&lt;&gt;""),(IF(F29="S",5,IF(F29="A",4,IF(F29="B",3,IF(F29="C",2,IF(F29="D",1,0)))))+IF(G29="S",5,IF(G29="A",4,IF(G29="B",3,IF(G29="C",2,IF(G29="D",1,0))))))/2,IF(F29&lt;&gt;"",IF(F29="S",5,IF(F29="A",4,IF(F29="B",3,IF(F29="C",2,IF(F29="D",1,0))))),IF(G29&lt;&gt;"",IF(G29="S",5,IF(G29="A",4,IF(G29="B",3,IF(G29="C",2,IF(G29="D",1,0))))),""))),"")</f>
        <v/>
      </c>
    </row>
    <row r="30" ht="100" customHeight="1">
      <c r="A30" s="2" t="inlineStr">
        <is>
          <t>C-5</t>
        </is>
      </c>
      <c r="B30" s="2" t="inlineStr">
        <is>
          <t>조직</t>
        </is>
      </c>
      <c r="C30" s="17" t="inlineStr">
        <is>
          <t>협업 능력</t>
        </is>
      </c>
      <c r="D30" s="29" t="inlineStr">
        <is>
          <t>팀·타 부서와의 협업 태도, 정보 공유</t>
        </is>
      </c>
      <c r="E30" s="30" t="inlineStr">
        <is>
          <t>S  타 부서와의 시너지 창출
A  정보 공유, 원활한 협업
B  공동목표 수용 및 일부 협력
C  소극적 협조, 갈등 유발
D  협력 거부, 독단적 태도</t>
        </is>
      </c>
      <c r="F30" s="31" t="inlineStr"/>
      <c r="G30" s="31" t="inlineStr"/>
      <c r="H30" s="32">
        <f>IFERROR(IF(AND(F30&lt;&gt;"",G30&lt;&gt;""),(IF(F30="S",5,IF(F30="A",4,IF(F30="B",3,IF(F30="C",2,IF(F30="D",1,0)))))+IF(G30="S",5,IF(G30="A",4,IF(G30="B",3,IF(G30="C",2,IF(G30="D",1,0))))))/2,IF(F30&lt;&gt;"",IF(F30="S",5,IF(F30="A",4,IF(F30="B",3,IF(F30="C",2,IF(F30="D",1,0))))),IF(G30&lt;&gt;"",IF(G30="S",5,IF(G30="A",4,IF(G30="B",3,IF(G30="C",2,IF(G30="D",1,0))))),""))),"")</f>
        <v/>
      </c>
    </row>
    <row r="31" ht="100" customHeight="1">
      <c r="A31" s="2" t="inlineStr">
        <is>
          <t>C-6</t>
        </is>
      </c>
      <c r="B31" s="2" t="inlineStr">
        <is>
          <t>조직</t>
        </is>
      </c>
      <c r="C31" s="17" t="inlineStr">
        <is>
          <t>소통 능력</t>
        </is>
      </c>
      <c r="D31" s="29" t="inlineStr">
        <is>
          <t>명확한 의사 전달·경청·효과적 커뮤니케이션</t>
        </is>
      </c>
      <c r="E31" s="30" t="inlineStr">
        <is>
          <t>S  갈등 중재 및 공감능력 우수
A  정확한 의사 전달 및 경청
B  피드백 수용 및 전달 가능
C  소통 시 불편 유발
D  일방적 주장, 피드백 거부</t>
        </is>
      </c>
      <c r="F31" s="31" t="inlineStr"/>
      <c r="G31" s="31" t="inlineStr"/>
      <c r="H31" s="32">
        <f>IFERROR(IF(AND(F31&lt;&gt;"",G31&lt;&gt;""),(IF(F31="S",5,IF(F31="A",4,IF(F31="B",3,IF(F31="C",2,IF(F31="D",1,0)))))+IF(G31="S",5,IF(G31="A",4,IF(G31="B",3,IF(G31="C",2,IF(G31="D",1,0))))))/2,IF(F31&lt;&gt;"",IF(F31="S",5,IF(F31="A",4,IF(F31="B",3,IF(F31="C",2,IF(F31="D",1,0))))),IF(G31&lt;&gt;"",IF(G31="S",5,IF(G31="A",4,IF(G31="B",3,IF(G31="C",2,IF(G31="D",1,0))))),""))),"")</f>
        <v/>
      </c>
    </row>
    <row r="32" ht="100" customHeight="1">
      <c r="A32" s="2" t="inlineStr">
        <is>
          <t>C-7</t>
        </is>
      </c>
      <c r="B32" s="2" t="inlineStr">
        <is>
          <t>인성</t>
        </is>
      </c>
      <c r="C32" s="17" t="inlineStr">
        <is>
          <t>윤리/책임감</t>
        </is>
      </c>
      <c r="D32" s="29" t="inlineStr">
        <is>
          <t>공정·투명한 절차, 책임감 있는 업무</t>
        </is>
      </c>
      <c r="E32" s="30" t="inlineStr">
        <is>
          <t>S  모범적 자세, 조직문화 선도
A  조직 규범 내 성실 수행
B  기본 책임 수행
C  책임 회피 경향
D  무책임, 규정 무시</t>
        </is>
      </c>
      <c r="F32" s="31" t="inlineStr"/>
      <c r="G32" s="31" t="inlineStr"/>
      <c r="H32" s="32">
        <f>IFERROR(IF(AND(F32&lt;&gt;"",G32&lt;&gt;""),(IF(F32="S",5,IF(F32="A",4,IF(F32="B",3,IF(F32="C",2,IF(F32="D",1,0)))))+IF(G32="S",5,IF(G32="A",4,IF(G32="B",3,IF(G32="C",2,IF(G32="D",1,0))))))/2,IF(F32&lt;&gt;"",IF(F32="S",5,IF(F32="A",4,IF(F32="B",3,IF(F32="C",2,IF(F32="D",1,0))))),IF(G32&lt;&gt;"",IF(G32="S",5,IF(G32="A",4,IF(G32="B",3,IF(G32="C",2,IF(G32="D",1,0))))),""))),"")</f>
        <v/>
      </c>
    </row>
    <row r="33" ht="100" customHeight="1">
      <c r="A33" s="2" t="inlineStr">
        <is>
          <t>C-8</t>
        </is>
      </c>
      <c r="B33" s="2" t="inlineStr">
        <is>
          <t>인성</t>
        </is>
      </c>
      <c r="C33" s="17" t="inlineStr">
        <is>
          <t>업무 태도</t>
        </is>
      </c>
      <c r="D33" s="29" t="inlineStr">
        <is>
          <t>성실·주도적 태도, 변화 유연성</t>
        </is>
      </c>
      <c r="E33" s="30" t="inlineStr">
        <is>
          <t>S  문제 해결 중심의 선도적 자세
A  책임감, 적극적 태도
B  일정 주도성 보임
C  소극적, 피동적 태도
D  수동적, 지시 없이는 행동 안 함</t>
        </is>
      </c>
      <c r="F33" s="31" t="inlineStr"/>
      <c r="G33" s="31" t="inlineStr"/>
      <c r="H33" s="32">
        <f>IFERROR(IF(AND(F33&lt;&gt;"",G33&lt;&gt;""),(IF(F33="S",5,IF(F33="A",4,IF(F33="B",3,IF(F33="C",2,IF(F33="D",1,0)))))+IF(G33="S",5,IF(G33="A",4,IF(G33="B",3,IF(G33="C",2,IF(G33="D",1,0))))))/2,IF(F33&lt;&gt;"",IF(F33="S",5,IF(F33="A",4,IF(F33="B",3,IF(F33="C",2,IF(F33="D",1,0))))),IF(G33&lt;&gt;"",IF(G33="S",5,IF(G33="A",4,IF(G33="B",3,IF(G33="C",2,IF(G33="D",1,0))))),""))),"")</f>
        <v/>
      </c>
    </row>
    <row r="34" ht="100" customHeight="1">
      <c r="A34" s="2" t="inlineStr">
        <is>
          <t>C-9</t>
        </is>
      </c>
      <c r="B34" s="2" t="inlineStr">
        <is>
          <t>미래</t>
        </is>
      </c>
      <c r="C34" s="17" t="inlineStr">
        <is>
          <t>혁신 역량</t>
        </is>
      </c>
      <c r="D34" s="29" t="inlineStr">
        <is>
          <t>AI·자동화 등 최신 기술의 실무 접목</t>
        </is>
      </c>
      <c r="E34" s="30" t="inlineStr">
        <is>
          <t>S  혁신적 아이디어 제시 및 실현
A  적극 활용하여 효율성 제고
B  일상적 업무에 도구 활용
C  부분적 기능 사용
D  기술 활용 거의 없음</t>
        </is>
      </c>
      <c r="F34" s="31" t="inlineStr"/>
      <c r="G34" s="31" t="inlineStr"/>
      <c r="H34" s="32">
        <f>IFERROR(IF(AND(F34&lt;&gt;"",G34&lt;&gt;""),(IF(F34="S",5,IF(F34="A",4,IF(F34="B",3,IF(F34="C",2,IF(F34="D",1,0)))))+IF(G34="S",5,IF(G34="A",4,IF(G34="B",3,IF(G34="C",2,IF(G34="D",1,0))))))/2,IF(F34&lt;&gt;"",IF(F34="S",5,IF(F34="A",4,IF(F34="B",3,IF(F34="C",2,IF(F34="D",1,0))))),IF(G34&lt;&gt;"",IF(G34="S",5,IF(G34="A",4,IF(G34="B",3,IF(G34="C",2,IF(G34="D",1,0))))),""))),"")</f>
        <v/>
      </c>
    </row>
    <row r="35" ht="100" customHeight="1">
      <c r="A35" s="2" t="inlineStr">
        <is>
          <t>C-10</t>
        </is>
      </c>
      <c r="B35" s="2" t="inlineStr">
        <is>
          <t>미래</t>
        </is>
      </c>
      <c r="C35" s="17" t="inlineStr">
        <is>
          <t>프로세스 개선</t>
        </is>
      </c>
      <c r="D35" s="29" t="inlineStr">
        <is>
          <t>업무 절차 분석 및 비효율 개선</t>
        </is>
      </c>
      <c r="E35" s="30" t="inlineStr">
        <is>
          <t>S  제안 실행까지 주도함
A  능동적 개선 제안
B  개선의 필요성 인식
C  타인이 해야 할 일로 인식
D  개선 의지 없음</t>
        </is>
      </c>
      <c r="F35" s="31" t="inlineStr"/>
      <c r="G35" s="31" t="inlineStr"/>
      <c r="H35" s="32">
        <f>IFERROR(IF(AND(F35&lt;&gt;"",G35&lt;&gt;""),(IF(F35="S",5,IF(F35="A",4,IF(F35="B",3,IF(F35="C",2,IF(F35="D",1,0)))))+IF(G35="S",5,IF(G35="A",4,IF(G35="B",3,IF(G35="C",2,IF(G35="D",1,0))))))/2,IF(F35&lt;&gt;"",IF(F35="S",5,IF(F35="A",4,IF(F35="B",3,IF(F35="C",2,IF(F35="D",1,0))))),IF(G35&lt;&gt;"",IF(G35="S",5,IF(G35="A",4,IF(G35="B",3,IF(G35="C",2,IF(G35="D",1,0))))),""))),"")</f>
        <v/>
      </c>
    </row>
    <row r="36" ht="100" customHeight="1">
      <c r="A36" s="2" t="inlineStr">
        <is>
          <t>C-11</t>
        </is>
      </c>
      <c r="B36" s="2" t="inlineStr">
        <is>
          <t>미래</t>
        </is>
      </c>
      <c r="C36" s="17" t="inlineStr">
        <is>
          <t>지속가능 기여</t>
        </is>
      </c>
      <c r="D36" s="29" t="inlineStr">
        <is>
          <t>장기적 성과 향상·조직 기여</t>
        </is>
      </c>
      <c r="E36" s="30" t="inlineStr">
        <is>
          <t>S  성과 리딩 및 지속 성과 도출
A  개인 및 팀 성과 기여
B  기본 수준의 성과
C  성과 불명확, 기여 낮음
D  성과 없음, 소극적 태도</t>
        </is>
      </c>
      <c r="F36" s="31" t="inlineStr"/>
      <c r="G36" s="31" t="inlineStr"/>
      <c r="H36" s="32">
        <f>IFERROR(IF(AND(F36&lt;&gt;"",G36&lt;&gt;""),(IF(F36="S",5,IF(F36="A",4,IF(F36="B",3,IF(F36="C",2,IF(F36="D",1,0)))))+IF(G36="S",5,IF(G36="A",4,IF(G36="B",3,IF(G36="C",2,IF(G36="D",1,0))))))/2,IF(F36&lt;&gt;"",IF(F36="S",5,IF(F36="A",4,IF(F36="B",3,IF(F36="C",2,IF(F36="D",1,0))))),IF(G36&lt;&gt;"",IF(G36="S",5,IF(G36="A",4,IF(G36="B",3,IF(G36="C",2,IF(G36="D",1,0))))),""))),"")</f>
        <v/>
      </c>
    </row>
    <row r="37" ht="24" customHeight="1">
      <c r="A37" s="38" t="inlineStr">
        <is>
          <t>1차 평가자 공통역량 종합 (11개 단순 평균)</t>
        </is>
      </c>
      <c r="F37" s="34">
        <f>IFERROR((IF(F26="S",5,IF(F26="A",4,IF(F26="B",3,IF(F26="C",2,IF(F26="D",1,0)))))+IF(F27="S",5,IF(F27="A",4,IF(F27="B",3,IF(F27="C",2,IF(F27="D",1,0)))))+IF(F28="S",5,IF(F28="A",4,IF(F28="B",3,IF(F28="C",2,IF(F28="D",1,0)))))+IF(F29="S",5,IF(F29="A",4,IF(F29="B",3,IF(F29="C",2,IF(F29="D",1,0)))))+IF(F30="S",5,IF(F30="A",4,IF(F30="B",3,IF(F30="C",2,IF(F30="D",1,0)))))+IF(F31="S",5,IF(F31="A",4,IF(F31="B",3,IF(F31="C",2,IF(F31="D",1,0)))))+IF(F32="S",5,IF(F32="A",4,IF(F32="B",3,IF(F32="C",2,IF(F32="D",1,0)))))+IF(F33="S",5,IF(F33="A",4,IF(F33="B",3,IF(F33="C",2,IF(F33="D",1,0)))))+IF(F34="S",5,IF(F34="A",4,IF(F34="B",3,IF(F34="C",2,IF(F34="D",1,0)))))+IF(F35="S",5,IF(F35="A",4,IF(F35="B",3,IF(F35="C",2,IF(F35="D",1,0)))))+IF(F36="S",5,IF(F36="A",4,IF(F36="B",3,IF(F36="C",2,IF(F36="D",1,0))))))/11,"")</f>
        <v/>
      </c>
      <c r="G37" s="35" t="inlineStr">
        <is>
          <t>→ 등급</t>
        </is>
      </c>
      <c r="H37" s="36">
        <f>IF(F37="","",IF(F37&gt;=4.5,"S",IF(F37&gt;=3.5,"A",IF(F37&gt;=2.5,"B",IF(F37&gt;=1.5,"C","D")))))</f>
        <v/>
      </c>
    </row>
    <row r="38" ht="24" customHeight="1">
      <c r="A38" s="38" t="inlineStr">
        <is>
          <t>2차 평가자 공통역량 종합 (11개 단순 평균)</t>
        </is>
      </c>
      <c r="F38" s="34">
        <f>IFERROR((IF(G26="S",5,IF(G26="A",4,IF(G26="B",3,IF(G26="C",2,IF(G26="D",1,0)))))+IF(G27="S",5,IF(G27="A",4,IF(G27="B",3,IF(G27="C",2,IF(G27="D",1,0)))))+IF(G28="S",5,IF(G28="A",4,IF(G28="B",3,IF(G28="C",2,IF(G28="D",1,0)))))+IF(G29="S",5,IF(G29="A",4,IF(G29="B",3,IF(G29="C",2,IF(G29="D",1,0)))))+IF(G30="S",5,IF(G30="A",4,IF(G30="B",3,IF(G30="C",2,IF(G30="D",1,0)))))+IF(G31="S",5,IF(G31="A",4,IF(G31="B",3,IF(G31="C",2,IF(G31="D",1,0)))))+IF(G32="S",5,IF(G32="A",4,IF(G32="B",3,IF(G32="C",2,IF(G32="D",1,0)))))+IF(G33="S",5,IF(G33="A",4,IF(G33="B",3,IF(G33="C",2,IF(G33="D",1,0)))))+IF(G34="S",5,IF(G34="A",4,IF(G34="B",3,IF(G34="C",2,IF(G34="D",1,0)))))+IF(G35="S",5,IF(G35="A",4,IF(G35="B",3,IF(G35="C",2,IF(G35="D",1,0)))))+IF(G36="S",5,IF(G36="A",4,IF(G36="B",3,IF(G36="C",2,IF(G36="D",1,0))))))/11,"")</f>
        <v/>
      </c>
      <c r="G38" s="35" t="inlineStr">
        <is>
          <t>→ 등급</t>
        </is>
      </c>
      <c r="H38" s="36">
        <f>IF(F38="","",IF(F38&gt;=4.5,"S",IF(F38&gt;=3.5,"A",IF(F38&gt;=2.5,"B",IF(F38&gt;=1.5,"C","D")))))</f>
        <v/>
      </c>
    </row>
    <row r="40" ht="26" customHeight="1">
      <c r="A40" s="39" t="inlineStr">
        <is>
          <t>▶ ③ 직무역량평가 — 메인 책무(D열 O)만 평가</t>
        </is>
      </c>
    </row>
    <row r="41" ht="28" customHeight="1">
      <c r="A41" s="28" t="inlineStr">
        <is>
          <t>No.</t>
        </is>
      </c>
      <c r="B41" s="28" t="inlineStr">
        <is>
          <t>전문영역</t>
        </is>
      </c>
      <c r="C41" s="28" t="inlineStr">
        <is>
          <t>핵심 책무</t>
        </is>
      </c>
      <c r="D41" s="28" t="inlineStr">
        <is>
          <t>메인</t>
        </is>
      </c>
      <c r="E41" s="28" t="inlineStr">
        <is>
          <t>1차</t>
        </is>
      </c>
      <c r="F41" s="28" t="inlineStr">
        <is>
          <t>2차</t>
        </is>
      </c>
      <c r="G41" s="28" t="inlineStr">
        <is>
          <t>평균(참고)</t>
        </is>
      </c>
    </row>
    <row r="42" ht="22" customHeight="1">
      <c r="A42" s="35" t="inlineStr">
        <is>
          <t>J-1</t>
        </is>
      </c>
      <c r="B42" s="40" t="inlineStr">
        <is>
          <t>영업기획</t>
        </is>
      </c>
      <c r="C42" s="41" t="inlineStr">
        <is>
          <t>시장조사 및 고객 발굴</t>
        </is>
      </c>
      <c r="D42" s="31" t="inlineStr"/>
      <c r="E42" s="31" t="inlineStr"/>
      <c r="F42" s="31" t="inlineStr"/>
      <c r="G42" s="32">
        <f>IF(D42="O",IFERROR(IF(AND(E42&lt;&gt;"",F42&lt;&gt;""),(IF(E42="S",5,IF(E42="A",4,IF(E42="B",3,IF(E42="C",2,IF(E42="D",1,0)))))+IF(F42="S",5,IF(F42="A",4,IF(F42="B",3,IF(F42="C",2,IF(F42="D",1,0))))))/2,IF(E42&lt;&gt;"",IF(E42="S",5,IF(E42="A",4,IF(E42="B",3,IF(E42="C",2,IF(E42="D",1,0))))),IF(F42&lt;&gt;"",IF(F42="S",5,IF(F42="A",4,IF(F42="B",3,IF(F42="C",2,IF(F42="D",1,0))))),""))),""),"")</f>
        <v/>
      </c>
    </row>
    <row r="43" ht="22" customHeight="1">
      <c r="A43" s="35" t="inlineStr">
        <is>
          <t>J-2</t>
        </is>
      </c>
      <c r="B43" s="40" t="inlineStr">
        <is>
          <t>영업기획</t>
        </is>
      </c>
      <c r="C43" s="41" t="inlineStr">
        <is>
          <t>제안 및 입찰 준비</t>
        </is>
      </c>
      <c r="D43" s="31" t="inlineStr"/>
      <c r="E43" s="31" t="inlineStr"/>
      <c r="F43" s="31" t="inlineStr"/>
      <c r="G43" s="32">
        <f>IF(D43="O",IFERROR(IF(AND(E43&lt;&gt;"",F43&lt;&gt;""),(IF(E43="S",5,IF(E43="A",4,IF(E43="B",3,IF(E43="C",2,IF(E43="D",1,0)))))+IF(F43="S",5,IF(F43="A",4,IF(F43="B",3,IF(F43="C",2,IF(F43="D",1,0))))))/2,IF(E43&lt;&gt;"",IF(E43="S",5,IF(E43="A",4,IF(E43="B",3,IF(E43="C",2,IF(E43="D",1,0))))),IF(F43&lt;&gt;"",IF(F43="S",5,IF(F43="A",4,IF(F43="B",3,IF(F43="C",2,IF(F43="D",1,0))))),""))),""),"")</f>
        <v/>
      </c>
    </row>
    <row r="44" ht="22" customHeight="1">
      <c r="A44" s="35" t="inlineStr">
        <is>
          <t>J-3</t>
        </is>
      </c>
      <c r="B44" s="40" t="inlineStr">
        <is>
          <t>영업기획</t>
        </is>
      </c>
      <c r="C44" s="41" t="inlineStr">
        <is>
          <t>계약 협상</t>
        </is>
      </c>
      <c r="D44" s="31" t="inlineStr"/>
      <c r="E44" s="31" t="inlineStr"/>
      <c r="F44" s="31" t="inlineStr"/>
      <c r="G44" s="32">
        <f>IF(D44="O",IFERROR(IF(AND(E44&lt;&gt;"",F44&lt;&gt;""),(IF(E44="S",5,IF(E44="A",4,IF(E44="B",3,IF(E44="C",2,IF(E44="D",1,0)))))+IF(F44="S",5,IF(F44="A",4,IF(F44="B",3,IF(F44="C",2,IF(F44="D",1,0))))))/2,IF(E44&lt;&gt;"",IF(E44="S",5,IF(E44="A",4,IF(E44="B",3,IF(E44="C",2,IF(E44="D",1,0))))),IF(F44&lt;&gt;"",IF(F44="S",5,IF(F44="A",4,IF(F44="B",3,IF(F44="C",2,IF(F44="D",1,0))))),""))),""),"")</f>
        <v/>
      </c>
    </row>
    <row r="45" ht="22" customHeight="1">
      <c r="A45" s="35" t="inlineStr">
        <is>
          <t>J-4</t>
        </is>
      </c>
      <c r="B45" s="40" t="inlineStr">
        <is>
          <t>고객관리</t>
        </is>
      </c>
      <c r="C45" s="41" t="inlineStr">
        <is>
          <t>기존 고객 관리</t>
        </is>
      </c>
      <c r="D45" s="31" t="inlineStr"/>
      <c r="E45" s="31" t="inlineStr"/>
      <c r="F45" s="31" t="inlineStr"/>
      <c r="G45" s="32">
        <f>IF(D45="O",IFERROR(IF(AND(E45&lt;&gt;"",F45&lt;&gt;""),(IF(E45="S",5,IF(E45="A",4,IF(E45="B",3,IF(E45="C",2,IF(E45="D",1,0)))))+IF(F45="S",5,IF(F45="A",4,IF(F45="B",3,IF(F45="C",2,IF(F45="D",1,0))))))/2,IF(E45&lt;&gt;"",IF(E45="S",5,IF(E45="A",4,IF(E45="B",3,IF(E45="C",2,IF(E45="D",1,0))))),IF(F45&lt;&gt;"",IF(F45="S",5,IF(F45="A",4,IF(F45="B",3,IF(F45="C",2,IF(F45="D",1,0))))),""))),""),"")</f>
        <v/>
      </c>
    </row>
    <row r="46" ht="22" customHeight="1">
      <c r="A46" s="35" t="inlineStr">
        <is>
          <t>J-5</t>
        </is>
      </c>
      <c r="B46" s="40" t="inlineStr">
        <is>
          <t>고객관리</t>
        </is>
      </c>
      <c r="C46" s="41" t="inlineStr">
        <is>
          <t>신규 고객 개발</t>
        </is>
      </c>
      <c r="D46" s="31" t="inlineStr"/>
      <c r="E46" s="31" t="inlineStr"/>
      <c r="F46" s="31" t="inlineStr"/>
      <c r="G46" s="32">
        <f>IF(D46="O",IFERROR(IF(AND(E46&lt;&gt;"",F46&lt;&gt;""),(IF(E46="S",5,IF(E46="A",4,IF(E46="B",3,IF(E46="C",2,IF(E46="D",1,0)))))+IF(F46="S",5,IF(F46="A",4,IF(F46="B",3,IF(F46="C",2,IF(F46="D",1,0))))))/2,IF(E46&lt;&gt;"",IF(E46="S",5,IF(E46="A",4,IF(E46="B",3,IF(E46="C",2,IF(E46="D",1,0))))),IF(F46&lt;&gt;"",IF(F46="S",5,IF(F46="A",4,IF(F46="B",3,IF(F46="C",2,IF(F46="D",1,0))))),""))),""),"")</f>
        <v/>
      </c>
    </row>
    <row r="47" ht="22" customHeight="1">
      <c r="A47" s="35" t="inlineStr">
        <is>
          <t>J-6</t>
        </is>
      </c>
      <c r="B47" s="40" t="inlineStr">
        <is>
          <t>프로젝트 영업</t>
        </is>
      </c>
      <c r="C47" s="41" t="inlineStr">
        <is>
          <t>프로젝트 발굴 및 수주</t>
        </is>
      </c>
      <c r="D47" s="31" t="inlineStr"/>
      <c r="E47" s="31" t="inlineStr"/>
      <c r="F47" s="31" t="inlineStr"/>
      <c r="G47" s="32">
        <f>IF(D47="O",IFERROR(IF(AND(E47&lt;&gt;"",F47&lt;&gt;""),(IF(E47="S",5,IF(E47="A",4,IF(E47="B",3,IF(E47="C",2,IF(E47="D",1,0)))))+IF(F47="S",5,IF(F47="A",4,IF(F47="B",3,IF(F47="C",2,IF(F47="D",1,0))))))/2,IF(E47&lt;&gt;"",IF(E47="S",5,IF(E47="A",4,IF(E47="B",3,IF(E47="C",2,IF(E47="D",1,0))))),IF(F47&lt;&gt;"",IF(F47="S",5,IF(F47="A",4,IF(F47="B",3,IF(F47="C",2,IF(F47="D",1,0))))),""))),""),"")</f>
        <v/>
      </c>
    </row>
    <row r="48" ht="22" customHeight="1">
      <c r="A48" s="35" t="inlineStr">
        <is>
          <t>J-7</t>
        </is>
      </c>
      <c r="B48" s="40" t="inlineStr">
        <is>
          <t>프로젝트 영업</t>
        </is>
      </c>
      <c r="C48" s="41" t="inlineStr">
        <is>
          <t>계약 후 사후관리</t>
        </is>
      </c>
      <c r="D48" s="31" t="inlineStr"/>
      <c r="E48" s="31" t="inlineStr"/>
      <c r="F48" s="31" t="inlineStr"/>
      <c r="G48" s="32">
        <f>IF(D48="O",IFERROR(IF(AND(E48&lt;&gt;"",F48&lt;&gt;""),(IF(E48="S",5,IF(E48="A",4,IF(E48="B",3,IF(E48="C",2,IF(E48="D",1,0)))))+IF(F48="S",5,IF(F48="A",4,IF(F48="B",3,IF(F48="C",2,IF(F48="D",1,0))))))/2,IF(E48&lt;&gt;"",IF(E48="S",5,IF(E48="A",4,IF(E48="B",3,IF(E48="C",2,IF(E48="D",1,0))))),IF(F48&lt;&gt;"",IF(F48="S",5,IF(F48="A",4,IF(F48="B",3,IF(F48="C",2,IF(F48="D",1,0))))),""))),""),"")</f>
        <v/>
      </c>
    </row>
    <row r="50" ht="24" customHeight="1">
      <c r="A50" s="42" t="inlineStr">
        <is>
          <t>1차 평가자 직무 종합 (메인 책무 평균)</t>
        </is>
      </c>
      <c r="E50" s="34">
        <f>IFERROR(SUMPRODUCT((D42:D48="O")*IFERROR(IF(E42:E48="S",5,IF(E42:E48="A",4,IF(E42:E48="B",3,IF(E42:E48="C",2,IF(E42:E48="D",1,0))))),0))/COUNTIF(D42:D48,"O"),"")</f>
        <v/>
      </c>
      <c r="F50" s="36">
        <f>IF(E50="","",IF(E50&gt;=4.5,"S",IF(E50&gt;=3.5,"A",IF(E50&gt;=2.5,"B",IF(E50&gt;=1.5,"C","D")))))</f>
        <v/>
      </c>
    </row>
    <row r="51" ht="24" customHeight="1">
      <c r="A51" s="42" t="inlineStr">
        <is>
          <t>2차 평가자 직무 종합</t>
        </is>
      </c>
      <c r="E51" s="34">
        <f>IFERROR(SUMPRODUCT((D42:D48="O")*IFERROR(IF(F42:F48="S",5,IF(F42:F48="A",4,IF(F42:F48="B",3,IF(F42:F48="C",2,IF(F42:F48="D",1,0))))),0))/COUNTIF(D42:D48,"O"),"")</f>
        <v/>
      </c>
      <c r="F51" s="36">
        <f>IF(E51="","",IF(E51&gt;=4.5,"S",IF(E51&gt;=3.5,"A",IF(E51&gt;=2.5,"B",IF(E51&gt;=1.5,"C","D")))))</f>
        <v/>
      </c>
    </row>
    <row r="54" ht="32" customHeight="1">
      <c r="A54" s="43" t="inlineStr">
        <is>
          <t>▶ 통합관리시트 입력 행 (아래 한 줄 A~G 7개 셀 통째 복사 → 통합시트 07a/07b 해당 사번 행 G~M에 [값 붙여넣기])</t>
        </is>
      </c>
    </row>
    <row r="55" ht="28" customHeight="1">
      <c r="A55" s="44" t="inlineStr">
        <is>
          <t>역할(1차)</t>
        </is>
      </c>
      <c r="B55" s="44" t="inlineStr">
        <is>
          <t>역할(2차)</t>
        </is>
      </c>
      <c r="C55" s="44" t="inlineStr">
        <is>
          <t>공통(1차)</t>
        </is>
      </c>
      <c r="D55" s="44" t="inlineStr">
        <is>
          <t>공통(2차)</t>
        </is>
      </c>
      <c r="E55" s="44" t="inlineStr">
        <is>
          <t>직무(1차)</t>
        </is>
      </c>
      <c r="F55" s="44" t="inlineStr">
        <is>
          <t>직무(2차)</t>
        </is>
      </c>
      <c r="G55" s="44" t="inlineStr">
        <is>
          <t>소견</t>
        </is>
      </c>
    </row>
    <row r="56" ht="36" customHeight="1">
      <c r="A56" s="45">
        <f>G21</f>
        <v/>
      </c>
      <c r="B56" s="45">
        <f>G22</f>
        <v/>
      </c>
      <c r="C56" s="45">
        <f>H37</f>
        <v/>
      </c>
      <c r="D56" s="45">
        <f>H38</f>
        <v/>
      </c>
      <c r="E56" s="45">
        <f>F50</f>
        <v/>
      </c>
      <c r="F56" s="45">
        <f>F51</f>
        <v/>
      </c>
      <c r="G56" s="46" t="inlineStr"/>
    </row>
    <row r="57" ht="26" customHeight="1">
      <c r="A57" s="47" t="inlineStr">
        <is>
          <t>사용법: 위 한 줄 A~G 선택 → Ctrl+C → 통합시트 07a/07b 해당 사번 행 G~M에 [선택하여 붙여넣기 → 값]</t>
        </is>
      </c>
    </row>
    <row r="59" ht="24" customHeight="1">
      <c r="A59" s="3" t="inlineStr">
        <is>
          <t>▶ 종합 소견</t>
        </is>
      </c>
    </row>
    <row r="60" ht="40" customHeight="1">
      <c r="A60" s="21" t="inlineStr">
        <is>
          <t>강점</t>
        </is>
      </c>
      <c r="B60" s="48" t="inlineStr"/>
    </row>
    <row r="61" ht="40" customHeight="1">
      <c r="A61" s="21" t="inlineStr">
        <is>
          <t>개선</t>
        </is>
      </c>
      <c r="B61" s="48" t="inlineStr"/>
    </row>
    <row r="62" ht="40" customHeight="1">
      <c r="A62" s="21" t="inlineStr">
        <is>
          <t>육성 방향</t>
        </is>
      </c>
      <c r="B62" s="48" t="inlineStr"/>
    </row>
  </sheetData>
  <mergeCells count="23">
    <mergeCell ref="A7:I7"/>
    <mergeCell ref="B62:I62"/>
    <mergeCell ref="F9:I9"/>
    <mergeCell ref="A22:D22"/>
    <mergeCell ref="A2:I2"/>
    <mergeCell ref="B14:I14"/>
    <mergeCell ref="A37:E37"/>
    <mergeCell ref="B60:I60"/>
    <mergeCell ref="A51:D51"/>
    <mergeCell ref="B61:I61"/>
    <mergeCell ref="A4:I4"/>
    <mergeCell ref="F10:I10"/>
    <mergeCell ref="A13:I13"/>
    <mergeCell ref="A40:I40"/>
    <mergeCell ref="A54:G54"/>
    <mergeCell ref="A24:I24"/>
    <mergeCell ref="A59:I59"/>
    <mergeCell ref="A38:E38"/>
    <mergeCell ref="F8:I8"/>
    <mergeCell ref="A50:D50"/>
    <mergeCell ref="A21:D21"/>
    <mergeCell ref="A1:I1"/>
    <mergeCell ref="A57:G57"/>
  </mergeCells>
  <conditionalFormatting sqref="A56:G56">
    <cfRule type="cellIs" priority="1" operator="equal" dxfId="0">
      <formula>"S"</formula>
    </cfRule>
    <cfRule type="cellIs" priority="2" operator="equal" dxfId="1">
      <formula>"A"</formula>
    </cfRule>
    <cfRule type="cellIs" priority="3" operator="equal" dxfId="2">
      <formula>"C"</formula>
    </cfRule>
    <cfRule type="cellIs" priority="4" operator="equal" dxfId="3">
      <formula>"D"</formula>
    </cfRule>
  </conditionalFormatting>
  <dataValidations count="5">
    <dataValidation sqref="B11" showDropDown="0" showInputMessage="0" showErrorMessage="0" allowBlank="0" type="list">
      <formula1>"상반기,하반기"</formula1>
    </dataValidation>
    <dataValidation sqref="E16:F20" showDropDown="0" showInputMessage="0" showErrorMessage="0" allowBlank="1" type="list">
      <formula1>"S,A,B,C,D"</formula1>
    </dataValidation>
    <dataValidation sqref="F26:G36" showDropDown="0" showInputMessage="0" showErrorMessage="0" allowBlank="1" type="list">
      <formula1>"S,A,B,C,D"</formula1>
    </dataValidation>
    <dataValidation sqref="D42:D48" showDropDown="0" showInputMessage="0" showErrorMessage="0" allowBlank="1" type="list">
      <formula1>"O,X"</formula1>
    </dataValidation>
    <dataValidation sqref="E42:F48" showDropDown="0" showInputMessage="0" showErrorMessage="0" allowBlank="1" type="list">
      <formula1>"S,A,B,C,D"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70AD47"/>
    <outlinePr summaryBelow="1" summaryRight="1"/>
    <pageSetUpPr/>
  </sheetPr>
  <dimension ref="A1:I62"/>
  <sheetViews>
    <sheetView workbookViewId="0">
      <selection activeCell="A1" sqref="A1"/>
    </sheetView>
  </sheetViews>
  <sheetFormatPr baseColWidth="8" defaultRowHeight="15"/>
  <cols>
    <col width="6" customWidth="1" min="1" max="1"/>
    <col width="11" customWidth="1" min="2" max="2"/>
    <col width="22" customWidth="1" min="3" max="3"/>
    <col width="30" customWidth="1" min="4" max="4"/>
    <col width="32" customWidth="1" min="5" max="5"/>
    <col width="11" customWidth="1" min="6" max="6"/>
    <col width="11" customWidth="1" min="7" max="7"/>
    <col width="12" customWidth="1" min="8" max="8"/>
    <col width="12" customWidth="1" min="9" max="9"/>
  </cols>
  <sheetData>
    <row r="1" ht="30" customHeight="1">
      <c r="A1" s="1" t="inlineStr">
        <is>
          <t>성과평가지 양식 - 프로젝트영업 / G2 (실무)</t>
        </is>
      </c>
    </row>
    <row r="2" ht="22" customHeight="1">
      <c r="A2" s="2" t="inlineStr">
        <is>
          <t>1·2차 평가자가 등급(S/A/B/C/D)만 입력. 가중치는 통합관리시트에서 자동 처리.</t>
        </is>
      </c>
    </row>
    <row r="4" ht="24" customHeight="1">
      <c r="A4" s="3" t="inlineStr">
        <is>
          <t>▶ 평가 대상자 정보 (주황셀에 입력)</t>
        </is>
      </c>
    </row>
    <row r="5" ht="22" customHeight="1">
      <c r="A5" s="18" t="inlineStr">
        <is>
          <t>사번</t>
        </is>
      </c>
      <c r="B5" s="19" t="inlineStr"/>
      <c r="C5" s="18" t="inlineStr">
        <is>
          <t>성명</t>
        </is>
      </c>
      <c r="D5" s="19" t="inlineStr"/>
      <c r="E5" s="18" t="inlineStr">
        <is>
          <t>직군</t>
        </is>
      </c>
      <c r="F5" s="19" t="inlineStr"/>
      <c r="G5" s="18" t="inlineStr">
        <is>
          <t>부서</t>
        </is>
      </c>
      <c r="H5" s="19" t="inlineStr"/>
    </row>
    <row r="6" ht="22" customHeight="1">
      <c r="A6" s="18" t="inlineStr">
        <is>
          <t>기존직급</t>
        </is>
      </c>
      <c r="B6" s="19" t="inlineStr"/>
      <c r="C6" s="18" t="inlineStr">
        <is>
          <t>직무</t>
        </is>
      </c>
      <c r="D6" s="20" t="inlineStr">
        <is>
          <t>프로젝트영업</t>
        </is>
      </c>
      <c r="E6" s="18" t="inlineStr">
        <is>
          <t>역할등급</t>
        </is>
      </c>
      <c r="F6" s="20" t="inlineStr">
        <is>
          <t>G2</t>
        </is>
      </c>
      <c r="G6" s="18" t="inlineStr">
        <is>
          <t>역할명</t>
        </is>
      </c>
      <c r="H6" s="20" t="inlineStr">
        <is>
          <t>실무</t>
        </is>
      </c>
    </row>
    <row r="7" ht="24" customHeight="1">
      <c r="A7" s="3" t="inlineStr">
        <is>
          <t>▶ 평가자 정보 (주황셀에 입력)</t>
        </is>
      </c>
    </row>
    <row r="8" ht="24" customHeight="1">
      <c r="A8" s="15" t="inlineStr">
        <is>
          <t>구분</t>
        </is>
      </c>
      <c r="B8" s="15" t="inlineStr">
        <is>
          <t>사번</t>
        </is>
      </c>
      <c r="C8" s="15" t="inlineStr">
        <is>
          <t>성명</t>
        </is>
      </c>
      <c r="D8" s="15" t="inlineStr">
        <is>
          <t>직책</t>
        </is>
      </c>
      <c r="E8" s="15" t="inlineStr">
        <is>
          <t>부서</t>
        </is>
      </c>
      <c r="F8" s="15" t="inlineStr">
        <is>
          <t>이메일</t>
        </is>
      </c>
    </row>
    <row r="9" ht="24" customHeight="1">
      <c r="A9" s="21" t="inlineStr">
        <is>
          <t>1차 평가자 (직속상사)</t>
        </is>
      </c>
      <c r="B9" s="22" t="inlineStr"/>
      <c r="C9" s="22" t="inlineStr"/>
      <c r="D9" s="22" t="inlineStr"/>
      <c r="E9" s="22" t="inlineStr"/>
      <c r="F9" s="23" t="inlineStr"/>
    </row>
    <row r="10" ht="24" customHeight="1">
      <c r="A10" s="21" t="inlineStr">
        <is>
          <t>2차 평가자 (조정자)</t>
        </is>
      </c>
      <c r="B10" s="22" t="inlineStr"/>
      <c r="C10" s="22" t="inlineStr"/>
      <c r="D10" s="22" t="inlineStr"/>
      <c r="E10" s="22" t="inlineStr"/>
      <c r="F10" s="23" t="inlineStr"/>
    </row>
    <row r="11" ht="24" customHeight="1">
      <c r="A11" s="21" t="inlineStr">
        <is>
          <t>평가 차수</t>
        </is>
      </c>
      <c r="B11" s="24" t="inlineStr">
        <is>
          <t>상반기</t>
        </is>
      </c>
      <c r="C11" s="21" t="inlineStr">
        <is>
          <t>평가 완료일</t>
        </is>
      </c>
      <c r="D11" s="22" t="inlineStr"/>
    </row>
    <row r="13" ht="26" customHeight="1">
      <c r="A13" s="25" t="inlineStr">
        <is>
          <t>▶ ① 역할평가 — 5개 BARS 항목</t>
        </is>
      </c>
    </row>
    <row r="14" ht="38" customHeight="1">
      <c r="A14" s="26" t="inlineStr">
        <is>
          <t>역할 정의</t>
        </is>
      </c>
      <c r="B14" s="27" t="inlineStr">
        <is>
          <t>프로젝트 계획에 따라 독립적·자율적으로 세부 과업을 수행하고 산출물을 도출.</t>
        </is>
      </c>
    </row>
    <row r="15" ht="28" customHeight="1">
      <c r="A15" s="28" t="inlineStr">
        <is>
          <t>No.</t>
        </is>
      </c>
      <c r="B15" s="28" t="inlineStr">
        <is>
          <t>평가항목</t>
        </is>
      </c>
      <c r="C15" s="28" t="inlineStr">
        <is>
          <t>평가 기준</t>
        </is>
      </c>
      <c r="D15" s="28" t="inlineStr">
        <is>
          <t>S/A/B/C/D 등급 기준</t>
        </is>
      </c>
      <c r="E15" s="28" t="inlineStr">
        <is>
          <t>1차</t>
        </is>
      </c>
      <c r="F15" s="28" t="inlineStr">
        <is>
          <t>2차</t>
        </is>
      </c>
      <c r="G15" s="28" t="inlineStr">
        <is>
          <t>평균(참고)</t>
        </is>
      </c>
    </row>
    <row r="16" ht="90" customHeight="1">
      <c r="A16" s="26" t="inlineStr">
        <is>
          <t>R-1</t>
        </is>
      </c>
      <c r="B16" s="17" t="inlineStr">
        <is>
          <t>책임범위 이행도</t>
        </is>
      </c>
      <c r="C16" s="29" t="inlineStr">
        <is>
          <t>역할등급에 부합하는 책임 범위 내 업무 수행</t>
        </is>
      </c>
      <c r="D16" s="30" t="inlineStr">
        <is>
          <t>S  기대 현저히 초과
A  기대 상회
B  기대 부합
C  부분 미흡
D  전반 미흡</t>
        </is>
      </c>
      <c r="E16" s="31" t="inlineStr"/>
      <c r="F16" s="31" t="inlineStr"/>
      <c r="G16" s="32">
        <f>IFERROR(IF(AND(E16&lt;&gt;"",F16&lt;&gt;""),(IF(E16="S",5,IF(E16="A",4,IF(E16="B",3,IF(E16="C",2,IF(E16="D",1,0)))))+IF(F16="S",5,IF(F16="A",4,IF(F16="B",3,IF(F16="C",2,IF(F16="D",1,0))))))/2,IF(E16&lt;&gt;"",IF(E16="S",5,IF(E16="A",4,IF(E16="B",3,IF(E16="C",2,IF(E16="D",1,0))))),IF(F16&lt;&gt;"",IF(F16="S",5,IF(F16="A",4,IF(F16="B",3,IF(F16="C",2,IF(F16="D",1,0))))),""))),"")</f>
        <v/>
      </c>
    </row>
    <row r="17" ht="90" customHeight="1">
      <c r="A17" s="26" t="inlineStr">
        <is>
          <t>R-2</t>
        </is>
      </c>
      <c r="B17" s="17" t="inlineStr">
        <is>
          <t>의사결정 적절성</t>
        </is>
      </c>
      <c r="C17" s="29" t="inlineStr">
        <is>
          <t>권한 수준 내 시의적절·합리적 의사결정</t>
        </is>
      </c>
      <c r="D17" s="30" t="inlineStr">
        <is>
          <t>S  기대 현저히 초과
A  기대 상회
B  기대 부합
C  부분 미흡
D  전반 미흡</t>
        </is>
      </c>
      <c r="E17" s="31" t="inlineStr"/>
      <c r="F17" s="31" t="inlineStr"/>
      <c r="G17" s="32">
        <f>IFERROR(IF(AND(E17&lt;&gt;"",F17&lt;&gt;""),(IF(E17="S",5,IF(E17="A",4,IF(E17="B",3,IF(E17="C",2,IF(E17="D",1,0)))))+IF(F17="S",5,IF(F17="A",4,IF(F17="B",3,IF(F17="C",2,IF(F17="D",1,0))))))/2,IF(E17&lt;&gt;"",IF(E17="S",5,IF(E17="A",4,IF(E17="B",3,IF(E17="C",2,IF(E17="D",1,0))))),IF(F17&lt;&gt;"",IF(F17="S",5,IF(F17="A",4,IF(F17="B",3,IF(F17="C",2,IF(F17="D",1,0))))),""))),"")</f>
        <v/>
      </c>
    </row>
    <row r="18" ht="90" customHeight="1">
      <c r="A18" s="26" t="inlineStr">
        <is>
          <t>R-3</t>
        </is>
      </c>
      <c r="B18" s="17" t="inlineStr">
        <is>
          <t>성과 기여도</t>
        </is>
      </c>
      <c r="C18" s="29" t="inlineStr">
        <is>
          <t>조직·프로젝트 목표 달성에 정량적 기여</t>
        </is>
      </c>
      <c r="D18" s="30" t="inlineStr">
        <is>
          <t>S  기대 현저히 초과
A  기대 상회
B  기대 부합
C  부분 미흡
D  전반 미흡</t>
        </is>
      </c>
      <c r="E18" s="31" t="inlineStr"/>
      <c r="F18" s="31" t="inlineStr"/>
      <c r="G18" s="32">
        <f>IFERROR(IF(AND(E18&lt;&gt;"",F18&lt;&gt;""),(IF(E18="S",5,IF(E18="A",4,IF(E18="B",3,IF(E18="C",2,IF(E18="D",1,0)))))+IF(F18="S",5,IF(F18="A",4,IF(F18="B",3,IF(F18="C",2,IF(F18="D",1,0))))))/2,IF(E18&lt;&gt;"",IF(E18="S",5,IF(E18="A",4,IF(E18="B",3,IF(E18="C",2,IF(E18="D",1,0))))),IF(F18&lt;&gt;"",IF(F18="S",5,IF(F18="A",4,IF(F18="B",3,IF(F18="C",2,IF(F18="D",1,0))))),""))),"")</f>
        <v/>
      </c>
    </row>
    <row r="19" ht="90" customHeight="1">
      <c r="A19" s="26" t="inlineStr">
        <is>
          <t>R-4</t>
        </is>
      </c>
      <c r="B19" s="17" t="inlineStr">
        <is>
          <t>조직 후배 코칭</t>
        </is>
      </c>
      <c r="C19" s="29" t="inlineStr">
        <is>
          <t>상·하위 역할과 효과적 협업 및 후배 코칭</t>
        </is>
      </c>
      <c r="D19" s="30" t="inlineStr">
        <is>
          <t>S  기대 현저히 초과
A  기대 상회
B  기대 부합
C  부분 미흡
D  전반 미흡</t>
        </is>
      </c>
      <c r="E19" s="31" t="inlineStr"/>
      <c r="F19" s="31" t="inlineStr"/>
      <c r="G19" s="32">
        <f>IFERROR(IF(AND(E19&lt;&gt;"",F19&lt;&gt;""),(IF(E19="S",5,IF(E19="A",4,IF(E19="B",3,IF(E19="C",2,IF(E19="D",1,0)))))+IF(F19="S",5,IF(F19="A",4,IF(F19="B",3,IF(F19="C",2,IF(F19="D",1,0))))))/2,IF(E19&lt;&gt;"",IF(E19="S",5,IF(E19="A",4,IF(E19="B",3,IF(E19="C",2,IF(E19="D",1,0))))),IF(F19&lt;&gt;"",IF(F19="S",5,IF(F19="A",4,IF(F19="B",3,IF(F19="C",2,IF(F19="D",1,0))))),""))),"")</f>
        <v/>
      </c>
    </row>
    <row r="20" ht="90" customHeight="1">
      <c r="A20" s="26" t="inlineStr">
        <is>
          <t>R-5</t>
        </is>
      </c>
      <c r="B20" s="17" t="inlineStr">
        <is>
          <t>산출물 완성도</t>
        </is>
      </c>
      <c r="C20" s="29" t="inlineStr">
        <is>
          <t>산출물 품질과 기한 준수</t>
        </is>
      </c>
      <c r="D20" s="30" t="inlineStr">
        <is>
          <t>S  기대 현저히 초과
A  기대 상회
B  기대 부합
C  부분 미흡
D  전반 미흡</t>
        </is>
      </c>
      <c r="E20" s="31" t="inlineStr"/>
      <c r="F20" s="31" t="inlineStr"/>
      <c r="G20" s="32">
        <f>IFERROR(IF(AND(E20&lt;&gt;"",F20&lt;&gt;""),(IF(E20="S",5,IF(E20="A",4,IF(E20="B",3,IF(E20="C",2,IF(E20="D",1,0)))))+IF(F20="S",5,IF(F20="A",4,IF(F20="B",3,IF(F20="C",2,IF(F20="D",1,0))))))/2,IF(E20&lt;&gt;"",IF(E20="S",5,IF(E20="A",4,IF(E20="B",3,IF(E20="C",2,IF(E20="D",1,0))))),IF(F20&lt;&gt;"",IF(F20="S",5,IF(F20="A",4,IF(F20="B",3,IF(F20="C",2,IF(F20="D",1,0))))),""))),"")</f>
        <v/>
      </c>
    </row>
    <row r="21" ht="24" customHeight="1">
      <c r="A21" s="33" t="inlineStr">
        <is>
          <t>1차 평가자 역할 종합 (5개 평균)</t>
        </is>
      </c>
      <c r="E21" s="34">
        <f>IFERROR((IF(E16="S",5,IF(E16="A",4,IF(E16="B",3,IF(E16="C",2,IF(E16="D",1,0)))))+IF(E17="S",5,IF(E17="A",4,IF(E17="B",3,IF(E17="C",2,IF(E17="D",1,0)))))+IF(E18="S",5,IF(E18="A",4,IF(E18="B",3,IF(E18="C",2,IF(E18="D",1,0)))))+IF(E19="S",5,IF(E19="A",4,IF(E19="B",3,IF(E19="C",2,IF(E19="D",1,0)))))+IF(E20="S",5,IF(E20="A",4,IF(E20="B",3,IF(E20="C",2,IF(E20="D",1,0))))))/5,"")</f>
        <v/>
      </c>
      <c r="F21" s="35" t="inlineStr">
        <is>
          <t>→ 등급</t>
        </is>
      </c>
      <c r="G21" s="36">
        <f>IF(E21="","",IF(E21&gt;=4.5,"S",IF(E21&gt;=3.5,"A",IF(E21&gt;=2.5,"B",IF(E21&gt;=1.5,"C","D")))))</f>
        <v/>
      </c>
    </row>
    <row r="22" ht="24" customHeight="1">
      <c r="A22" s="33" t="inlineStr">
        <is>
          <t>2차 평가자 역할 종합 (5개 평균)</t>
        </is>
      </c>
      <c r="E22" s="34">
        <f>IFERROR((IF(F16="S",5,IF(F16="A",4,IF(F16="B",3,IF(F16="C",2,IF(F16="D",1,0)))))+IF(F17="S",5,IF(F17="A",4,IF(F17="B",3,IF(F17="C",2,IF(F17="D",1,0)))))+IF(F18="S",5,IF(F18="A",4,IF(F18="B",3,IF(F18="C",2,IF(F18="D",1,0)))))+IF(F19="S",5,IF(F19="A",4,IF(F19="B",3,IF(F19="C",2,IF(F19="D",1,0)))))+IF(F20="S",5,IF(F20="A",4,IF(F20="B",3,IF(F20="C",2,IF(F20="D",1,0))))))/5,"")</f>
        <v/>
      </c>
      <c r="F22" s="35" t="inlineStr">
        <is>
          <t>→ 등급</t>
        </is>
      </c>
      <c r="G22" s="36">
        <f>IF(E22="","",IF(E22&gt;=4.5,"S",IF(E22&gt;=3.5,"A",IF(E22&gt;=2.5,"B",IF(E22&gt;=1.5,"C","D")))))</f>
        <v/>
      </c>
    </row>
    <row r="24" ht="26" customHeight="1">
      <c r="A24" s="37" t="inlineStr">
        <is>
          <t>▶ ② 공통역량평가 — 11개 (★ S/A/B/C/D 평가기준 포함)</t>
        </is>
      </c>
    </row>
    <row r="25" ht="28" customHeight="1">
      <c r="A25" s="28" t="inlineStr">
        <is>
          <t>No.</t>
        </is>
      </c>
      <c r="B25" s="28" t="inlineStr">
        <is>
          <t>역량군</t>
        </is>
      </c>
      <c r="C25" s="28" t="inlineStr">
        <is>
          <t>핵심 역량</t>
        </is>
      </c>
      <c r="D25" s="28" t="inlineStr">
        <is>
          <t>평가 기준</t>
        </is>
      </c>
      <c r="E25" s="28" t="inlineStr">
        <is>
          <t>S/A/B/C/D 등급 기준</t>
        </is>
      </c>
      <c r="F25" s="28" t="inlineStr">
        <is>
          <t>1차</t>
        </is>
      </c>
      <c r="G25" s="28" t="inlineStr">
        <is>
          <t>2차</t>
        </is>
      </c>
      <c r="H25" s="28" t="inlineStr">
        <is>
          <t>평균(참고)</t>
        </is>
      </c>
    </row>
    <row r="26" ht="100" customHeight="1">
      <c r="A26" s="2" t="inlineStr">
        <is>
          <t>C-1</t>
        </is>
      </c>
      <c r="B26" s="2" t="inlineStr">
        <is>
          <t>업무</t>
        </is>
      </c>
      <c r="C26" s="17" t="inlineStr">
        <is>
          <t>직무 전문성</t>
        </is>
      </c>
      <c r="D26" s="29" t="inlineStr">
        <is>
          <t>직무에 필요한 전문 지식 및 기술 보유, 실무 적용</t>
        </is>
      </c>
      <c r="E26" s="30" t="inlineStr">
        <is>
          <t>S  고급 지식과 숙련도, 타 부서 교육 가능
A  최신 트렌드 반영, 실무에 적절 활용
B  일반 수준 이해 및 적용
C  일부 기술 이해, 개선 필요
D  지식 부족, 실무 반영 어려움</t>
        </is>
      </c>
      <c r="F26" s="31" t="inlineStr"/>
      <c r="G26" s="31" t="inlineStr"/>
      <c r="H26" s="32">
        <f>IFERROR(IF(AND(F26&lt;&gt;"",G26&lt;&gt;""),(IF(F26="S",5,IF(F26="A",4,IF(F26="B",3,IF(F26="C",2,IF(F26="D",1,0)))))+IF(G26="S",5,IF(G26="A",4,IF(G26="B",3,IF(G26="C",2,IF(G26="D",1,0))))))/2,IF(F26&lt;&gt;"",IF(F26="S",5,IF(F26="A",4,IF(F26="B",3,IF(F26="C",2,IF(F26="D",1,0))))),IF(G26&lt;&gt;"",IF(G26="S",5,IF(G26="A",4,IF(G26="B",3,IF(G26="C",2,IF(G26="D",1,0))))),""))),"")</f>
        <v/>
      </c>
    </row>
    <row r="27" ht="100" customHeight="1">
      <c r="A27" s="2" t="inlineStr">
        <is>
          <t>C-2</t>
        </is>
      </c>
      <c r="B27" s="2" t="inlineStr">
        <is>
          <t>업무</t>
        </is>
      </c>
      <c r="C27" s="17" t="inlineStr">
        <is>
          <t>분석력</t>
        </is>
      </c>
      <c r="D27" s="29" t="inlineStr">
        <is>
          <t>데이터·수치 기반 사고로 업무 효율 향상</t>
        </is>
      </c>
      <c r="E27" s="30" t="inlineStr">
        <is>
          <t>S  데이터 기반 전략 도출 가능
A  분석 후 결과 활용 능숙
B  기본적 분석 및 간단한 적용 가능
C  기본 해석은 가능하나 활용 미흡
D  자료 해석 불가, 의사결정 어려움</t>
        </is>
      </c>
      <c r="F27" s="31" t="inlineStr"/>
      <c r="G27" s="31" t="inlineStr"/>
      <c r="H27" s="32">
        <f>IFERROR(IF(AND(F27&lt;&gt;"",G27&lt;&gt;""),(IF(F27="S",5,IF(F27="A",4,IF(F27="B",3,IF(F27="C",2,IF(F27="D",1,0)))))+IF(G27="S",5,IF(G27="A",4,IF(G27="B",3,IF(G27="C",2,IF(G27="D",1,0))))))/2,IF(F27&lt;&gt;"",IF(F27="S",5,IF(F27="A",4,IF(F27="B",3,IF(F27="C",2,IF(F27="D",1,0))))),IF(G27&lt;&gt;"",IF(G27="S",5,IF(G27="A",4,IF(G27="B",3,IF(G27="C",2,IF(G27="D",1,0))))),""))),"")</f>
        <v/>
      </c>
    </row>
    <row r="28" ht="100" customHeight="1">
      <c r="A28" s="2" t="inlineStr">
        <is>
          <t>C-3</t>
        </is>
      </c>
      <c r="B28" s="2" t="inlineStr">
        <is>
          <t>업무</t>
        </is>
      </c>
      <c r="C28" s="17" t="inlineStr">
        <is>
          <t>기획/실행력</t>
        </is>
      </c>
      <c r="D28" s="29" t="inlineStr">
        <is>
          <t>목표 설정·계획 수립·체계적 실행 능력</t>
        </is>
      </c>
      <c r="E28" s="30" t="inlineStr">
        <is>
          <t>S  스스로 목표 수립 및 조직 리딩 가능
A  계획 수립 능력 우수 및 실행 일관성
B  일반적 목표 수립 및 실현 가능
C  실행 계획 일부 있으나 체계 부족
D  목표 설정 부정확, 실행력 부족</t>
        </is>
      </c>
      <c r="F28" s="31" t="inlineStr"/>
      <c r="G28" s="31" t="inlineStr"/>
      <c r="H28" s="32">
        <f>IFERROR(IF(AND(F28&lt;&gt;"",G28&lt;&gt;""),(IF(F28="S",5,IF(F28="A",4,IF(F28="B",3,IF(F28="C",2,IF(F28="D",1,0)))))+IF(G28="S",5,IF(G28="A",4,IF(G28="B",3,IF(G28="C",2,IF(G28="D",1,0))))))/2,IF(F28&lt;&gt;"",IF(F28="S",5,IF(F28="A",4,IF(F28="B",3,IF(F28="C",2,IF(F28="D",1,0))))),IF(G28&lt;&gt;"",IF(G28="S",5,IF(G28="A",4,IF(G28="B",3,IF(G28="C",2,IF(G28="D",1,0))))),""))),"")</f>
        <v/>
      </c>
    </row>
    <row r="29" ht="100" customHeight="1">
      <c r="A29" s="2" t="inlineStr">
        <is>
          <t>C-4</t>
        </is>
      </c>
      <c r="B29" s="2" t="inlineStr">
        <is>
          <t>조직</t>
        </is>
      </c>
      <c r="C29" s="17" t="inlineStr">
        <is>
          <t>자원·시간 관리</t>
        </is>
      </c>
      <c r="D29" s="29" t="inlineStr">
        <is>
          <t>업무 우선순위 설정 및 시간 내 효과적 완수</t>
        </is>
      </c>
      <c r="E29" s="30" t="inlineStr">
        <is>
          <t>S  다중 과제 효율 배분, 시간관리 탁월
A  업무 효율성 높고 우선순위 명확
B  일반 수준 일정 조율 가능
C  마감 어려움, 우선순위 혼란
D  업무 지연 잦고 계획 없음</t>
        </is>
      </c>
      <c r="F29" s="31" t="inlineStr"/>
      <c r="G29" s="31" t="inlineStr"/>
      <c r="H29" s="32">
        <f>IFERROR(IF(AND(F29&lt;&gt;"",G29&lt;&gt;""),(IF(F29="S",5,IF(F29="A",4,IF(F29="B",3,IF(F29="C",2,IF(F29="D",1,0)))))+IF(G29="S",5,IF(G29="A",4,IF(G29="B",3,IF(G29="C",2,IF(G29="D",1,0))))))/2,IF(F29&lt;&gt;"",IF(F29="S",5,IF(F29="A",4,IF(F29="B",3,IF(F29="C",2,IF(F29="D",1,0))))),IF(G29&lt;&gt;"",IF(G29="S",5,IF(G29="A",4,IF(G29="B",3,IF(G29="C",2,IF(G29="D",1,0))))),""))),"")</f>
        <v/>
      </c>
    </row>
    <row r="30" ht="100" customHeight="1">
      <c r="A30" s="2" t="inlineStr">
        <is>
          <t>C-5</t>
        </is>
      </c>
      <c r="B30" s="2" t="inlineStr">
        <is>
          <t>조직</t>
        </is>
      </c>
      <c r="C30" s="17" t="inlineStr">
        <is>
          <t>협업 능력</t>
        </is>
      </c>
      <c r="D30" s="29" t="inlineStr">
        <is>
          <t>팀·타 부서와의 협업 태도, 정보 공유</t>
        </is>
      </c>
      <c r="E30" s="30" t="inlineStr">
        <is>
          <t>S  타 부서와의 시너지 창출
A  정보 공유, 원활한 협업
B  공동목표 수용 및 일부 협력
C  소극적 협조, 갈등 유발
D  협력 거부, 독단적 태도</t>
        </is>
      </c>
      <c r="F30" s="31" t="inlineStr"/>
      <c r="G30" s="31" t="inlineStr"/>
      <c r="H30" s="32">
        <f>IFERROR(IF(AND(F30&lt;&gt;"",G30&lt;&gt;""),(IF(F30="S",5,IF(F30="A",4,IF(F30="B",3,IF(F30="C",2,IF(F30="D",1,0)))))+IF(G30="S",5,IF(G30="A",4,IF(G30="B",3,IF(G30="C",2,IF(G30="D",1,0))))))/2,IF(F30&lt;&gt;"",IF(F30="S",5,IF(F30="A",4,IF(F30="B",3,IF(F30="C",2,IF(F30="D",1,0))))),IF(G30&lt;&gt;"",IF(G30="S",5,IF(G30="A",4,IF(G30="B",3,IF(G30="C",2,IF(G30="D",1,0))))),""))),"")</f>
        <v/>
      </c>
    </row>
    <row r="31" ht="100" customHeight="1">
      <c r="A31" s="2" t="inlineStr">
        <is>
          <t>C-6</t>
        </is>
      </c>
      <c r="B31" s="2" t="inlineStr">
        <is>
          <t>조직</t>
        </is>
      </c>
      <c r="C31" s="17" t="inlineStr">
        <is>
          <t>소통 능력</t>
        </is>
      </c>
      <c r="D31" s="29" t="inlineStr">
        <is>
          <t>명확한 의사 전달·경청·효과적 커뮤니케이션</t>
        </is>
      </c>
      <c r="E31" s="30" t="inlineStr">
        <is>
          <t>S  갈등 중재 및 공감능력 우수
A  정확한 의사 전달 및 경청
B  피드백 수용 및 전달 가능
C  소통 시 불편 유발
D  일방적 주장, 피드백 거부</t>
        </is>
      </c>
      <c r="F31" s="31" t="inlineStr"/>
      <c r="G31" s="31" t="inlineStr"/>
      <c r="H31" s="32">
        <f>IFERROR(IF(AND(F31&lt;&gt;"",G31&lt;&gt;""),(IF(F31="S",5,IF(F31="A",4,IF(F31="B",3,IF(F31="C",2,IF(F31="D",1,0)))))+IF(G31="S",5,IF(G31="A",4,IF(G31="B",3,IF(G31="C",2,IF(G31="D",1,0))))))/2,IF(F31&lt;&gt;"",IF(F31="S",5,IF(F31="A",4,IF(F31="B",3,IF(F31="C",2,IF(F31="D",1,0))))),IF(G31&lt;&gt;"",IF(G31="S",5,IF(G31="A",4,IF(G31="B",3,IF(G31="C",2,IF(G31="D",1,0))))),""))),"")</f>
        <v/>
      </c>
    </row>
    <row r="32" ht="100" customHeight="1">
      <c r="A32" s="2" t="inlineStr">
        <is>
          <t>C-7</t>
        </is>
      </c>
      <c r="B32" s="2" t="inlineStr">
        <is>
          <t>인성</t>
        </is>
      </c>
      <c r="C32" s="17" t="inlineStr">
        <is>
          <t>윤리/책임감</t>
        </is>
      </c>
      <c r="D32" s="29" t="inlineStr">
        <is>
          <t>공정·투명한 절차, 책임감 있는 업무</t>
        </is>
      </c>
      <c r="E32" s="30" t="inlineStr">
        <is>
          <t>S  모범적 자세, 조직문화 선도
A  조직 규범 내 성실 수행
B  기본 책임 수행
C  책임 회피 경향
D  무책임, 규정 무시</t>
        </is>
      </c>
      <c r="F32" s="31" t="inlineStr"/>
      <c r="G32" s="31" t="inlineStr"/>
      <c r="H32" s="32">
        <f>IFERROR(IF(AND(F32&lt;&gt;"",G32&lt;&gt;""),(IF(F32="S",5,IF(F32="A",4,IF(F32="B",3,IF(F32="C",2,IF(F32="D",1,0)))))+IF(G32="S",5,IF(G32="A",4,IF(G32="B",3,IF(G32="C",2,IF(G32="D",1,0))))))/2,IF(F32&lt;&gt;"",IF(F32="S",5,IF(F32="A",4,IF(F32="B",3,IF(F32="C",2,IF(F32="D",1,0))))),IF(G32&lt;&gt;"",IF(G32="S",5,IF(G32="A",4,IF(G32="B",3,IF(G32="C",2,IF(G32="D",1,0))))),""))),"")</f>
        <v/>
      </c>
    </row>
    <row r="33" ht="100" customHeight="1">
      <c r="A33" s="2" t="inlineStr">
        <is>
          <t>C-8</t>
        </is>
      </c>
      <c r="B33" s="2" t="inlineStr">
        <is>
          <t>인성</t>
        </is>
      </c>
      <c r="C33" s="17" t="inlineStr">
        <is>
          <t>업무 태도</t>
        </is>
      </c>
      <c r="D33" s="29" t="inlineStr">
        <is>
          <t>성실·주도적 태도, 변화 유연성</t>
        </is>
      </c>
      <c r="E33" s="30" t="inlineStr">
        <is>
          <t>S  문제 해결 중심의 선도적 자세
A  책임감, 적극적 태도
B  일정 주도성 보임
C  소극적, 피동적 태도
D  수동적, 지시 없이는 행동 안 함</t>
        </is>
      </c>
      <c r="F33" s="31" t="inlineStr"/>
      <c r="G33" s="31" t="inlineStr"/>
      <c r="H33" s="32">
        <f>IFERROR(IF(AND(F33&lt;&gt;"",G33&lt;&gt;""),(IF(F33="S",5,IF(F33="A",4,IF(F33="B",3,IF(F33="C",2,IF(F33="D",1,0)))))+IF(G33="S",5,IF(G33="A",4,IF(G33="B",3,IF(G33="C",2,IF(G33="D",1,0))))))/2,IF(F33&lt;&gt;"",IF(F33="S",5,IF(F33="A",4,IF(F33="B",3,IF(F33="C",2,IF(F33="D",1,0))))),IF(G33&lt;&gt;"",IF(G33="S",5,IF(G33="A",4,IF(G33="B",3,IF(G33="C",2,IF(G33="D",1,0))))),""))),"")</f>
        <v/>
      </c>
    </row>
    <row r="34" ht="100" customHeight="1">
      <c r="A34" s="2" t="inlineStr">
        <is>
          <t>C-9</t>
        </is>
      </c>
      <c r="B34" s="2" t="inlineStr">
        <is>
          <t>미래</t>
        </is>
      </c>
      <c r="C34" s="17" t="inlineStr">
        <is>
          <t>혁신 역량</t>
        </is>
      </c>
      <c r="D34" s="29" t="inlineStr">
        <is>
          <t>AI·자동화 등 최신 기술의 실무 접목</t>
        </is>
      </c>
      <c r="E34" s="30" t="inlineStr">
        <is>
          <t>S  혁신적 아이디어 제시 및 실현
A  적극 활용하여 효율성 제고
B  일상적 업무에 도구 활용
C  부분적 기능 사용
D  기술 활용 거의 없음</t>
        </is>
      </c>
      <c r="F34" s="31" t="inlineStr"/>
      <c r="G34" s="31" t="inlineStr"/>
      <c r="H34" s="32">
        <f>IFERROR(IF(AND(F34&lt;&gt;"",G34&lt;&gt;""),(IF(F34="S",5,IF(F34="A",4,IF(F34="B",3,IF(F34="C",2,IF(F34="D",1,0)))))+IF(G34="S",5,IF(G34="A",4,IF(G34="B",3,IF(G34="C",2,IF(G34="D",1,0))))))/2,IF(F34&lt;&gt;"",IF(F34="S",5,IF(F34="A",4,IF(F34="B",3,IF(F34="C",2,IF(F34="D",1,0))))),IF(G34&lt;&gt;"",IF(G34="S",5,IF(G34="A",4,IF(G34="B",3,IF(G34="C",2,IF(G34="D",1,0))))),""))),"")</f>
        <v/>
      </c>
    </row>
    <row r="35" ht="100" customHeight="1">
      <c r="A35" s="2" t="inlineStr">
        <is>
          <t>C-10</t>
        </is>
      </c>
      <c r="B35" s="2" t="inlineStr">
        <is>
          <t>미래</t>
        </is>
      </c>
      <c r="C35" s="17" t="inlineStr">
        <is>
          <t>프로세스 개선</t>
        </is>
      </c>
      <c r="D35" s="29" t="inlineStr">
        <is>
          <t>업무 절차 분석 및 비효율 개선</t>
        </is>
      </c>
      <c r="E35" s="30" t="inlineStr">
        <is>
          <t>S  제안 실행까지 주도함
A  능동적 개선 제안
B  개선의 필요성 인식
C  타인이 해야 할 일로 인식
D  개선 의지 없음</t>
        </is>
      </c>
      <c r="F35" s="31" t="inlineStr"/>
      <c r="G35" s="31" t="inlineStr"/>
      <c r="H35" s="32">
        <f>IFERROR(IF(AND(F35&lt;&gt;"",G35&lt;&gt;""),(IF(F35="S",5,IF(F35="A",4,IF(F35="B",3,IF(F35="C",2,IF(F35="D",1,0)))))+IF(G35="S",5,IF(G35="A",4,IF(G35="B",3,IF(G35="C",2,IF(G35="D",1,0))))))/2,IF(F35&lt;&gt;"",IF(F35="S",5,IF(F35="A",4,IF(F35="B",3,IF(F35="C",2,IF(F35="D",1,0))))),IF(G35&lt;&gt;"",IF(G35="S",5,IF(G35="A",4,IF(G35="B",3,IF(G35="C",2,IF(G35="D",1,0))))),""))),"")</f>
        <v/>
      </c>
    </row>
    <row r="36" ht="100" customHeight="1">
      <c r="A36" s="2" t="inlineStr">
        <is>
          <t>C-11</t>
        </is>
      </c>
      <c r="B36" s="2" t="inlineStr">
        <is>
          <t>미래</t>
        </is>
      </c>
      <c r="C36" s="17" t="inlineStr">
        <is>
          <t>지속가능 기여</t>
        </is>
      </c>
      <c r="D36" s="29" t="inlineStr">
        <is>
          <t>장기적 성과 향상·조직 기여</t>
        </is>
      </c>
      <c r="E36" s="30" t="inlineStr">
        <is>
          <t>S  성과 리딩 및 지속 성과 도출
A  개인 및 팀 성과 기여
B  기본 수준의 성과
C  성과 불명확, 기여 낮음
D  성과 없음, 소극적 태도</t>
        </is>
      </c>
      <c r="F36" s="31" t="inlineStr"/>
      <c r="G36" s="31" t="inlineStr"/>
      <c r="H36" s="32">
        <f>IFERROR(IF(AND(F36&lt;&gt;"",G36&lt;&gt;""),(IF(F36="S",5,IF(F36="A",4,IF(F36="B",3,IF(F36="C",2,IF(F36="D",1,0)))))+IF(G36="S",5,IF(G36="A",4,IF(G36="B",3,IF(G36="C",2,IF(G36="D",1,0))))))/2,IF(F36&lt;&gt;"",IF(F36="S",5,IF(F36="A",4,IF(F36="B",3,IF(F36="C",2,IF(F36="D",1,0))))),IF(G36&lt;&gt;"",IF(G36="S",5,IF(G36="A",4,IF(G36="B",3,IF(G36="C",2,IF(G36="D",1,0))))),""))),"")</f>
        <v/>
      </c>
    </row>
    <row r="37" ht="24" customHeight="1">
      <c r="A37" s="38" t="inlineStr">
        <is>
          <t>1차 평가자 공통역량 종합 (11개 단순 평균)</t>
        </is>
      </c>
      <c r="F37" s="34">
        <f>IFERROR((IF(F26="S",5,IF(F26="A",4,IF(F26="B",3,IF(F26="C",2,IF(F26="D",1,0)))))+IF(F27="S",5,IF(F27="A",4,IF(F27="B",3,IF(F27="C",2,IF(F27="D",1,0)))))+IF(F28="S",5,IF(F28="A",4,IF(F28="B",3,IF(F28="C",2,IF(F28="D",1,0)))))+IF(F29="S",5,IF(F29="A",4,IF(F29="B",3,IF(F29="C",2,IF(F29="D",1,0)))))+IF(F30="S",5,IF(F30="A",4,IF(F30="B",3,IF(F30="C",2,IF(F30="D",1,0)))))+IF(F31="S",5,IF(F31="A",4,IF(F31="B",3,IF(F31="C",2,IF(F31="D",1,0)))))+IF(F32="S",5,IF(F32="A",4,IF(F32="B",3,IF(F32="C",2,IF(F32="D",1,0)))))+IF(F33="S",5,IF(F33="A",4,IF(F33="B",3,IF(F33="C",2,IF(F33="D",1,0)))))+IF(F34="S",5,IF(F34="A",4,IF(F34="B",3,IF(F34="C",2,IF(F34="D",1,0)))))+IF(F35="S",5,IF(F35="A",4,IF(F35="B",3,IF(F35="C",2,IF(F35="D",1,0)))))+IF(F36="S",5,IF(F36="A",4,IF(F36="B",3,IF(F36="C",2,IF(F36="D",1,0))))))/11,"")</f>
        <v/>
      </c>
      <c r="G37" s="35" t="inlineStr">
        <is>
          <t>→ 등급</t>
        </is>
      </c>
      <c r="H37" s="36">
        <f>IF(F37="","",IF(F37&gt;=4.5,"S",IF(F37&gt;=3.5,"A",IF(F37&gt;=2.5,"B",IF(F37&gt;=1.5,"C","D")))))</f>
        <v/>
      </c>
    </row>
    <row r="38" ht="24" customHeight="1">
      <c r="A38" s="38" t="inlineStr">
        <is>
          <t>2차 평가자 공통역량 종합 (11개 단순 평균)</t>
        </is>
      </c>
      <c r="F38" s="34">
        <f>IFERROR((IF(G26="S",5,IF(G26="A",4,IF(G26="B",3,IF(G26="C",2,IF(G26="D",1,0)))))+IF(G27="S",5,IF(G27="A",4,IF(G27="B",3,IF(G27="C",2,IF(G27="D",1,0)))))+IF(G28="S",5,IF(G28="A",4,IF(G28="B",3,IF(G28="C",2,IF(G28="D",1,0)))))+IF(G29="S",5,IF(G29="A",4,IF(G29="B",3,IF(G29="C",2,IF(G29="D",1,0)))))+IF(G30="S",5,IF(G30="A",4,IF(G30="B",3,IF(G30="C",2,IF(G30="D",1,0)))))+IF(G31="S",5,IF(G31="A",4,IF(G31="B",3,IF(G31="C",2,IF(G31="D",1,0)))))+IF(G32="S",5,IF(G32="A",4,IF(G32="B",3,IF(G32="C",2,IF(G32="D",1,0)))))+IF(G33="S",5,IF(G33="A",4,IF(G33="B",3,IF(G33="C",2,IF(G33="D",1,0)))))+IF(G34="S",5,IF(G34="A",4,IF(G34="B",3,IF(G34="C",2,IF(G34="D",1,0)))))+IF(G35="S",5,IF(G35="A",4,IF(G35="B",3,IF(G35="C",2,IF(G35="D",1,0)))))+IF(G36="S",5,IF(G36="A",4,IF(G36="B",3,IF(G36="C",2,IF(G36="D",1,0))))))/11,"")</f>
        <v/>
      </c>
      <c r="G38" s="35" t="inlineStr">
        <is>
          <t>→ 등급</t>
        </is>
      </c>
      <c r="H38" s="36">
        <f>IF(F38="","",IF(F38&gt;=4.5,"S",IF(F38&gt;=3.5,"A",IF(F38&gt;=2.5,"B",IF(F38&gt;=1.5,"C","D")))))</f>
        <v/>
      </c>
    </row>
    <row r="40" ht="26" customHeight="1">
      <c r="A40" s="39" t="inlineStr">
        <is>
          <t>▶ ③ 직무역량평가 — 메인 책무(D열 O)만 평가</t>
        </is>
      </c>
    </row>
    <row r="41" ht="28" customHeight="1">
      <c r="A41" s="28" t="inlineStr">
        <is>
          <t>No.</t>
        </is>
      </c>
      <c r="B41" s="28" t="inlineStr">
        <is>
          <t>전문영역</t>
        </is>
      </c>
      <c r="C41" s="28" t="inlineStr">
        <is>
          <t>핵심 책무</t>
        </is>
      </c>
      <c r="D41" s="28" t="inlineStr">
        <is>
          <t>메인</t>
        </is>
      </c>
      <c r="E41" s="28" t="inlineStr">
        <is>
          <t>1차</t>
        </is>
      </c>
      <c r="F41" s="28" t="inlineStr">
        <is>
          <t>2차</t>
        </is>
      </c>
      <c r="G41" s="28" t="inlineStr">
        <is>
          <t>평균(참고)</t>
        </is>
      </c>
    </row>
    <row r="42" ht="22" customHeight="1">
      <c r="A42" s="35" t="inlineStr">
        <is>
          <t>J-1</t>
        </is>
      </c>
      <c r="B42" s="40" t="inlineStr">
        <is>
          <t>영업기획</t>
        </is>
      </c>
      <c r="C42" s="41" t="inlineStr">
        <is>
          <t>시장조사 및 고객 발굴</t>
        </is>
      </c>
      <c r="D42" s="31" t="inlineStr"/>
      <c r="E42" s="31" t="inlineStr"/>
      <c r="F42" s="31" t="inlineStr"/>
      <c r="G42" s="32">
        <f>IF(D42="O",IFERROR(IF(AND(E42&lt;&gt;"",F42&lt;&gt;""),(IF(E42="S",5,IF(E42="A",4,IF(E42="B",3,IF(E42="C",2,IF(E42="D",1,0)))))+IF(F42="S",5,IF(F42="A",4,IF(F42="B",3,IF(F42="C",2,IF(F42="D",1,0))))))/2,IF(E42&lt;&gt;"",IF(E42="S",5,IF(E42="A",4,IF(E42="B",3,IF(E42="C",2,IF(E42="D",1,0))))),IF(F42&lt;&gt;"",IF(F42="S",5,IF(F42="A",4,IF(F42="B",3,IF(F42="C",2,IF(F42="D",1,0))))),""))),""),"")</f>
        <v/>
      </c>
    </row>
    <row r="43" ht="22" customHeight="1">
      <c r="A43" s="35" t="inlineStr">
        <is>
          <t>J-2</t>
        </is>
      </c>
      <c r="B43" s="40" t="inlineStr">
        <is>
          <t>영업기획</t>
        </is>
      </c>
      <c r="C43" s="41" t="inlineStr">
        <is>
          <t>제안 및 입찰 준비</t>
        </is>
      </c>
      <c r="D43" s="31" t="inlineStr"/>
      <c r="E43" s="31" t="inlineStr"/>
      <c r="F43" s="31" t="inlineStr"/>
      <c r="G43" s="32">
        <f>IF(D43="O",IFERROR(IF(AND(E43&lt;&gt;"",F43&lt;&gt;""),(IF(E43="S",5,IF(E43="A",4,IF(E43="B",3,IF(E43="C",2,IF(E43="D",1,0)))))+IF(F43="S",5,IF(F43="A",4,IF(F43="B",3,IF(F43="C",2,IF(F43="D",1,0))))))/2,IF(E43&lt;&gt;"",IF(E43="S",5,IF(E43="A",4,IF(E43="B",3,IF(E43="C",2,IF(E43="D",1,0))))),IF(F43&lt;&gt;"",IF(F43="S",5,IF(F43="A",4,IF(F43="B",3,IF(F43="C",2,IF(F43="D",1,0))))),""))),""),"")</f>
        <v/>
      </c>
    </row>
    <row r="44" ht="22" customHeight="1">
      <c r="A44" s="35" t="inlineStr">
        <is>
          <t>J-3</t>
        </is>
      </c>
      <c r="B44" s="40" t="inlineStr">
        <is>
          <t>영업기획</t>
        </is>
      </c>
      <c r="C44" s="41" t="inlineStr">
        <is>
          <t>계약 협상</t>
        </is>
      </c>
      <c r="D44" s="31" t="inlineStr"/>
      <c r="E44" s="31" t="inlineStr"/>
      <c r="F44" s="31" t="inlineStr"/>
      <c r="G44" s="32">
        <f>IF(D44="O",IFERROR(IF(AND(E44&lt;&gt;"",F44&lt;&gt;""),(IF(E44="S",5,IF(E44="A",4,IF(E44="B",3,IF(E44="C",2,IF(E44="D",1,0)))))+IF(F44="S",5,IF(F44="A",4,IF(F44="B",3,IF(F44="C",2,IF(F44="D",1,0))))))/2,IF(E44&lt;&gt;"",IF(E44="S",5,IF(E44="A",4,IF(E44="B",3,IF(E44="C",2,IF(E44="D",1,0))))),IF(F44&lt;&gt;"",IF(F44="S",5,IF(F44="A",4,IF(F44="B",3,IF(F44="C",2,IF(F44="D",1,0))))),""))),""),"")</f>
        <v/>
      </c>
    </row>
    <row r="45" ht="22" customHeight="1">
      <c r="A45" s="35" t="inlineStr">
        <is>
          <t>J-4</t>
        </is>
      </c>
      <c r="B45" s="40" t="inlineStr">
        <is>
          <t>고객관리</t>
        </is>
      </c>
      <c r="C45" s="41" t="inlineStr">
        <is>
          <t>기존 고객 관리</t>
        </is>
      </c>
      <c r="D45" s="31" t="inlineStr"/>
      <c r="E45" s="31" t="inlineStr"/>
      <c r="F45" s="31" t="inlineStr"/>
      <c r="G45" s="32">
        <f>IF(D45="O",IFERROR(IF(AND(E45&lt;&gt;"",F45&lt;&gt;""),(IF(E45="S",5,IF(E45="A",4,IF(E45="B",3,IF(E45="C",2,IF(E45="D",1,0)))))+IF(F45="S",5,IF(F45="A",4,IF(F45="B",3,IF(F45="C",2,IF(F45="D",1,0))))))/2,IF(E45&lt;&gt;"",IF(E45="S",5,IF(E45="A",4,IF(E45="B",3,IF(E45="C",2,IF(E45="D",1,0))))),IF(F45&lt;&gt;"",IF(F45="S",5,IF(F45="A",4,IF(F45="B",3,IF(F45="C",2,IF(F45="D",1,0))))),""))),""),"")</f>
        <v/>
      </c>
    </row>
    <row r="46" ht="22" customHeight="1">
      <c r="A46" s="35" t="inlineStr">
        <is>
          <t>J-5</t>
        </is>
      </c>
      <c r="B46" s="40" t="inlineStr">
        <is>
          <t>고객관리</t>
        </is>
      </c>
      <c r="C46" s="41" t="inlineStr">
        <is>
          <t>신규 고객 개발</t>
        </is>
      </c>
      <c r="D46" s="31" t="inlineStr"/>
      <c r="E46" s="31" t="inlineStr"/>
      <c r="F46" s="31" t="inlineStr"/>
      <c r="G46" s="32">
        <f>IF(D46="O",IFERROR(IF(AND(E46&lt;&gt;"",F46&lt;&gt;""),(IF(E46="S",5,IF(E46="A",4,IF(E46="B",3,IF(E46="C",2,IF(E46="D",1,0)))))+IF(F46="S",5,IF(F46="A",4,IF(F46="B",3,IF(F46="C",2,IF(F46="D",1,0))))))/2,IF(E46&lt;&gt;"",IF(E46="S",5,IF(E46="A",4,IF(E46="B",3,IF(E46="C",2,IF(E46="D",1,0))))),IF(F46&lt;&gt;"",IF(F46="S",5,IF(F46="A",4,IF(F46="B",3,IF(F46="C",2,IF(F46="D",1,0))))),""))),""),"")</f>
        <v/>
      </c>
    </row>
    <row r="47" ht="22" customHeight="1">
      <c r="A47" s="35" t="inlineStr">
        <is>
          <t>J-6</t>
        </is>
      </c>
      <c r="B47" s="40" t="inlineStr">
        <is>
          <t>프로젝트 영업</t>
        </is>
      </c>
      <c r="C47" s="41" t="inlineStr">
        <is>
          <t>프로젝트 발굴 및 수주</t>
        </is>
      </c>
      <c r="D47" s="31" t="inlineStr"/>
      <c r="E47" s="31" t="inlineStr"/>
      <c r="F47" s="31" t="inlineStr"/>
      <c r="G47" s="32">
        <f>IF(D47="O",IFERROR(IF(AND(E47&lt;&gt;"",F47&lt;&gt;""),(IF(E47="S",5,IF(E47="A",4,IF(E47="B",3,IF(E47="C",2,IF(E47="D",1,0)))))+IF(F47="S",5,IF(F47="A",4,IF(F47="B",3,IF(F47="C",2,IF(F47="D",1,0))))))/2,IF(E47&lt;&gt;"",IF(E47="S",5,IF(E47="A",4,IF(E47="B",3,IF(E47="C",2,IF(E47="D",1,0))))),IF(F47&lt;&gt;"",IF(F47="S",5,IF(F47="A",4,IF(F47="B",3,IF(F47="C",2,IF(F47="D",1,0))))),""))),""),"")</f>
        <v/>
      </c>
    </row>
    <row r="48" ht="22" customHeight="1">
      <c r="A48" s="35" t="inlineStr">
        <is>
          <t>J-7</t>
        </is>
      </c>
      <c r="B48" s="40" t="inlineStr">
        <is>
          <t>프로젝트 영업</t>
        </is>
      </c>
      <c r="C48" s="41" t="inlineStr">
        <is>
          <t>계약 후 사후관리</t>
        </is>
      </c>
      <c r="D48" s="31" t="inlineStr"/>
      <c r="E48" s="31" t="inlineStr"/>
      <c r="F48" s="31" t="inlineStr"/>
      <c r="G48" s="32">
        <f>IF(D48="O",IFERROR(IF(AND(E48&lt;&gt;"",F48&lt;&gt;""),(IF(E48="S",5,IF(E48="A",4,IF(E48="B",3,IF(E48="C",2,IF(E48="D",1,0)))))+IF(F48="S",5,IF(F48="A",4,IF(F48="B",3,IF(F48="C",2,IF(F48="D",1,0))))))/2,IF(E48&lt;&gt;"",IF(E48="S",5,IF(E48="A",4,IF(E48="B",3,IF(E48="C",2,IF(E48="D",1,0))))),IF(F48&lt;&gt;"",IF(F48="S",5,IF(F48="A",4,IF(F48="B",3,IF(F48="C",2,IF(F48="D",1,0))))),""))),""),"")</f>
        <v/>
      </c>
    </row>
    <row r="50" ht="24" customHeight="1">
      <c r="A50" s="42" t="inlineStr">
        <is>
          <t>1차 평가자 직무 종합 (메인 책무 평균)</t>
        </is>
      </c>
      <c r="E50" s="34">
        <f>IFERROR(SUMPRODUCT((D42:D48="O")*IFERROR(IF(E42:E48="S",5,IF(E42:E48="A",4,IF(E42:E48="B",3,IF(E42:E48="C",2,IF(E42:E48="D",1,0))))),0))/COUNTIF(D42:D48,"O"),"")</f>
        <v/>
      </c>
      <c r="F50" s="36">
        <f>IF(E50="","",IF(E50&gt;=4.5,"S",IF(E50&gt;=3.5,"A",IF(E50&gt;=2.5,"B",IF(E50&gt;=1.5,"C","D")))))</f>
        <v/>
      </c>
    </row>
    <row r="51" ht="24" customHeight="1">
      <c r="A51" s="42" t="inlineStr">
        <is>
          <t>2차 평가자 직무 종합</t>
        </is>
      </c>
      <c r="E51" s="34">
        <f>IFERROR(SUMPRODUCT((D42:D48="O")*IFERROR(IF(F42:F48="S",5,IF(F42:F48="A",4,IF(F42:F48="B",3,IF(F42:F48="C",2,IF(F42:F48="D",1,0))))),0))/COUNTIF(D42:D48,"O"),"")</f>
        <v/>
      </c>
      <c r="F51" s="36">
        <f>IF(E51="","",IF(E51&gt;=4.5,"S",IF(E51&gt;=3.5,"A",IF(E51&gt;=2.5,"B",IF(E51&gt;=1.5,"C","D")))))</f>
        <v/>
      </c>
    </row>
    <row r="54" ht="32" customHeight="1">
      <c r="A54" s="43" t="inlineStr">
        <is>
          <t>▶ 통합관리시트 입력 행 (아래 한 줄 A~G 7개 셀 통째 복사 → 통합시트 07a/07b 해당 사번 행 G~M에 [값 붙여넣기])</t>
        </is>
      </c>
    </row>
    <row r="55" ht="28" customHeight="1">
      <c r="A55" s="44" t="inlineStr">
        <is>
          <t>역할(1차)</t>
        </is>
      </c>
      <c r="B55" s="44" t="inlineStr">
        <is>
          <t>역할(2차)</t>
        </is>
      </c>
      <c r="C55" s="44" t="inlineStr">
        <is>
          <t>공통(1차)</t>
        </is>
      </c>
      <c r="D55" s="44" t="inlineStr">
        <is>
          <t>공통(2차)</t>
        </is>
      </c>
      <c r="E55" s="44" t="inlineStr">
        <is>
          <t>직무(1차)</t>
        </is>
      </c>
      <c r="F55" s="44" t="inlineStr">
        <is>
          <t>직무(2차)</t>
        </is>
      </c>
      <c r="G55" s="44" t="inlineStr">
        <is>
          <t>소견</t>
        </is>
      </c>
    </row>
    <row r="56" ht="36" customHeight="1">
      <c r="A56" s="45">
        <f>G21</f>
        <v/>
      </c>
      <c r="B56" s="45">
        <f>G22</f>
        <v/>
      </c>
      <c r="C56" s="45">
        <f>H37</f>
        <v/>
      </c>
      <c r="D56" s="45">
        <f>H38</f>
        <v/>
      </c>
      <c r="E56" s="45">
        <f>F50</f>
        <v/>
      </c>
      <c r="F56" s="45">
        <f>F51</f>
        <v/>
      </c>
      <c r="G56" s="46" t="inlineStr"/>
    </row>
    <row r="57" ht="26" customHeight="1">
      <c r="A57" s="47" t="inlineStr">
        <is>
          <t>사용법: 위 한 줄 A~G 선택 → Ctrl+C → 통합시트 07a/07b 해당 사번 행 G~M에 [선택하여 붙여넣기 → 값]</t>
        </is>
      </c>
    </row>
    <row r="59" ht="24" customHeight="1">
      <c r="A59" s="3" t="inlineStr">
        <is>
          <t>▶ 종합 소견</t>
        </is>
      </c>
    </row>
    <row r="60" ht="40" customHeight="1">
      <c r="A60" s="21" t="inlineStr">
        <is>
          <t>강점</t>
        </is>
      </c>
      <c r="B60" s="48" t="inlineStr"/>
    </row>
    <row r="61" ht="40" customHeight="1">
      <c r="A61" s="21" t="inlineStr">
        <is>
          <t>개선</t>
        </is>
      </c>
      <c r="B61" s="48" t="inlineStr"/>
    </row>
    <row r="62" ht="40" customHeight="1">
      <c r="A62" s="21" t="inlineStr">
        <is>
          <t>육성 방향</t>
        </is>
      </c>
      <c r="B62" s="48" t="inlineStr"/>
    </row>
  </sheetData>
  <mergeCells count="23">
    <mergeCell ref="A7:I7"/>
    <mergeCell ref="B62:I62"/>
    <mergeCell ref="F9:I9"/>
    <mergeCell ref="A22:D22"/>
    <mergeCell ref="A2:I2"/>
    <mergeCell ref="B14:I14"/>
    <mergeCell ref="A37:E37"/>
    <mergeCell ref="B60:I60"/>
    <mergeCell ref="A51:D51"/>
    <mergeCell ref="B61:I61"/>
    <mergeCell ref="A4:I4"/>
    <mergeCell ref="F10:I10"/>
    <mergeCell ref="A13:I13"/>
    <mergeCell ref="A40:I40"/>
    <mergeCell ref="A54:G54"/>
    <mergeCell ref="A24:I24"/>
    <mergeCell ref="A59:I59"/>
    <mergeCell ref="A38:E38"/>
    <mergeCell ref="F8:I8"/>
    <mergeCell ref="A50:D50"/>
    <mergeCell ref="A21:D21"/>
    <mergeCell ref="A1:I1"/>
    <mergeCell ref="A57:G57"/>
  </mergeCells>
  <conditionalFormatting sqref="A56:G56">
    <cfRule type="cellIs" priority="1" operator="equal" dxfId="0">
      <formula>"S"</formula>
    </cfRule>
    <cfRule type="cellIs" priority="2" operator="equal" dxfId="1">
      <formula>"A"</formula>
    </cfRule>
    <cfRule type="cellIs" priority="3" operator="equal" dxfId="2">
      <formula>"C"</formula>
    </cfRule>
    <cfRule type="cellIs" priority="4" operator="equal" dxfId="3">
      <formula>"D"</formula>
    </cfRule>
  </conditionalFormatting>
  <dataValidations count="5">
    <dataValidation sqref="B11" showDropDown="0" showInputMessage="0" showErrorMessage="0" allowBlank="0" type="list">
      <formula1>"상반기,하반기"</formula1>
    </dataValidation>
    <dataValidation sqref="E16:F20" showDropDown="0" showInputMessage="0" showErrorMessage="0" allowBlank="1" type="list">
      <formula1>"S,A,B,C,D"</formula1>
    </dataValidation>
    <dataValidation sqref="F26:G36" showDropDown="0" showInputMessage="0" showErrorMessage="0" allowBlank="1" type="list">
      <formula1>"S,A,B,C,D"</formula1>
    </dataValidation>
    <dataValidation sqref="D42:D48" showDropDown="0" showInputMessage="0" showErrorMessage="0" allowBlank="1" type="list">
      <formula1>"O,X"</formula1>
    </dataValidation>
    <dataValidation sqref="E42:F48" showDropDown="0" showInputMessage="0" showErrorMessage="0" allowBlank="1" type="list">
      <formula1>"S,A,B,C,D"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70AD47"/>
    <outlinePr summaryBelow="1" summaryRight="1"/>
    <pageSetUpPr/>
  </sheetPr>
  <dimension ref="A1:I62"/>
  <sheetViews>
    <sheetView workbookViewId="0">
      <selection activeCell="A1" sqref="A1"/>
    </sheetView>
  </sheetViews>
  <sheetFormatPr baseColWidth="8" defaultRowHeight="15"/>
  <cols>
    <col width="6" customWidth="1" min="1" max="1"/>
    <col width="11" customWidth="1" min="2" max="2"/>
    <col width="22" customWidth="1" min="3" max="3"/>
    <col width="30" customWidth="1" min="4" max="4"/>
    <col width="32" customWidth="1" min="5" max="5"/>
    <col width="11" customWidth="1" min="6" max="6"/>
    <col width="11" customWidth="1" min="7" max="7"/>
    <col width="12" customWidth="1" min="8" max="8"/>
    <col width="12" customWidth="1" min="9" max="9"/>
  </cols>
  <sheetData>
    <row r="1" ht="30" customHeight="1">
      <c r="A1" s="1" t="inlineStr">
        <is>
          <t>성과평가지 양식 - 프로젝트영업 / G1 (실무 보조)</t>
        </is>
      </c>
    </row>
    <row r="2" ht="22" customHeight="1">
      <c r="A2" s="2" t="inlineStr">
        <is>
          <t>1·2차 평가자가 등급(S/A/B/C/D)만 입력. 가중치는 통합관리시트에서 자동 처리.</t>
        </is>
      </c>
    </row>
    <row r="4" ht="24" customHeight="1">
      <c r="A4" s="3" t="inlineStr">
        <is>
          <t>▶ 평가 대상자 정보 (주황셀에 입력)</t>
        </is>
      </c>
    </row>
    <row r="5" ht="22" customHeight="1">
      <c r="A5" s="18" t="inlineStr">
        <is>
          <t>사번</t>
        </is>
      </c>
      <c r="B5" s="19" t="inlineStr"/>
      <c r="C5" s="18" t="inlineStr">
        <is>
          <t>성명</t>
        </is>
      </c>
      <c r="D5" s="19" t="inlineStr"/>
      <c r="E5" s="18" t="inlineStr">
        <is>
          <t>직군</t>
        </is>
      </c>
      <c r="F5" s="19" t="inlineStr"/>
      <c r="G5" s="18" t="inlineStr">
        <is>
          <t>부서</t>
        </is>
      </c>
      <c r="H5" s="19" t="inlineStr"/>
    </row>
    <row r="6" ht="22" customHeight="1">
      <c r="A6" s="18" t="inlineStr">
        <is>
          <t>기존직급</t>
        </is>
      </c>
      <c r="B6" s="19" t="inlineStr"/>
      <c r="C6" s="18" t="inlineStr">
        <is>
          <t>직무</t>
        </is>
      </c>
      <c r="D6" s="20" t="inlineStr">
        <is>
          <t>프로젝트영업</t>
        </is>
      </c>
      <c r="E6" s="18" t="inlineStr">
        <is>
          <t>역할등급</t>
        </is>
      </c>
      <c r="F6" s="20" t="inlineStr">
        <is>
          <t>G1</t>
        </is>
      </c>
      <c r="G6" s="18" t="inlineStr">
        <is>
          <t>역할명</t>
        </is>
      </c>
      <c r="H6" s="20" t="inlineStr">
        <is>
          <t>실무 보조</t>
        </is>
      </c>
    </row>
    <row r="7" ht="24" customHeight="1">
      <c r="A7" s="3" t="inlineStr">
        <is>
          <t>▶ 평가자 정보 (주황셀에 입력)</t>
        </is>
      </c>
    </row>
    <row r="8" ht="24" customHeight="1">
      <c r="A8" s="15" t="inlineStr">
        <is>
          <t>구분</t>
        </is>
      </c>
      <c r="B8" s="15" t="inlineStr">
        <is>
          <t>사번</t>
        </is>
      </c>
      <c r="C8" s="15" t="inlineStr">
        <is>
          <t>성명</t>
        </is>
      </c>
      <c r="D8" s="15" t="inlineStr">
        <is>
          <t>직책</t>
        </is>
      </c>
      <c r="E8" s="15" t="inlineStr">
        <is>
          <t>부서</t>
        </is>
      </c>
      <c r="F8" s="15" t="inlineStr">
        <is>
          <t>이메일</t>
        </is>
      </c>
    </row>
    <row r="9" ht="24" customHeight="1">
      <c r="A9" s="21" t="inlineStr">
        <is>
          <t>1차 평가자 (직속상사)</t>
        </is>
      </c>
      <c r="B9" s="22" t="inlineStr"/>
      <c r="C9" s="22" t="inlineStr"/>
      <c r="D9" s="22" t="inlineStr"/>
      <c r="E9" s="22" t="inlineStr"/>
      <c r="F9" s="23" t="inlineStr"/>
    </row>
    <row r="10" ht="24" customHeight="1">
      <c r="A10" s="21" t="inlineStr">
        <is>
          <t>2차 평가자 (조정자)</t>
        </is>
      </c>
      <c r="B10" s="22" t="inlineStr"/>
      <c r="C10" s="22" t="inlineStr"/>
      <c r="D10" s="22" t="inlineStr"/>
      <c r="E10" s="22" t="inlineStr"/>
      <c r="F10" s="23" t="inlineStr"/>
    </row>
    <row r="11" ht="24" customHeight="1">
      <c r="A11" s="21" t="inlineStr">
        <is>
          <t>평가 차수</t>
        </is>
      </c>
      <c r="B11" s="24" t="inlineStr">
        <is>
          <t>상반기</t>
        </is>
      </c>
      <c r="C11" s="21" t="inlineStr">
        <is>
          <t>평가 완료일</t>
        </is>
      </c>
      <c r="D11" s="22" t="inlineStr"/>
    </row>
    <row r="13" ht="26" customHeight="1">
      <c r="A13" s="25" t="inlineStr">
        <is>
          <t>▶ ① 역할평가 — 5개 BARS 항목</t>
        </is>
      </c>
    </row>
    <row r="14" ht="38" customHeight="1">
      <c r="A14" s="26" t="inlineStr">
        <is>
          <t>역할 정의</t>
        </is>
      </c>
      <c r="B14" s="27" t="inlineStr">
        <is>
          <t>실무 이해와 기술·지식을 습득하며 프로젝트 진행 과정의 기본 과업을 보조.</t>
        </is>
      </c>
    </row>
    <row r="15" ht="28" customHeight="1">
      <c r="A15" s="28" t="inlineStr">
        <is>
          <t>No.</t>
        </is>
      </c>
      <c r="B15" s="28" t="inlineStr">
        <is>
          <t>평가항목</t>
        </is>
      </c>
      <c r="C15" s="28" t="inlineStr">
        <is>
          <t>평가 기준</t>
        </is>
      </c>
      <c r="D15" s="28" t="inlineStr">
        <is>
          <t>S/A/B/C/D 등급 기준</t>
        </is>
      </c>
      <c r="E15" s="28" t="inlineStr">
        <is>
          <t>1차</t>
        </is>
      </c>
      <c r="F15" s="28" t="inlineStr">
        <is>
          <t>2차</t>
        </is>
      </c>
      <c r="G15" s="28" t="inlineStr">
        <is>
          <t>평균(참고)</t>
        </is>
      </c>
    </row>
    <row r="16" ht="90" customHeight="1">
      <c r="A16" s="26" t="inlineStr">
        <is>
          <t>R-1</t>
        </is>
      </c>
      <c r="B16" s="17" t="inlineStr">
        <is>
          <t>책임범위 이행도</t>
        </is>
      </c>
      <c r="C16" s="29" t="inlineStr">
        <is>
          <t>역할등급에 부합하는 책임 범위 내 업무 수행</t>
        </is>
      </c>
      <c r="D16" s="30" t="inlineStr">
        <is>
          <t>S  기대 현저히 초과
A  기대 상회
B  기대 부합
C  부분 미흡
D  전반 미흡</t>
        </is>
      </c>
      <c r="E16" s="31" t="inlineStr"/>
      <c r="F16" s="31" t="inlineStr"/>
      <c r="G16" s="32">
        <f>IFERROR(IF(AND(E16&lt;&gt;"",F16&lt;&gt;""),(IF(E16="S",5,IF(E16="A",4,IF(E16="B",3,IF(E16="C",2,IF(E16="D",1,0)))))+IF(F16="S",5,IF(F16="A",4,IF(F16="B",3,IF(F16="C",2,IF(F16="D",1,0))))))/2,IF(E16&lt;&gt;"",IF(E16="S",5,IF(E16="A",4,IF(E16="B",3,IF(E16="C",2,IF(E16="D",1,0))))),IF(F16&lt;&gt;"",IF(F16="S",5,IF(F16="A",4,IF(F16="B",3,IF(F16="C",2,IF(F16="D",1,0))))),""))),"")</f>
        <v/>
      </c>
    </row>
    <row r="17" ht="90" customHeight="1">
      <c r="A17" s="26" t="inlineStr">
        <is>
          <t>R-2</t>
        </is>
      </c>
      <c r="B17" s="17" t="inlineStr">
        <is>
          <t>의사결정 적절성</t>
        </is>
      </c>
      <c r="C17" s="29" t="inlineStr">
        <is>
          <t>권한 수준 내 시의적절·합리적 의사결정</t>
        </is>
      </c>
      <c r="D17" s="30" t="inlineStr">
        <is>
          <t>S  기대 현저히 초과
A  기대 상회
B  기대 부합
C  부분 미흡
D  전반 미흡</t>
        </is>
      </c>
      <c r="E17" s="31" t="inlineStr"/>
      <c r="F17" s="31" t="inlineStr"/>
      <c r="G17" s="32">
        <f>IFERROR(IF(AND(E17&lt;&gt;"",F17&lt;&gt;""),(IF(E17="S",5,IF(E17="A",4,IF(E17="B",3,IF(E17="C",2,IF(E17="D",1,0)))))+IF(F17="S",5,IF(F17="A",4,IF(F17="B",3,IF(F17="C",2,IF(F17="D",1,0))))))/2,IF(E17&lt;&gt;"",IF(E17="S",5,IF(E17="A",4,IF(E17="B",3,IF(E17="C",2,IF(E17="D",1,0))))),IF(F17&lt;&gt;"",IF(F17="S",5,IF(F17="A",4,IF(F17="B",3,IF(F17="C",2,IF(F17="D",1,0))))),""))),"")</f>
        <v/>
      </c>
    </row>
    <row r="18" ht="90" customHeight="1">
      <c r="A18" s="26" t="inlineStr">
        <is>
          <t>R-3</t>
        </is>
      </c>
      <c r="B18" s="17" t="inlineStr">
        <is>
          <t>성과 기여도</t>
        </is>
      </c>
      <c r="C18" s="29" t="inlineStr">
        <is>
          <t>조직·프로젝트 목표 달성에 정량적 기여</t>
        </is>
      </c>
      <c r="D18" s="30" t="inlineStr">
        <is>
          <t>S  기대 현저히 초과
A  기대 상회
B  기대 부합
C  부분 미흡
D  전반 미흡</t>
        </is>
      </c>
      <c r="E18" s="31" t="inlineStr"/>
      <c r="F18" s="31" t="inlineStr"/>
      <c r="G18" s="32">
        <f>IFERROR(IF(AND(E18&lt;&gt;"",F18&lt;&gt;""),(IF(E18="S",5,IF(E18="A",4,IF(E18="B",3,IF(E18="C",2,IF(E18="D",1,0)))))+IF(F18="S",5,IF(F18="A",4,IF(F18="B",3,IF(F18="C",2,IF(F18="D",1,0))))))/2,IF(E18&lt;&gt;"",IF(E18="S",5,IF(E18="A",4,IF(E18="B",3,IF(E18="C",2,IF(E18="D",1,0))))),IF(F18&lt;&gt;"",IF(F18="S",5,IF(F18="A",4,IF(F18="B",3,IF(F18="C",2,IF(F18="D",1,0))))),""))),"")</f>
        <v/>
      </c>
    </row>
    <row r="19" ht="90" customHeight="1">
      <c r="A19" s="26" t="inlineStr">
        <is>
          <t>R-4</t>
        </is>
      </c>
      <c r="B19" s="17" t="inlineStr">
        <is>
          <t>조직 후배 코칭</t>
        </is>
      </c>
      <c r="C19" s="29" t="inlineStr">
        <is>
          <t>상·하위 역할과 효과적 협업 및 후배 코칭</t>
        </is>
      </c>
      <c r="D19" s="30" t="inlineStr">
        <is>
          <t>S  기대 현저히 초과
A  기대 상회
B  기대 부합
C  부분 미흡
D  전반 미흡</t>
        </is>
      </c>
      <c r="E19" s="31" t="inlineStr"/>
      <c r="F19" s="31" t="inlineStr"/>
      <c r="G19" s="32">
        <f>IFERROR(IF(AND(E19&lt;&gt;"",F19&lt;&gt;""),(IF(E19="S",5,IF(E19="A",4,IF(E19="B",3,IF(E19="C",2,IF(E19="D",1,0)))))+IF(F19="S",5,IF(F19="A",4,IF(F19="B",3,IF(F19="C",2,IF(F19="D",1,0))))))/2,IF(E19&lt;&gt;"",IF(E19="S",5,IF(E19="A",4,IF(E19="B",3,IF(E19="C",2,IF(E19="D",1,0))))),IF(F19&lt;&gt;"",IF(F19="S",5,IF(F19="A",4,IF(F19="B",3,IF(F19="C",2,IF(F19="D",1,0))))),""))),"")</f>
        <v/>
      </c>
    </row>
    <row r="20" ht="90" customHeight="1">
      <c r="A20" s="26" t="inlineStr">
        <is>
          <t>R-5</t>
        </is>
      </c>
      <c r="B20" s="17" t="inlineStr">
        <is>
          <t>산출물 완성도</t>
        </is>
      </c>
      <c r="C20" s="29" t="inlineStr">
        <is>
          <t>산출물 품질과 기한 준수</t>
        </is>
      </c>
      <c r="D20" s="30" t="inlineStr">
        <is>
          <t>S  기대 현저히 초과
A  기대 상회
B  기대 부합
C  부분 미흡
D  전반 미흡</t>
        </is>
      </c>
      <c r="E20" s="31" t="inlineStr"/>
      <c r="F20" s="31" t="inlineStr"/>
      <c r="G20" s="32">
        <f>IFERROR(IF(AND(E20&lt;&gt;"",F20&lt;&gt;""),(IF(E20="S",5,IF(E20="A",4,IF(E20="B",3,IF(E20="C",2,IF(E20="D",1,0)))))+IF(F20="S",5,IF(F20="A",4,IF(F20="B",3,IF(F20="C",2,IF(F20="D",1,0))))))/2,IF(E20&lt;&gt;"",IF(E20="S",5,IF(E20="A",4,IF(E20="B",3,IF(E20="C",2,IF(E20="D",1,0))))),IF(F20&lt;&gt;"",IF(F20="S",5,IF(F20="A",4,IF(F20="B",3,IF(F20="C",2,IF(F20="D",1,0))))),""))),"")</f>
        <v/>
      </c>
    </row>
    <row r="21" ht="24" customHeight="1">
      <c r="A21" s="33" t="inlineStr">
        <is>
          <t>1차 평가자 역할 종합 (5개 평균)</t>
        </is>
      </c>
      <c r="E21" s="34">
        <f>IFERROR((IF(E16="S",5,IF(E16="A",4,IF(E16="B",3,IF(E16="C",2,IF(E16="D",1,0)))))+IF(E17="S",5,IF(E17="A",4,IF(E17="B",3,IF(E17="C",2,IF(E17="D",1,0)))))+IF(E18="S",5,IF(E18="A",4,IF(E18="B",3,IF(E18="C",2,IF(E18="D",1,0)))))+IF(E19="S",5,IF(E19="A",4,IF(E19="B",3,IF(E19="C",2,IF(E19="D",1,0)))))+IF(E20="S",5,IF(E20="A",4,IF(E20="B",3,IF(E20="C",2,IF(E20="D",1,0))))))/5,"")</f>
        <v/>
      </c>
      <c r="F21" s="35" t="inlineStr">
        <is>
          <t>→ 등급</t>
        </is>
      </c>
      <c r="G21" s="36">
        <f>IF(E21="","",IF(E21&gt;=4.5,"S",IF(E21&gt;=3.5,"A",IF(E21&gt;=2.5,"B",IF(E21&gt;=1.5,"C","D")))))</f>
        <v/>
      </c>
    </row>
    <row r="22" ht="24" customHeight="1">
      <c r="A22" s="33" t="inlineStr">
        <is>
          <t>2차 평가자 역할 종합 (5개 평균)</t>
        </is>
      </c>
      <c r="E22" s="34">
        <f>IFERROR((IF(F16="S",5,IF(F16="A",4,IF(F16="B",3,IF(F16="C",2,IF(F16="D",1,0)))))+IF(F17="S",5,IF(F17="A",4,IF(F17="B",3,IF(F17="C",2,IF(F17="D",1,0)))))+IF(F18="S",5,IF(F18="A",4,IF(F18="B",3,IF(F18="C",2,IF(F18="D",1,0)))))+IF(F19="S",5,IF(F19="A",4,IF(F19="B",3,IF(F19="C",2,IF(F19="D",1,0)))))+IF(F20="S",5,IF(F20="A",4,IF(F20="B",3,IF(F20="C",2,IF(F20="D",1,0))))))/5,"")</f>
        <v/>
      </c>
      <c r="F22" s="35" t="inlineStr">
        <is>
          <t>→ 등급</t>
        </is>
      </c>
      <c r="G22" s="36">
        <f>IF(E22="","",IF(E22&gt;=4.5,"S",IF(E22&gt;=3.5,"A",IF(E22&gt;=2.5,"B",IF(E22&gt;=1.5,"C","D")))))</f>
        <v/>
      </c>
    </row>
    <row r="24" ht="26" customHeight="1">
      <c r="A24" s="37" t="inlineStr">
        <is>
          <t>▶ ② 공통역량평가 — 11개 (★ S/A/B/C/D 평가기준 포함)</t>
        </is>
      </c>
    </row>
    <row r="25" ht="28" customHeight="1">
      <c r="A25" s="28" t="inlineStr">
        <is>
          <t>No.</t>
        </is>
      </c>
      <c r="B25" s="28" t="inlineStr">
        <is>
          <t>역량군</t>
        </is>
      </c>
      <c r="C25" s="28" t="inlineStr">
        <is>
          <t>핵심 역량</t>
        </is>
      </c>
      <c r="D25" s="28" t="inlineStr">
        <is>
          <t>평가 기준</t>
        </is>
      </c>
      <c r="E25" s="28" t="inlineStr">
        <is>
          <t>S/A/B/C/D 등급 기준</t>
        </is>
      </c>
      <c r="F25" s="28" t="inlineStr">
        <is>
          <t>1차</t>
        </is>
      </c>
      <c r="G25" s="28" t="inlineStr">
        <is>
          <t>2차</t>
        </is>
      </c>
      <c r="H25" s="28" t="inlineStr">
        <is>
          <t>평균(참고)</t>
        </is>
      </c>
    </row>
    <row r="26" ht="100" customHeight="1">
      <c r="A26" s="2" t="inlineStr">
        <is>
          <t>C-1</t>
        </is>
      </c>
      <c r="B26" s="2" t="inlineStr">
        <is>
          <t>업무</t>
        </is>
      </c>
      <c r="C26" s="17" t="inlineStr">
        <is>
          <t>직무 전문성</t>
        </is>
      </c>
      <c r="D26" s="29" t="inlineStr">
        <is>
          <t>직무에 필요한 전문 지식 및 기술 보유, 실무 적용</t>
        </is>
      </c>
      <c r="E26" s="30" t="inlineStr">
        <is>
          <t>S  고급 지식과 숙련도, 타 부서 교육 가능
A  최신 트렌드 반영, 실무에 적절 활용
B  일반 수준 이해 및 적용
C  일부 기술 이해, 개선 필요
D  지식 부족, 실무 반영 어려움</t>
        </is>
      </c>
      <c r="F26" s="31" t="inlineStr"/>
      <c r="G26" s="31" t="inlineStr"/>
      <c r="H26" s="32">
        <f>IFERROR(IF(AND(F26&lt;&gt;"",G26&lt;&gt;""),(IF(F26="S",5,IF(F26="A",4,IF(F26="B",3,IF(F26="C",2,IF(F26="D",1,0)))))+IF(G26="S",5,IF(G26="A",4,IF(G26="B",3,IF(G26="C",2,IF(G26="D",1,0))))))/2,IF(F26&lt;&gt;"",IF(F26="S",5,IF(F26="A",4,IF(F26="B",3,IF(F26="C",2,IF(F26="D",1,0))))),IF(G26&lt;&gt;"",IF(G26="S",5,IF(G26="A",4,IF(G26="B",3,IF(G26="C",2,IF(G26="D",1,0))))),""))),"")</f>
        <v/>
      </c>
    </row>
    <row r="27" ht="100" customHeight="1">
      <c r="A27" s="2" t="inlineStr">
        <is>
          <t>C-2</t>
        </is>
      </c>
      <c r="B27" s="2" t="inlineStr">
        <is>
          <t>업무</t>
        </is>
      </c>
      <c r="C27" s="17" t="inlineStr">
        <is>
          <t>분석력</t>
        </is>
      </c>
      <c r="D27" s="29" t="inlineStr">
        <is>
          <t>데이터·수치 기반 사고로 업무 효율 향상</t>
        </is>
      </c>
      <c r="E27" s="30" t="inlineStr">
        <is>
          <t>S  데이터 기반 전략 도출 가능
A  분석 후 결과 활용 능숙
B  기본적 분석 및 간단한 적용 가능
C  기본 해석은 가능하나 활용 미흡
D  자료 해석 불가, 의사결정 어려움</t>
        </is>
      </c>
      <c r="F27" s="31" t="inlineStr"/>
      <c r="G27" s="31" t="inlineStr"/>
      <c r="H27" s="32">
        <f>IFERROR(IF(AND(F27&lt;&gt;"",G27&lt;&gt;""),(IF(F27="S",5,IF(F27="A",4,IF(F27="B",3,IF(F27="C",2,IF(F27="D",1,0)))))+IF(G27="S",5,IF(G27="A",4,IF(G27="B",3,IF(G27="C",2,IF(G27="D",1,0))))))/2,IF(F27&lt;&gt;"",IF(F27="S",5,IF(F27="A",4,IF(F27="B",3,IF(F27="C",2,IF(F27="D",1,0))))),IF(G27&lt;&gt;"",IF(G27="S",5,IF(G27="A",4,IF(G27="B",3,IF(G27="C",2,IF(G27="D",1,0))))),""))),"")</f>
        <v/>
      </c>
    </row>
    <row r="28" ht="100" customHeight="1">
      <c r="A28" s="2" t="inlineStr">
        <is>
          <t>C-3</t>
        </is>
      </c>
      <c r="B28" s="2" t="inlineStr">
        <is>
          <t>업무</t>
        </is>
      </c>
      <c r="C28" s="17" t="inlineStr">
        <is>
          <t>기획/실행력</t>
        </is>
      </c>
      <c r="D28" s="29" t="inlineStr">
        <is>
          <t>목표 설정·계획 수립·체계적 실행 능력</t>
        </is>
      </c>
      <c r="E28" s="30" t="inlineStr">
        <is>
          <t>S  스스로 목표 수립 및 조직 리딩 가능
A  계획 수립 능력 우수 및 실행 일관성
B  일반적 목표 수립 및 실현 가능
C  실행 계획 일부 있으나 체계 부족
D  목표 설정 부정확, 실행력 부족</t>
        </is>
      </c>
      <c r="F28" s="31" t="inlineStr"/>
      <c r="G28" s="31" t="inlineStr"/>
      <c r="H28" s="32">
        <f>IFERROR(IF(AND(F28&lt;&gt;"",G28&lt;&gt;""),(IF(F28="S",5,IF(F28="A",4,IF(F28="B",3,IF(F28="C",2,IF(F28="D",1,0)))))+IF(G28="S",5,IF(G28="A",4,IF(G28="B",3,IF(G28="C",2,IF(G28="D",1,0))))))/2,IF(F28&lt;&gt;"",IF(F28="S",5,IF(F28="A",4,IF(F28="B",3,IF(F28="C",2,IF(F28="D",1,0))))),IF(G28&lt;&gt;"",IF(G28="S",5,IF(G28="A",4,IF(G28="B",3,IF(G28="C",2,IF(G28="D",1,0))))),""))),"")</f>
        <v/>
      </c>
    </row>
    <row r="29" ht="100" customHeight="1">
      <c r="A29" s="2" t="inlineStr">
        <is>
          <t>C-4</t>
        </is>
      </c>
      <c r="B29" s="2" t="inlineStr">
        <is>
          <t>조직</t>
        </is>
      </c>
      <c r="C29" s="17" t="inlineStr">
        <is>
          <t>자원·시간 관리</t>
        </is>
      </c>
      <c r="D29" s="29" t="inlineStr">
        <is>
          <t>업무 우선순위 설정 및 시간 내 효과적 완수</t>
        </is>
      </c>
      <c r="E29" s="30" t="inlineStr">
        <is>
          <t>S  다중 과제 효율 배분, 시간관리 탁월
A  업무 효율성 높고 우선순위 명확
B  일반 수준 일정 조율 가능
C  마감 어려움, 우선순위 혼란
D  업무 지연 잦고 계획 없음</t>
        </is>
      </c>
      <c r="F29" s="31" t="inlineStr"/>
      <c r="G29" s="31" t="inlineStr"/>
      <c r="H29" s="32">
        <f>IFERROR(IF(AND(F29&lt;&gt;"",G29&lt;&gt;""),(IF(F29="S",5,IF(F29="A",4,IF(F29="B",3,IF(F29="C",2,IF(F29="D",1,0)))))+IF(G29="S",5,IF(G29="A",4,IF(G29="B",3,IF(G29="C",2,IF(G29="D",1,0))))))/2,IF(F29&lt;&gt;"",IF(F29="S",5,IF(F29="A",4,IF(F29="B",3,IF(F29="C",2,IF(F29="D",1,0))))),IF(G29&lt;&gt;"",IF(G29="S",5,IF(G29="A",4,IF(G29="B",3,IF(G29="C",2,IF(G29="D",1,0))))),""))),"")</f>
        <v/>
      </c>
    </row>
    <row r="30" ht="100" customHeight="1">
      <c r="A30" s="2" t="inlineStr">
        <is>
          <t>C-5</t>
        </is>
      </c>
      <c r="B30" s="2" t="inlineStr">
        <is>
          <t>조직</t>
        </is>
      </c>
      <c r="C30" s="17" t="inlineStr">
        <is>
          <t>협업 능력</t>
        </is>
      </c>
      <c r="D30" s="29" t="inlineStr">
        <is>
          <t>팀·타 부서와의 협업 태도, 정보 공유</t>
        </is>
      </c>
      <c r="E30" s="30" t="inlineStr">
        <is>
          <t>S  타 부서와의 시너지 창출
A  정보 공유, 원활한 협업
B  공동목표 수용 및 일부 협력
C  소극적 협조, 갈등 유발
D  협력 거부, 독단적 태도</t>
        </is>
      </c>
      <c r="F30" s="31" t="inlineStr"/>
      <c r="G30" s="31" t="inlineStr"/>
      <c r="H30" s="32">
        <f>IFERROR(IF(AND(F30&lt;&gt;"",G30&lt;&gt;""),(IF(F30="S",5,IF(F30="A",4,IF(F30="B",3,IF(F30="C",2,IF(F30="D",1,0)))))+IF(G30="S",5,IF(G30="A",4,IF(G30="B",3,IF(G30="C",2,IF(G30="D",1,0))))))/2,IF(F30&lt;&gt;"",IF(F30="S",5,IF(F30="A",4,IF(F30="B",3,IF(F30="C",2,IF(F30="D",1,0))))),IF(G30&lt;&gt;"",IF(G30="S",5,IF(G30="A",4,IF(G30="B",3,IF(G30="C",2,IF(G30="D",1,0))))),""))),"")</f>
        <v/>
      </c>
    </row>
    <row r="31" ht="100" customHeight="1">
      <c r="A31" s="2" t="inlineStr">
        <is>
          <t>C-6</t>
        </is>
      </c>
      <c r="B31" s="2" t="inlineStr">
        <is>
          <t>조직</t>
        </is>
      </c>
      <c r="C31" s="17" t="inlineStr">
        <is>
          <t>소통 능력</t>
        </is>
      </c>
      <c r="D31" s="29" t="inlineStr">
        <is>
          <t>명확한 의사 전달·경청·효과적 커뮤니케이션</t>
        </is>
      </c>
      <c r="E31" s="30" t="inlineStr">
        <is>
          <t>S  갈등 중재 및 공감능력 우수
A  정확한 의사 전달 및 경청
B  피드백 수용 및 전달 가능
C  소통 시 불편 유발
D  일방적 주장, 피드백 거부</t>
        </is>
      </c>
      <c r="F31" s="31" t="inlineStr"/>
      <c r="G31" s="31" t="inlineStr"/>
      <c r="H31" s="32">
        <f>IFERROR(IF(AND(F31&lt;&gt;"",G31&lt;&gt;""),(IF(F31="S",5,IF(F31="A",4,IF(F31="B",3,IF(F31="C",2,IF(F31="D",1,0)))))+IF(G31="S",5,IF(G31="A",4,IF(G31="B",3,IF(G31="C",2,IF(G31="D",1,0))))))/2,IF(F31&lt;&gt;"",IF(F31="S",5,IF(F31="A",4,IF(F31="B",3,IF(F31="C",2,IF(F31="D",1,0))))),IF(G31&lt;&gt;"",IF(G31="S",5,IF(G31="A",4,IF(G31="B",3,IF(G31="C",2,IF(G31="D",1,0))))),""))),"")</f>
        <v/>
      </c>
    </row>
    <row r="32" ht="100" customHeight="1">
      <c r="A32" s="2" t="inlineStr">
        <is>
          <t>C-7</t>
        </is>
      </c>
      <c r="B32" s="2" t="inlineStr">
        <is>
          <t>인성</t>
        </is>
      </c>
      <c r="C32" s="17" t="inlineStr">
        <is>
          <t>윤리/책임감</t>
        </is>
      </c>
      <c r="D32" s="29" t="inlineStr">
        <is>
          <t>공정·투명한 절차, 책임감 있는 업무</t>
        </is>
      </c>
      <c r="E32" s="30" t="inlineStr">
        <is>
          <t>S  모범적 자세, 조직문화 선도
A  조직 규범 내 성실 수행
B  기본 책임 수행
C  책임 회피 경향
D  무책임, 규정 무시</t>
        </is>
      </c>
      <c r="F32" s="31" t="inlineStr"/>
      <c r="G32" s="31" t="inlineStr"/>
      <c r="H32" s="32">
        <f>IFERROR(IF(AND(F32&lt;&gt;"",G32&lt;&gt;""),(IF(F32="S",5,IF(F32="A",4,IF(F32="B",3,IF(F32="C",2,IF(F32="D",1,0)))))+IF(G32="S",5,IF(G32="A",4,IF(G32="B",3,IF(G32="C",2,IF(G32="D",1,0))))))/2,IF(F32&lt;&gt;"",IF(F32="S",5,IF(F32="A",4,IF(F32="B",3,IF(F32="C",2,IF(F32="D",1,0))))),IF(G32&lt;&gt;"",IF(G32="S",5,IF(G32="A",4,IF(G32="B",3,IF(G32="C",2,IF(G32="D",1,0))))),""))),"")</f>
        <v/>
      </c>
    </row>
    <row r="33" ht="100" customHeight="1">
      <c r="A33" s="2" t="inlineStr">
        <is>
          <t>C-8</t>
        </is>
      </c>
      <c r="B33" s="2" t="inlineStr">
        <is>
          <t>인성</t>
        </is>
      </c>
      <c r="C33" s="17" t="inlineStr">
        <is>
          <t>업무 태도</t>
        </is>
      </c>
      <c r="D33" s="29" t="inlineStr">
        <is>
          <t>성실·주도적 태도, 변화 유연성</t>
        </is>
      </c>
      <c r="E33" s="30" t="inlineStr">
        <is>
          <t>S  문제 해결 중심의 선도적 자세
A  책임감, 적극적 태도
B  일정 주도성 보임
C  소극적, 피동적 태도
D  수동적, 지시 없이는 행동 안 함</t>
        </is>
      </c>
      <c r="F33" s="31" t="inlineStr"/>
      <c r="G33" s="31" t="inlineStr"/>
      <c r="H33" s="32">
        <f>IFERROR(IF(AND(F33&lt;&gt;"",G33&lt;&gt;""),(IF(F33="S",5,IF(F33="A",4,IF(F33="B",3,IF(F33="C",2,IF(F33="D",1,0)))))+IF(G33="S",5,IF(G33="A",4,IF(G33="B",3,IF(G33="C",2,IF(G33="D",1,0))))))/2,IF(F33&lt;&gt;"",IF(F33="S",5,IF(F33="A",4,IF(F33="B",3,IF(F33="C",2,IF(F33="D",1,0))))),IF(G33&lt;&gt;"",IF(G33="S",5,IF(G33="A",4,IF(G33="B",3,IF(G33="C",2,IF(G33="D",1,0))))),""))),"")</f>
        <v/>
      </c>
    </row>
    <row r="34" ht="100" customHeight="1">
      <c r="A34" s="2" t="inlineStr">
        <is>
          <t>C-9</t>
        </is>
      </c>
      <c r="B34" s="2" t="inlineStr">
        <is>
          <t>미래</t>
        </is>
      </c>
      <c r="C34" s="17" t="inlineStr">
        <is>
          <t>혁신 역량</t>
        </is>
      </c>
      <c r="D34" s="29" t="inlineStr">
        <is>
          <t>AI·자동화 등 최신 기술의 실무 접목</t>
        </is>
      </c>
      <c r="E34" s="30" t="inlineStr">
        <is>
          <t>S  혁신적 아이디어 제시 및 실현
A  적극 활용하여 효율성 제고
B  일상적 업무에 도구 활용
C  부분적 기능 사용
D  기술 활용 거의 없음</t>
        </is>
      </c>
      <c r="F34" s="31" t="inlineStr"/>
      <c r="G34" s="31" t="inlineStr"/>
      <c r="H34" s="32">
        <f>IFERROR(IF(AND(F34&lt;&gt;"",G34&lt;&gt;""),(IF(F34="S",5,IF(F34="A",4,IF(F34="B",3,IF(F34="C",2,IF(F34="D",1,0)))))+IF(G34="S",5,IF(G34="A",4,IF(G34="B",3,IF(G34="C",2,IF(G34="D",1,0))))))/2,IF(F34&lt;&gt;"",IF(F34="S",5,IF(F34="A",4,IF(F34="B",3,IF(F34="C",2,IF(F34="D",1,0))))),IF(G34&lt;&gt;"",IF(G34="S",5,IF(G34="A",4,IF(G34="B",3,IF(G34="C",2,IF(G34="D",1,0))))),""))),"")</f>
        <v/>
      </c>
    </row>
    <row r="35" ht="100" customHeight="1">
      <c r="A35" s="2" t="inlineStr">
        <is>
          <t>C-10</t>
        </is>
      </c>
      <c r="B35" s="2" t="inlineStr">
        <is>
          <t>미래</t>
        </is>
      </c>
      <c r="C35" s="17" t="inlineStr">
        <is>
          <t>프로세스 개선</t>
        </is>
      </c>
      <c r="D35" s="29" t="inlineStr">
        <is>
          <t>업무 절차 분석 및 비효율 개선</t>
        </is>
      </c>
      <c r="E35" s="30" t="inlineStr">
        <is>
          <t>S  제안 실행까지 주도함
A  능동적 개선 제안
B  개선의 필요성 인식
C  타인이 해야 할 일로 인식
D  개선 의지 없음</t>
        </is>
      </c>
      <c r="F35" s="31" t="inlineStr"/>
      <c r="G35" s="31" t="inlineStr"/>
      <c r="H35" s="32">
        <f>IFERROR(IF(AND(F35&lt;&gt;"",G35&lt;&gt;""),(IF(F35="S",5,IF(F35="A",4,IF(F35="B",3,IF(F35="C",2,IF(F35="D",1,0)))))+IF(G35="S",5,IF(G35="A",4,IF(G35="B",3,IF(G35="C",2,IF(G35="D",1,0))))))/2,IF(F35&lt;&gt;"",IF(F35="S",5,IF(F35="A",4,IF(F35="B",3,IF(F35="C",2,IF(F35="D",1,0))))),IF(G35&lt;&gt;"",IF(G35="S",5,IF(G35="A",4,IF(G35="B",3,IF(G35="C",2,IF(G35="D",1,0))))),""))),"")</f>
        <v/>
      </c>
    </row>
    <row r="36" ht="100" customHeight="1">
      <c r="A36" s="2" t="inlineStr">
        <is>
          <t>C-11</t>
        </is>
      </c>
      <c r="B36" s="2" t="inlineStr">
        <is>
          <t>미래</t>
        </is>
      </c>
      <c r="C36" s="17" t="inlineStr">
        <is>
          <t>지속가능 기여</t>
        </is>
      </c>
      <c r="D36" s="29" t="inlineStr">
        <is>
          <t>장기적 성과 향상·조직 기여</t>
        </is>
      </c>
      <c r="E36" s="30" t="inlineStr">
        <is>
          <t>S  성과 리딩 및 지속 성과 도출
A  개인 및 팀 성과 기여
B  기본 수준의 성과
C  성과 불명확, 기여 낮음
D  성과 없음, 소극적 태도</t>
        </is>
      </c>
      <c r="F36" s="31" t="inlineStr"/>
      <c r="G36" s="31" t="inlineStr"/>
      <c r="H36" s="32">
        <f>IFERROR(IF(AND(F36&lt;&gt;"",G36&lt;&gt;""),(IF(F36="S",5,IF(F36="A",4,IF(F36="B",3,IF(F36="C",2,IF(F36="D",1,0)))))+IF(G36="S",5,IF(G36="A",4,IF(G36="B",3,IF(G36="C",2,IF(G36="D",1,0))))))/2,IF(F36&lt;&gt;"",IF(F36="S",5,IF(F36="A",4,IF(F36="B",3,IF(F36="C",2,IF(F36="D",1,0))))),IF(G36&lt;&gt;"",IF(G36="S",5,IF(G36="A",4,IF(G36="B",3,IF(G36="C",2,IF(G36="D",1,0))))),""))),"")</f>
        <v/>
      </c>
    </row>
    <row r="37" ht="24" customHeight="1">
      <c r="A37" s="38" t="inlineStr">
        <is>
          <t>1차 평가자 공통역량 종합 (11개 단순 평균)</t>
        </is>
      </c>
      <c r="F37" s="34">
        <f>IFERROR((IF(F26="S",5,IF(F26="A",4,IF(F26="B",3,IF(F26="C",2,IF(F26="D",1,0)))))+IF(F27="S",5,IF(F27="A",4,IF(F27="B",3,IF(F27="C",2,IF(F27="D",1,0)))))+IF(F28="S",5,IF(F28="A",4,IF(F28="B",3,IF(F28="C",2,IF(F28="D",1,0)))))+IF(F29="S",5,IF(F29="A",4,IF(F29="B",3,IF(F29="C",2,IF(F29="D",1,0)))))+IF(F30="S",5,IF(F30="A",4,IF(F30="B",3,IF(F30="C",2,IF(F30="D",1,0)))))+IF(F31="S",5,IF(F31="A",4,IF(F31="B",3,IF(F31="C",2,IF(F31="D",1,0)))))+IF(F32="S",5,IF(F32="A",4,IF(F32="B",3,IF(F32="C",2,IF(F32="D",1,0)))))+IF(F33="S",5,IF(F33="A",4,IF(F33="B",3,IF(F33="C",2,IF(F33="D",1,0)))))+IF(F34="S",5,IF(F34="A",4,IF(F34="B",3,IF(F34="C",2,IF(F34="D",1,0)))))+IF(F35="S",5,IF(F35="A",4,IF(F35="B",3,IF(F35="C",2,IF(F35="D",1,0)))))+IF(F36="S",5,IF(F36="A",4,IF(F36="B",3,IF(F36="C",2,IF(F36="D",1,0))))))/11,"")</f>
        <v/>
      </c>
      <c r="G37" s="35" t="inlineStr">
        <is>
          <t>→ 등급</t>
        </is>
      </c>
      <c r="H37" s="36">
        <f>IF(F37="","",IF(F37&gt;=4.5,"S",IF(F37&gt;=3.5,"A",IF(F37&gt;=2.5,"B",IF(F37&gt;=1.5,"C","D")))))</f>
        <v/>
      </c>
    </row>
    <row r="38" ht="24" customHeight="1">
      <c r="A38" s="38" t="inlineStr">
        <is>
          <t>2차 평가자 공통역량 종합 (11개 단순 평균)</t>
        </is>
      </c>
      <c r="F38" s="34">
        <f>IFERROR((IF(G26="S",5,IF(G26="A",4,IF(G26="B",3,IF(G26="C",2,IF(G26="D",1,0)))))+IF(G27="S",5,IF(G27="A",4,IF(G27="B",3,IF(G27="C",2,IF(G27="D",1,0)))))+IF(G28="S",5,IF(G28="A",4,IF(G28="B",3,IF(G28="C",2,IF(G28="D",1,0)))))+IF(G29="S",5,IF(G29="A",4,IF(G29="B",3,IF(G29="C",2,IF(G29="D",1,0)))))+IF(G30="S",5,IF(G30="A",4,IF(G30="B",3,IF(G30="C",2,IF(G30="D",1,0)))))+IF(G31="S",5,IF(G31="A",4,IF(G31="B",3,IF(G31="C",2,IF(G31="D",1,0)))))+IF(G32="S",5,IF(G32="A",4,IF(G32="B",3,IF(G32="C",2,IF(G32="D",1,0)))))+IF(G33="S",5,IF(G33="A",4,IF(G33="B",3,IF(G33="C",2,IF(G33="D",1,0)))))+IF(G34="S",5,IF(G34="A",4,IF(G34="B",3,IF(G34="C",2,IF(G34="D",1,0)))))+IF(G35="S",5,IF(G35="A",4,IF(G35="B",3,IF(G35="C",2,IF(G35="D",1,0)))))+IF(G36="S",5,IF(G36="A",4,IF(G36="B",3,IF(G36="C",2,IF(G36="D",1,0))))))/11,"")</f>
        <v/>
      </c>
      <c r="G38" s="35" t="inlineStr">
        <is>
          <t>→ 등급</t>
        </is>
      </c>
      <c r="H38" s="36">
        <f>IF(F38="","",IF(F38&gt;=4.5,"S",IF(F38&gt;=3.5,"A",IF(F38&gt;=2.5,"B",IF(F38&gt;=1.5,"C","D")))))</f>
        <v/>
      </c>
    </row>
    <row r="40" ht="26" customHeight="1">
      <c r="A40" s="39" t="inlineStr">
        <is>
          <t>▶ ③ 직무역량평가 — 메인 책무(D열 O)만 평가</t>
        </is>
      </c>
    </row>
    <row r="41" ht="28" customHeight="1">
      <c r="A41" s="28" t="inlineStr">
        <is>
          <t>No.</t>
        </is>
      </c>
      <c r="B41" s="28" t="inlineStr">
        <is>
          <t>전문영역</t>
        </is>
      </c>
      <c r="C41" s="28" t="inlineStr">
        <is>
          <t>핵심 책무</t>
        </is>
      </c>
      <c r="D41" s="28" t="inlineStr">
        <is>
          <t>메인</t>
        </is>
      </c>
      <c r="E41" s="28" t="inlineStr">
        <is>
          <t>1차</t>
        </is>
      </c>
      <c r="F41" s="28" t="inlineStr">
        <is>
          <t>2차</t>
        </is>
      </c>
      <c r="G41" s="28" t="inlineStr">
        <is>
          <t>평균(참고)</t>
        </is>
      </c>
    </row>
    <row r="42" ht="22" customHeight="1">
      <c r="A42" s="35" t="inlineStr">
        <is>
          <t>J-1</t>
        </is>
      </c>
      <c r="B42" s="40" t="inlineStr">
        <is>
          <t>영업기획</t>
        </is>
      </c>
      <c r="C42" s="41" t="inlineStr">
        <is>
          <t>시장조사 및 고객 발굴</t>
        </is>
      </c>
      <c r="D42" s="31" t="inlineStr"/>
      <c r="E42" s="31" t="inlineStr"/>
      <c r="F42" s="31" t="inlineStr"/>
      <c r="G42" s="32">
        <f>IF(D42="O",IFERROR(IF(AND(E42&lt;&gt;"",F42&lt;&gt;""),(IF(E42="S",5,IF(E42="A",4,IF(E42="B",3,IF(E42="C",2,IF(E42="D",1,0)))))+IF(F42="S",5,IF(F42="A",4,IF(F42="B",3,IF(F42="C",2,IF(F42="D",1,0))))))/2,IF(E42&lt;&gt;"",IF(E42="S",5,IF(E42="A",4,IF(E42="B",3,IF(E42="C",2,IF(E42="D",1,0))))),IF(F42&lt;&gt;"",IF(F42="S",5,IF(F42="A",4,IF(F42="B",3,IF(F42="C",2,IF(F42="D",1,0))))),""))),""),"")</f>
        <v/>
      </c>
    </row>
    <row r="43" ht="22" customHeight="1">
      <c r="A43" s="35" t="inlineStr">
        <is>
          <t>J-2</t>
        </is>
      </c>
      <c r="B43" s="40" t="inlineStr">
        <is>
          <t>영업기획</t>
        </is>
      </c>
      <c r="C43" s="41" t="inlineStr">
        <is>
          <t>제안 및 입찰 준비</t>
        </is>
      </c>
      <c r="D43" s="31" t="inlineStr"/>
      <c r="E43" s="31" t="inlineStr"/>
      <c r="F43" s="31" t="inlineStr"/>
      <c r="G43" s="32">
        <f>IF(D43="O",IFERROR(IF(AND(E43&lt;&gt;"",F43&lt;&gt;""),(IF(E43="S",5,IF(E43="A",4,IF(E43="B",3,IF(E43="C",2,IF(E43="D",1,0)))))+IF(F43="S",5,IF(F43="A",4,IF(F43="B",3,IF(F43="C",2,IF(F43="D",1,0))))))/2,IF(E43&lt;&gt;"",IF(E43="S",5,IF(E43="A",4,IF(E43="B",3,IF(E43="C",2,IF(E43="D",1,0))))),IF(F43&lt;&gt;"",IF(F43="S",5,IF(F43="A",4,IF(F43="B",3,IF(F43="C",2,IF(F43="D",1,0))))),""))),""),"")</f>
        <v/>
      </c>
    </row>
    <row r="44" ht="22" customHeight="1">
      <c r="A44" s="35" t="inlineStr">
        <is>
          <t>J-3</t>
        </is>
      </c>
      <c r="B44" s="40" t="inlineStr">
        <is>
          <t>영업기획</t>
        </is>
      </c>
      <c r="C44" s="41" t="inlineStr">
        <is>
          <t>계약 협상</t>
        </is>
      </c>
      <c r="D44" s="31" t="inlineStr"/>
      <c r="E44" s="31" t="inlineStr"/>
      <c r="F44" s="31" t="inlineStr"/>
      <c r="G44" s="32">
        <f>IF(D44="O",IFERROR(IF(AND(E44&lt;&gt;"",F44&lt;&gt;""),(IF(E44="S",5,IF(E44="A",4,IF(E44="B",3,IF(E44="C",2,IF(E44="D",1,0)))))+IF(F44="S",5,IF(F44="A",4,IF(F44="B",3,IF(F44="C",2,IF(F44="D",1,0))))))/2,IF(E44&lt;&gt;"",IF(E44="S",5,IF(E44="A",4,IF(E44="B",3,IF(E44="C",2,IF(E44="D",1,0))))),IF(F44&lt;&gt;"",IF(F44="S",5,IF(F44="A",4,IF(F44="B",3,IF(F44="C",2,IF(F44="D",1,0))))),""))),""),"")</f>
        <v/>
      </c>
    </row>
    <row r="45" ht="22" customHeight="1">
      <c r="A45" s="35" t="inlineStr">
        <is>
          <t>J-4</t>
        </is>
      </c>
      <c r="B45" s="40" t="inlineStr">
        <is>
          <t>고객관리</t>
        </is>
      </c>
      <c r="C45" s="41" t="inlineStr">
        <is>
          <t>기존 고객 관리</t>
        </is>
      </c>
      <c r="D45" s="31" t="inlineStr"/>
      <c r="E45" s="31" t="inlineStr"/>
      <c r="F45" s="31" t="inlineStr"/>
      <c r="G45" s="32">
        <f>IF(D45="O",IFERROR(IF(AND(E45&lt;&gt;"",F45&lt;&gt;""),(IF(E45="S",5,IF(E45="A",4,IF(E45="B",3,IF(E45="C",2,IF(E45="D",1,0)))))+IF(F45="S",5,IF(F45="A",4,IF(F45="B",3,IF(F45="C",2,IF(F45="D",1,0))))))/2,IF(E45&lt;&gt;"",IF(E45="S",5,IF(E45="A",4,IF(E45="B",3,IF(E45="C",2,IF(E45="D",1,0))))),IF(F45&lt;&gt;"",IF(F45="S",5,IF(F45="A",4,IF(F45="B",3,IF(F45="C",2,IF(F45="D",1,0))))),""))),""),"")</f>
        <v/>
      </c>
    </row>
    <row r="46" ht="22" customHeight="1">
      <c r="A46" s="35" t="inlineStr">
        <is>
          <t>J-5</t>
        </is>
      </c>
      <c r="B46" s="40" t="inlineStr">
        <is>
          <t>고객관리</t>
        </is>
      </c>
      <c r="C46" s="41" t="inlineStr">
        <is>
          <t>신규 고객 개발</t>
        </is>
      </c>
      <c r="D46" s="31" t="inlineStr"/>
      <c r="E46" s="31" t="inlineStr"/>
      <c r="F46" s="31" t="inlineStr"/>
      <c r="G46" s="32">
        <f>IF(D46="O",IFERROR(IF(AND(E46&lt;&gt;"",F46&lt;&gt;""),(IF(E46="S",5,IF(E46="A",4,IF(E46="B",3,IF(E46="C",2,IF(E46="D",1,0)))))+IF(F46="S",5,IF(F46="A",4,IF(F46="B",3,IF(F46="C",2,IF(F46="D",1,0))))))/2,IF(E46&lt;&gt;"",IF(E46="S",5,IF(E46="A",4,IF(E46="B",3,IF(E46="C",2,IF(E46="D",1,0))))),IF(F46&lt;&gt;"",IF(F46="S",5,IF(F46="A",4,IF(F46="B",3,IF(F46="C",2,IF(F46="D",1,0))))),""))),""),"")</f>
        <v/>
      </c>
    </row>
    <row r="47" ht="22" customHeight="1">
      <c r="A47" s="35" t="inlineStr">
        <is>
          <t>J-6</t>
        </is>
      </c>
      <c r="B47" s="40" t="inlineStr">
        <is>
          <t>프로젝트 영업</t>
        </is>
      </c>
      <c r="C47" s="41" t="inlineStr">
        <is>
          <t>프로젝트 발굴 및 수주</t>
        </is>
      </c>
      <c r="D47" s="31" t="inlineStr"/>
      <c r="E47" s="31" t="inlineStr"/>
      <c r="F47" s="31" t="inlineStr"/>
      <c r="G47" s="32">
        <f>IF(D47="O",IFERROR(IF(AND(E47&lt;&gt;"",F47&lt;&gt;""),(IF(E47="S",5,IF(E47="A",4,IF(E47="B",3,IF(E47="C",2,IF(E47="D",1,0)))))+IF(F47="S",5,IF(F47="A",4,IF(F47="B",3,IF(F47="C",2,IF(F47="D",1,0))))))/2,IF(E47&lt;&gt;"",IF(E47="S",5,IF(E47="A",4,IF(E47="B",3,IF(E47="C",2,IF(E47="D",1,0))))),IF(F47&lt;&gt;"",IF(F47="S",5,IF(F47="A",4,IF(F47="B",3,IF(F47="C",2,IF(F47="D",1,0))))),""))),""),"")</f>
        <v/>
      </c>
    </row>
    <row r="48" ht="22" customHeight="1">
      <c r="A48" s="35" t="inlineStr">
        <is>
          <t>J-7</t>
        </is>
      </c>
      <c r="B48" s="40" t="inlineStr">
        <is>
          <t>프로젝트 영업</t>
        </is>
      </c>
      <c r="C48" s="41" t="inlineStr">
        <is>
          <t>계약 후 사후관리</t>
        </is>
      </c>
      <c r="D48" s="31" t="inlineStr"/>
      <c r="E48" s="31" t="inlineStr"/>
      <c r="F48" s="31" t="inlineStr"/>
      <c r="G48" s="32">
        <f>IF(D48="O",IFERROR(IF(AND(E48&lt;&gt;"",F48&lt;&gt;""),(IF(E48="S",5,IF(E48="A",4,IF(E48="B",3,IF(E48="C",2,IF(E48="D",1,0)))))+IF(F48="S",5,IF(F48="A",4,IF(F48="B",3,IF(F48="C",2,IF(F48="D",1,0))))))/2,IF(E48&lt;&gt;"",IF(E48="S",5,IF(E48="A",4,IF(E48="B",3,IF(E48="C",2,IF(E48="D",1,0))))),IF(F48&lt;&gt;"",IF(F48="S",5,IF(F48="A",4,IF(F48="B",3,IF(F48="C",2,IF(F48="D",1,0))))),""))),""),"")</f>
        <v/>
      </c>
    </row>
    <row r="50" ht="24" customHeight="1">
      <c r="A50" s="42" t="inlineStr">
        <is>
          <t>1차 평가자 직무 종합 (메인 책무 평균)</t>
        </is>
      </c>
      <c r="E50" s="34">
        <f>IFERROR(SUMPRODUCT((D42:D48="O")*IFERROR(IF(E42:E48="S",5,IF(E42:E48="A",4,IF(E42:E48="B",3,IF(E42:E48="C",2,IF(E42:E48="D",1,0))))),0))/COUNTIF(D42:D48,"O"),"")</f>
        <v/>
      </c>
      <c r="F50" s="36">
        <f>IF(E50="","",IF(E50&gt;=4.5,"S",IF(E50&gt;=3.5,"A",IF(E50&gt;=2.5,"B",IF(E50&gt;=1.5,"C","D")))))</f>
        <v/>
      </c>
    </row>
    <row r="51" ht="24" customHeight="1">
      <c r="A51" s="42" t="inlineStr">
        <is>
          <t>2차 평가자 직무 종합</t>
        </is>
      </c>
      <c r="E51" s="34">
        <f>IFERROR(SUMPRODUCT((D42:D48="O")*IFERROR(IF(F42:F48="S",5,IF(F42:F48="A",4,IF(F42:F48="B",3,IF(F42:F48="C",2,IF(F42:F48="D",1,0))))),0))/COUNTIF(D42:D48,"O"),"")</f>
        <v/>
      </c>
      <c r="F51" s="36">
        <f>IF(E51="","",IF(E51&gt;=4.5,"S",IF(E51&gt;=3.5,"A",IF(E51&gt;=2.5,"B",IF(E51&gt;=1.5,"C","D")))))</f>
        <v/>
      </c>
    </row>
    <row r="54" ht="32" customHeight="1">
      <c r="A54" s="43" t="inlineStr">
        <is>
          <t>▶ 통합관리시트 입력 행 (아래 한 줄 A~G 7개 셀 통째 복사 → 통합시트 07a/07b 해당 사번 행 G~M에 [값 붙여넣기])</t>
        </is>
      </c>
    </row>
    <row r="55" ht="28" customHeight="1">
      <c r="A55" s="44" t="inlineStr">
        <is>
          <t>역할(1차)</t>
        </is>
      </c>
      <c r="B55" s="44" t="inlineStr">
        <is>
          <t>역할(2차)</t>
        </is>
      </c>
      <c r="C55" s="44" t="inlineStr">
        <is>
          <t>공통(1차)</t>
        </is>
      </c>
      <c r="D55" s="44" t="inlineStr">
        <is>
          <t>공통(2차)</t>
        </is>
      </c>
      <c r="E55" s="44" t="inlineStr">
        <is>
          <t>직무(1차)</t>
        </is>
      </c>
      <c r="F55" s="44" t="inlineStr">
        <is>
          <t>직무(2차)</t>
        </is>
      </c>
      <c r="G55" s="44" t="inlineStr">
        <is>
          <t>소견</t>
        </is>
      </c>
    </row>
    <row r="56" ht="36" customHeight="1">
      <c r="A56" s="45">
        <f>G21</f>
        <v/>
      </c>
      <c r="B56" s="45">
        <f>G22</f>
        <v/>
      </c>
      <c r="C56" s="45">
        <f>H37</f>
        <v/>
      </c>
      <c r="D56" s="45">
        <f>H38</f>
        <v/>
      </c>
      <c r="E56" s="45">
        <f>F50</f>
        <v/>
      </c>
      <c r="F56" s="45">
        <f>F51</f>
        <v/>
      </c>
      <c r="G56" s="46" t="inlineStr"/>
    </row>
    <row r="57" ht="26" customHeight="1">
      <c r="A57" s="47" t="inlineStr">
        <is>
          <t>사용법: 위 한 줄 A~G 선택 → Ctrl+C → 통합시트 07a/07b 해당 사번 행 G~M에 [선택하여 붙여넣기 → 값]</t>
        </is>
      </c>
    </row>
    <row r="59" ht="24" customHeight="1">
      <c r="A59" s="3" t="inlineStr">
        <is>
          <t>▶ 종합 소견</t>
        </is>
      </c>
    </row>
    <row r="60" ht="40" customHeight="1">
      <c r="A60" s="21" t="inlineStr">
        <is>
          <t>강점</t>
        </is>
      </c>
      <c r="B60" s="48" t="inlineStr"/>
    </row>
    <row r="61" ht="40" customHeight="1">
      <c r="A61" s="21" t="inlineStr">
        <is>
          <t>개선</t>
        </is>
      </c>
      <c r="B61" s="48" t="inlineStr"/>
    </row>
    <row r="62" ht="40" customHeight="1">
      <c r="A62" s="21" t="inlineStr">
        <is>
          <t>육성 방향</t>
        </is>
      </c>
      <c r="B62" s="48" t="inlineStr"/>
    </row>
  </sheetData>
  <mergeCells count="23">
    <mergeCell ref="A7:I7"/>
    <mergeCell ref="B62:I62"/>
    <mergeCell ref="F9:I9"/>
    <mergeCell ref="A22:D22"/>
    <mergeCell ref="A2:I2"/>
    <mergeCell ref="B14:I14"/>
    <mergeCell ref="A37:E37"/>
    <mergeCell ref="B60:I60"/>
    <mergeCell ref="A51:D51"/>
    <mergeCell ref="B61:I61"/>
    <mergeCell ref="A4:I4"/>
    <mergeCell ref="F10:I10"/>
    <mergeCell ref="A13:I13"/>
    <mergeCell ref="A40:I40"/>
    <mergeCell ref="A54:G54"/>
    <mergeCell ref="A24:I24"/>
    <mergeCell ref="A59:I59"/>
    <mergeCell ref="A38:E38"/>
    <mergeCell ref="F8:I8"/>
    <mergeCell ref="A50:D50"/>
    <mergeCell ref="A21:D21"/>
    <mergeCell ref="A1:I1"/>
    <mergeCell ref="A57:G57"/>
  </mergeCells>
  <conditionalFormatting sqref="A56:G56">
    <cfRule type="cellIs" priority="1" operator="equal" dxfId="0">
      <formula>"S"</formula>
    </cfRule>
    <cfRule type="cellIs" priority="2" operator="equal" dxfId="1">
      <formula>"A"</formula>
    </cfRule>
    <cfRule type="cellIs" priority="3" operator="equal" dxfId="2">
      <formula>"C"</formula>
    </cfRule>
    <cfRule type="cellIs" priority="4" operator="equal" dxfId="3">
      <formula>"D"</formula>
    </cfRule>
  </conditionalFormatting>
  <dataValidations count="5">
    <dataValidation sqref="B11" showDropDown="0" showInputMessage="0" showErrorMessage="0" allowBlank="0" type="list">
      <formula1>"상반기,하반기"</formula1>
    </dataValidation>
    <dataValidation sqref="E16:F20" showDropDown="0" showInputMessage="0" showErrorMessage="0" allowBlank="1" type="list">
      <formula1>"S,A,B,C,D"</formula1>
    </dataValidation>
    <dataValidation sqref="F26:G36" showDropDown="0" showInputMessage="0" showErrorMessage="0" allowBlank="1" type="list">
      <formula1>"S,A,B,C,D"</formula1>
    </dataValidation>
    <dataValidation sqref="D42:D48" showDropDown="0" showInputMessage="0" showErrorMessage="0" allowBlank="1" type="list">
      <formula1>"O,X"</formula1>
    </dataValidation>
    <dataValidation sqref="E42:F48" showDropDown="0" showInputMessage="0" showErrorMessage="0" allowBlank="1" type="list">
      <formula1>"S,A,B,C,D"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2026-05-13T06:25:11Z</dcterms:created>
  <dcterms:modified xmlns:dcterms="http://purl.org/dc/terms/" xmlns:xsi="http://www.w3.org/2001/XMLSchema-instance" xsi:type="dcterms:W3CDTF">2026-05-13T06:25:11Z</dcterms:modified>
</cp:coreProperties>
</file>