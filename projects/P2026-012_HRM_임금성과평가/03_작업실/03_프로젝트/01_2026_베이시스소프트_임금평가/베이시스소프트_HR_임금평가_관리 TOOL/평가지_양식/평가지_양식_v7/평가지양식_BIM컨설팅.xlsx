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BIM컨설팅_G6" sheetId="2" state="visible" r:id="rId2"/>
    <sheet xmlns:r="http://schemas.openxmlformats.org/officeDocument/2006/relationships" name="양식_BIM컨설팅_G5-M" sheetId="3" state="visible" r:id="rId3"/>
    <sheet xmlns:r="http://schemas.openxmlformats.org/officeDocument/2006/relationships" name="양식_BIM컨설팅_G5-S" sheetId="4" state="visible" r:id="rId4"/>
    <sheet xmlns:r="http://schemas.openxmlformats.org/officeDocument/2006/relationships" name="양식_BIM컨설팅_G4" sheetId="5" state="visible" r:id="rId5"/>
    <sheet xmlns:r="http://schemas.openxmlformats.org/officeDocument/2006/relationships" name="양식_BIM컨설팅_G3" sheetId="6" state="visible" r:id="rId6"/>
    <sheet xmlns:r="http://schemas.openxmlformats.org/officeDocument/2006/relationships" name="양식_BIM컨설팅_G2" sheetId="7" state="visible" r:id="rId7"/>
    <sheet xmlns:r="http://schemas.openxmlformats.org/officeDocument/2006/relationships" name="양식_BIM컨설팅_G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1"/>
    </font>
    <font>
      <name val="맑은 고딕"/>
      <b val="1"/>
      <color rgb="00000000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FFFFFF"/>
      <sz val="11"/>
    </font>
    <font>
      <name val="맑은 고딕"/>
      <b val="1"/>
      <color rgb="00000000"/>
      <sz val="13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4B08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164" fontId="2" fillId="14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2" fontId="2" fillId="1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성과평가지 양식 - BIM컨설팅</t>
        </is>
      </c>
    </row>
    <row r="2" ht="24" customHeight="1">
      <c r="A2" s="2" t="inlineStr">
        <is>
          <t>평가자는 등급(S/A/B/C/D)만 입력. 가중치·가중합산은 통합관리시트에서 자동 처리.</t>
        </is>
      </c>
    </row>
    <row r="4" ht="24" customHeight="1">
      <c r="A4" s="3" t="inlineStr">
        <is>
          <t>▶ 사용 방법</t>
        </is>
      </c>
    </row>
    <row r="5" ht="24" customHeight="1">
      <c r="A5" s="4" t="inlineStr">
        <is>
          <t>1) 평가 대상자의 역할등급에 맞는 양식 시트를 우클릭 → [시트 이동/복사 → 복사본 만들기]</t>
        </is>
      </c>
    </row>
    <row r="6" ht="24" customHeight="1">
      <c r="A6" s="4" t="inlineStr">
        <is>
          <t>2) 복사한 시트의 이름을 [평가_사번_성명]으로 변경</t>
        </is>
      </c>
    </row>
    <row r="7" ht="24" customHeight="1">
      <c r="A7" s="4" t="inlineStr">
        <is>
          <t>3) 평가 대상자 정보(주황셀)에 사번·성명 등 입력</t>
        </is>
      </c>
    </row>
    <row r="8" ht="24" customHeight="1">
      <c r="A8" s="4" t="inlineStr">
        <is>
          <t>4) 평가자 정보(주황셀)에 1차·2차 평가자 사번·성명·직책 입력</t>
        </is>
      </c>
    </row>
    <row r="9" ht="24" customHeight="1">
      <c r="A9" s="4" t="inlineStr">
        <is>
          <t>5) 1차·2차 평가자가 각자 등급(S/A/B/C/D)을 노란셀에 입력</t>
        </is>
      </c>
    </row>
    <row r="10" ht="24" customHeight="1">
      <c r="A10" s="4" t="inlineStr">
        <is>
          <t>6) 직무역량 영역에서 메인 책무는 D열을 O, 비메인은 X로 표시</t>
        </is>
      </c>
    </row>
    <row r="11" ht="24" customHeight="1">
      <c r="A11" s="4" t="inlineStr">
        <is>
          <t>7) 하단 [복사용 입력 행] 7개 셀을 통째로 복사 → 통합관리시트 07a/07b의 G~M에 [값 붙여넣기]</t>
        </is>
      </c>
    </row>
    <row r="13" ht="24" customHeight="1">
      <c r="A13" s="3" t="inlineStr">
        <is>
          <t>▶ 평가 등급 체계</t>
        </is>
      </c>
    </row>
    <row r="14" ht="24" customHeight="1">
      <c r="A14" s="5" t="inlineStr">
        <is>
          <t>S (탁월)</t>
        </is>
      </c>
      <c r="B14" s="6" t="inlineStr">
        <is>
          <t>기대 현저히 초과</t>
        </is>
      </c>
    </row>
    <row r="15" ht="24" customHeight="1">
      <c r="A15" s="7" t="inlineStr">
        <is>
          <t>A (우수)</t>
        </is>
      </c>
      <c r="B15" s="8" t="inlineStr">
        <is>
          <t>기대 상회</t>
        </is>
      </c>
    </row>
    <row r="16" ht="24" customHeight="1">
      <c r="A16" s="9" t="inlineStr">
        <is>
          <t>B (양호)</t>
        </is>
      </c>
      <c r="B16" s="10" t="inlineStr">
        <is>
          <t>기대 수준 부합</t>
        </is>
      </c>
    </row>
    <row r="17" ht="24" customHeight="1">
      <c r="A17" s="11" t="inlineStr">
        <is>
          <t>C (미흡)</t>
        </is>
      </c>
      <c r="B17" s="12" t="inlineStr">
        <is>
          <t>부분 미흡</t>
        </is>
      </c>
    </row>
    <row r="18" ht="24" customHeight="1">
      <c r="A18" s="13" t="inlineStr">
        <is>
          <t>D (부족)</t>
        </is>
      </c>
      <c r="B18" s="14" t="inlineStr">
        <is>
          <t>전반 미흡</t>
        </is>
      </c>
    </row>
    <row r="20" ht="24" customHeight="1">
      <c r="A20" s="3" t="inlineStr">
        <is>
          <t>▶ 본 파일에 포함된 양식</t>
        </is>
      </c>
    </row>
    <row r="21">
      <c r="A21" s="15" t="inlineStr">
        <is>
          <t>역할등급</t>
        </is>
      </c>
      <c r="B21" s="15" t="inlineStr">
        <is>
          <t>역할명</t>
        </is>
      </c>
      <c r="C21" s="15" t="inlineStr">
        <is>
          <t>시트명</t>
        </is>
      </c>
    </row>
    <row r="22" ht="22" customHeight="1">
      <c r="A22" s="16" t="inlineStr">
        <is>
          <t>G6</t>
        </is>
      </c>
      <c r="B22" s="17" t="inlineStr">
        <is>
          <t>사업·조직 관리</t>
        </is>
      </c>
      <c r="C22" s="4" t="inlineStr">
        <is>
          <t>양식_BIM컨설팅_G6</t>
        </is>
      </c>
    </row>
    <row r="23" ht="22" customHeight="1">
      <c r="A23" s="16" t="inlineStr">
        <is>
          <t>G5-M</t>
        </is>
      </c>
      <c r="B23" s="17" t="inlineStr">
        <is>
          <t>직무 관리(부서장)</t>
        </is>
      </c>
      <c r="C23" s="4" t="inlineStr">
        <is>
          <t>양식_BIM컨설팅_G5-M</t>
        </is>
      </c>
    </row>
    <row r="24" ht="22" customHeight="1">
      <c r="A24" s="16" t="inlineStr">
        <is>
          <t>G5-S</t>
        </is>
      </c>
      <c r="B24" s="17" t="inlineStr">
        <is>
          <t>실무 스페셜리스트</t>
        </is>
      </c>
      <c r="C24" s="4" t="inlineStr">
        <is>
          <t>양식_BIM컨설팅_G5-S</t>
        </is>
      </c>
    </row>
    <row r="25" ht="22" customHeight="1">
      <c r="A25" s="16" t="inlineStr">
        <is>
          <t>G4</t>
        </is>
      </c>
      <c r="B25" s="17" t="inlineStr">
        <is>
          <t>실무 책임(PM)</t>
        </is>
      </c>
      <c r="C25" s="4" t="inlineStr">
        <is>
          <t>양식_BIM컨설팅_G4</t>
        </is>
      </c>
    </row>
    <row r="26" ht="22" customHeight="1">
      <c r="A26" s="16" t="inlineStr">
        <is>
          <t>G3</t>
        </is>
      </c>
      <c r="B26" s="17" t="inlineStr">
        <is>
          <t>핵심 실무</t>
        </is>
      </c>
      <c r="C26" s="4" t="inlineStr">
        <is>
          <t>양식_BIM컨설팅_G3</t>
        </is>
      </c>
    </row>
    <row r="27" ht="22" customHeight="1">
      <c r="A27" s="16" t="inlineStr">
        <is>
          <t>G2</t>
        </is>
      </c>
      <c r="B27" s="17" t="inlineStr">
        <is>
          <t>실무</t>
        </is>
      </c>
      <c r="C27" s="4" t="inlineStr">
        <is>
          <t>양식_BIM컨설팅_G2</t>
        </is>
      </c>
    </row>
    <row r="28" ht="22" customHeight="1">
      <c r="A28" s="16" t="inlineStr">
        <is>
          <t>G1</t>
        </is>
      </c>
      <c r="B28" s="17" t="inlineStr">
        <is>
          <t>실무 보조</t>
        </is>
      </c>
      <c r="C28" s="4" t="inlineStr">
        <is>
          <t>양식_BIM컨설팅_G1</t>
        </is>
      </c>
    </row>
  </sheetData>
  <mergeCells count="25">
    <mergeCell ref="A9:H9"/>
    <mergeCell ref="C25:H25"/>
    <mergeCell ref="C22:H22"/>
    <mergeCell ref="A11:H11"/>
    <mergeCell ref="B15:H15"/>
    <mergeCell ref="A1:H1"/>
    <mergeCell ref="C21:H21"/>
    <mergeCell ref="A6:H6"/>
    <mergeCell ref="A7:H7"/>
    <mergeCell ref="C27:H27"/>
    <mergeCell ref="C23:H23"/>
    <mergeCell ref="B16:H16"/>
    <mergeCell ref="B18:H18"/>
    <mergeCell ref="C28:H28"/>
    <mergeCell ref="A2:H2"/>
    <mergeCell ref="A5:H5"/>
    <mergeCell ref="A8:H8"/>
    <mergeCell ref="A4:H4"/>
    <mergeCell ref="B14:H14"/>
    <mergeCell ref="C24:H24"/>
    <mergeCell ref="B17:H17"/>
    <mergeCell ref="A20:H20"/>
    <mergeCell ref="A10:H10"/>
    <mergeCell ref="A13:H13"/>
    <mergeCell ref="C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BIM컨설팅 / G6 (사업·조직 관리)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BIM컨설팅</t>
        </is>
      </c>
      <c r="E6" s="18" t="inlineStr">
        <is>
          <t>역할등급</t>
        </is>
      </c>
      <c r="F6" s="20" t="inlineStr">
        <is>
          <t>G6</t>
        </is>
      </c>
      <c r="G6" s="18" t="inlineStr">
        <is>
          <t>역할명</t>
        </is>
      </c>
      <c r="H6" s="20" t="inlineStr">
        <is>
          <t>사업·조직 관리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회사의 비전·중장기 전략을 총괄하며, 전사 의사결정·대외 협력·리스크 관리를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계획모델링</t>
        </is>
      </c>
      <c r="C42" s="40" t="inlineStr">
        <is>
          <t>BIM 기반 설계 계획수립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계획모델링</t>
        </is>
      </c>
      <c r="C43" s="40" t="inlineStr">
        <is>
          <t>설계 모델링 수행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계획모델링</t>
        </is>
      </c>
      <c r="C44" s="40" t="inlineStr">
        <is>
          <t>품질 검토 및 협업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드론응용모델링</t>
        </is>
      </c>
      <c r="C45" s="40" t="inlineStr">
        <is>
          <t>드론 측량 및 데이터 수집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드론응용모델링</t>
        </is>
      </c>
      <c r="C46" s="40" t="inlineStr">
        <is>
          <t>3D 메쉬·포인트클라우드 생성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구조모델링</t>
        </is>
      </c>
      <c r="C47" s="40" t="inlineStr">
        <is>
          <t>구조 BIM 모델링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상하수도모델링</t>
        </is>
      </c>
      <c r="C48" s="40" t="inlineStr">
        <is>
          <t>상하수도 BIM 모델링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4" t="inlineStr">
        <is>
          <t>J-8</t>
        </is>
      </c>
      <c r="B49" s="39" t="inlineStr">
        <is>
          <t>컨설팅</t>
        </is>
      </c>
      <c r="C49" s="40" t="inlineStr">
        <is>
          <t>클라이언트 요구분석</t>
        </is>
      </c>
      <c r="D49" s="30" t="inlineStr"/>
      <c r="E49" s="30" t="inlineStr"/>
      <c r="F49" s="30" t="inlineStr"/>
      <c r="G49" s="31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4" t="inlineStr">
        <is>
          <t>J-9</t>
        </is>
      </c>
      <c r="B50" s="39" t="inlineStr">
        <is>
          <t>컨설팅</t>
        </is>
      </c>
      <c r="C50" s="40" t="inlineStr">
        <is>
          <t>BIM 도입 컨설팅</t>
        </is>
      </c>
      <c r="D50" s="30" t="inlineStr"/>
      <c r="E50" s="30" t="inlineStr"/>
      <c r="F50" s="30" t="inlineStr"/>
      <c r="G50" s="31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4" t="inlineStr">
        <is>
          <t>J-10</t>
        </is>
      </c>
      <c r="B51" s="39" t="inlineStr">
        <is>
          <t>컨설팅</t>
        </is>
      </c>
      <c r="C51" s="40" t="inlineStr">
        <is>
          <t>보고서 작성 및 발표</t>
        </is>
      </c>
      <c r="D51" s="30" t="inlineStr"/>
      <c r="E51" s="30" t="inlineStr"/>
      <c r="F51" s="30" t="inlineStr"/>
      <c r="G51" s="31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4" t="inlineStr">
        <is>
          <t>J-11</t>
        </is>
      </c>
      <c r="B52" s="39" t="inlineStr">
        <is>
          <t>프로젝트관리</t>
        </is>
      </c>
      <c r="C52" s="40" t="inlineStr">
        <is>
          <t>일정 및 자원 관리</t>
        </is>
      </c>
      <c r="D52" s="30" t="inlineStr"/>
      <c r="E52" s="30" t="inlineStr"/>
      <c r="F52" s="30" t="inlineStr"/>
      <c r="G52" s="31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4" t="inlineStr">
        <is>
          <t>J-12</t>
        </is>
      </c>
      <c r="B53" s="39" t="inlineStr">
        <is>
          <t>프로젝트관리</t>
        </is>
      </c>
      <c r="C53" s="40" t="inlineStr">
        <is>
          <t>품질 관리</t>
        </is>
      </c>
      <c r="D53" s="30" t="inlineStr"/>
      <c r="E53" s="30" t="inlineStr"/>
      <c r="F53" s="30" t="inlineStr"/>
      <c r="G53" s="31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4" t="inlineStr">
        <is>
          <t>J-13</t>
        </is>
      </c>
      <c r="B54" s="39" t="inlineStr">
        <is>
          <t>프로젝트관리</t>
        </is>
      </c>
      <c r="C54" s="40" t="inlineStr">
        <is>
          <t>리스크 관리</t>
        </is>
      </c>
      <c r="D54" s="30" t="inlineStr"/>
      <c r="E54" s="30" t="inlineStr"/>
      <c r="F54" s="30" t="inlineStr"/>
      <c r="G54" s="31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4" t="inlineStr">
        <is>
          <t>J-14</t>
        </is>
      </c>
      <c r="B55" s="39" t="inlineStr">
        <is>
          <t>기술개발</t>
        </is>
      </c>
      <c r="C55" s="40" t="inlineStr">
        <is>
          <t>BIM 라이브러리 구축</t>
        </is>
      </c>
      <c r="D55" s="30" t="inlineStr"/>
      <c r="E55" s="30" t="inlineStr"/>
      <c r="F55" s="30" t="inlineStr"/>
      <c r="G55" s="31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4" t="inlineStr">
        <is>
          <t>J-15</t>
        </is>
      </c>
      <c r="B56" s="39" t="inlineStr">
        <is>
          <t>기술개발</t>
        </is>
      </c>
      <c r="C56" s="40" t="inlineStr">
        <is>
          <t>내부 가이드라인 작성</t>
        </is>
      </c>
      <c r="D56" s="30" t="inlineStr"/>
      <c r="E56" s="30" t="inlineStr"/>
      <c r="F56" s="30" t="inlineStr"/>
      <c r="G56" s="31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8" ht="24" customHeight="1">
      <c r="A58" s="41" t="inlineStr">
        <is>
          <t>1차 평가자 직무 종합 (메인 책무 평균)</t>
        </is>
      </c>
      <c r="E58" s="33">
        <f>IFERROR(SUMPRODUCT((D42:D56="O")*IFERROR(IF(E42:E56="S",5,IF(E42:E56="A",4,IF(E42:E56="B",3,IF(E42:E56="C",2,IF(E42:E56="D",1,0))))),0))/COUNTIF(D42:D56,"O"),"")</f>
        <v/>
      </c>
      <c r="F58" s="35">
        <f>IF(E58="","",IF(E58&gt;=4.5,"S",IF(E58&gt;=3.5,"A",IF(E58&gt;=2.5,"B",IF(E58&gt;=1.5,"C","D")))))</f>
        <v/>
      </c>
    </row>
    <row r="59" ht="24" customHeight="1">
      <c r="A59" s="41" t="inlineStr">
        <is>
          <t>2차 평가자 직무 종합</t>
        </is>
      </c>
      <c r="E59" s="33">
        <f>IFERROR(SUMPRODUCT((D42:D56="O")*IFERROR(IF(F42:F56="S",5,IF(F42:F56="A",4,IF(F42:F56="B",3,IF(F42:F56="C",2,IF(F42:F56="D",1,0))))),0))/COUNTIF(D42:D56,"O"),"")</f>
        <v/>
      </c>
      <c r="F59" s="35">
        <f>IF(E59="","",IF(E59&gt;=4.5,"S",IF(E59&gt;=3.5,"A",IF(E59&gt;=2.5,"B",IF(E59&gt;=1.5,"C","D")))))</f>
        <v/>
      </c>
    </row>
    <row r="62" ht="32" customHeight="1">
      <c r="A62" s="42" t="inlineStr">
        <is>
          <t>▶ 통합관리시트 입력 행 (아래 한 줄 A~G 7개 셀 통째 복사 → 통합관리시트 07a/07b의 G~M에 [값 붙여넣기])</t>
        </is>
      </c>
    </row>
    <row r="63" ht="28" customHeight="1">
      <c r="A63" s="43" t="inlineStr">
        <is>
          <t>역할(1차)</t>
        </is>
      </c>
      <c r="B63" s="43" t="inlineStr">
        <is>
          <t>역할(2차)</t>
        </is>
      </c>
      <c r="C63" s="43" t="inlineStr">
        <is>
          <t>공통(1차)</t>
        </is>
      </c>
      <c r="D63" s="43" t="inlineStr">
        <is>
          <t>공통(2차)</t>
        </is>
      </c>
      <c r="E63" s="43" t="inlineStr">
        <is>
          <t>직무(1차)</t>
        </is>
      </c>
      <c r="F63" s="43" t="inlineStr">
        <is>
          <t>직무(2차)</t>
        </is>
      </c>
      <c r="G63" s="43" t="inlineStr">
        <is>
          <t>소견</t>
        </is>
      </c>
    </row>
    <row r="64" ht="36" customHeight="1">
      <c r="A64" s="44">
        <f>F21</f>
        <v/>
      </c>
      <c r="B64" s="44">
        <f>F22</f>
        <v/>
      </c>
      <c r="C64" s="44">
        <f>F37</f>
        <v/>
      </c>
      <c r="D64" s="44">
        <f>F38</f>
        <v/>
      </c>
      <c r="E64" s="44">
        <f>F58</f>
        <v/>
      </c>
      <c r="F64" s="44">
        <f>F59</f>
        <v/>
      </c>
      <c r="G64" s="45" t="inlineStr"/>
    </row>
    <row r="65" ht="26" customHeight="1">
      <c r="A65" s="46" t="inlineStr">
        <is>
          <t>사용법: 위 한 줄 A~G 선택 → Ctrl+C → 통합관리시트 07a/07b 해당 사번 행 G~M에 [선택하여 붙여넣기 → 값]</t>
        </is>
      </c>
    </row>
    <row r="67" ht="24" customHeight="1">
      <c r="A67" s="3" t="inlineStr">
        <is>
          <t>▶ 종합 소견</t>
        </is>
      </c>
    </row>
    <row r="68" ht="40" customHeight="1">
      <c r="A68" s="21" t="inlineStr">
        <is>
          <t>강점</t>
        </is>
      </c>
      <c r="B68" s="47" t="inlineStr"/>
    </row>
    <row r="69" ht="40" customHeight="1">
      <c r="A69" s="21" t="inlineStr">
        <is>
          <t>개선</t>
        </is>
      </c>
      <c r="B69" s="47" t="inlineStr"/>
    </row>
    <row r="70" ht="40" customHeight="1">
      <c r="A70" s="21" t="inlineStr">
        <is>
          <t>육성 방향</t>
        </is>
      </c>
      <c r="B70" s="47" t="inlineStr"/>
    </row>
  </sheetData>
  <mergeCells count="23">
    <mergeCell ref="A67:H67"/>
    <mergeCell ref="A37:C37"/>
    <mergeCell ref="A24:H24"/>
    <mergeCell ref="B68:H68"/>
    <mergeCell ref="A62:G62"/>
    <mergeCell ref="F8:H8"/>
    <mergeCell ref="A21:C21"/>
    <mergeCell ref="A1:H1"/>
    <mergeCell ref="A58:D58"/>
    <mergeCell ref="A7:H7"/>
    <mergeCell ref="A22:C22"/>
    <mergeCell ref="A59:D59"/>
    <mergeCell ref="F9:H9"/>
    <mergeCell ref="A38:C38"/>
    <mergeCell ref="A2:H2"/>
    <mergeCell ref="B70:H70"/>
    <mergeCell ref="A65:G65"/>
    <mergeCell ref="A4:H4"/>
    <mergeCell ref="F10:H10"/>
    <mergeCell ref="B14:H14"/>
    <mergeCell ref="B69:H69"/>
    <mergeCell ref="A13:H13"/>
    <mergeCell ref="A40:H40"/>
  </mergeCells>
  <conditionalFormatting sqref="A64:G6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56" showDropDown="0" showInputMessage="0" showErrorMessage="0" allowBlank="1" type="list">
      <formula1>"O,X"</formula1>
    </dataValidation>
    <dataValidation sqref="E42:F5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BIM컨설팅 / G5-M (직무 관리(부서장))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BIM컨설팅</t>
        </is>
      </c>
      <c r="E6" s="18" t="inlineStr">
        <is>
          <t>역할등급</t>
        </is>
      </c>
      <c r="F6" s="20" t="inlineStr">
        <is>
          <t>G5-M</t>
        </is>
      </c>
      <c r="G6" s="18" t="inlineStr">
        <is>
          <t>역할명</t>
        </is>
      </c>
      <c r="H6" s="20" t="inlineStr">
        <is>
          <t>직무 관리(부서장)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부서 전략·목표 수립, 자원 배분·예산 관리·성과 관리, 부서 의사결정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계획모델링</t>
        </is>
      </c>
      <c r="C42" s="40" t="inlineStr">
        <is>
          <t>BIM 기반 설계 계획수립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계획모델링</t>
        </is>
      </c>
      <c r="C43" s="40" t="inlineStr">
        <is>
          <t>설계 모델링 수행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계획모델링</t>
        </is>
      </c>
      <c r="C44" s="40" t="inlineStr">
        <is>
          <t>품질 검토 및 협업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드론응용모델링</t>
        </is>
      </c>
      <c r="C45" s="40" t="inlineStr">
        <is>
          <t>드론 측량 및 데이터 수집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드론응용모델링</t>
        </is>
      </c>
      <c r="C46" s="40" t="inlineStr">
        <is>
          <t>3D 메쉬·포인트클라우드 생성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구조모델링</t>
        </is>
      </c>
      <c r="C47" s="40" t="inlineStr">
        <is>
          <t>구조 BIM 모델링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상하수도모델링</t>
        </is>
      </c>
      <c r="C48" s="40" t="inlineStr">
        <is>
          <t>상하수도 BIM 모델링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4" t="inlineStr">
        <is>
          <t>J-8</t>
        </is>
      </c>
      <c r="B49" s="39" t="inlineStr">
        <is>
          <t>컨설팅</t>
        </is>
      </c>
      <c r="C49" s="40" t="inlineStr">
        <is>
          <t>클라이언트 요구분석</t>
        </is>
      </c>
      <c r="D49" s="30" t="inlineStr"/>
      <c r="E49" s="30" t="inlineStr"/>
      <c r="F49" s="30" t="inlineStr"/>
      <c r="G49" s="31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4" t="inlineStr">
        <is>
          <t>J-9</t>
        </is>
      </c>
      <c r="B50" s="39" t="inlineStr">
        <is>
          <t>컨설팅</t>
        </is>
      </c>
      <c r="C50" s="40" t="inlineStr">
        <is>
          <t>BIM 도입 컨설팅</t>
        </is>
      </c>
      <c r="D50" s="30" t="inlineStr"/>
      <c r="E50" s="30" t="inlineStr"/>
      <c r="F50" s="30" t="inlineStr"/>
      <c r="G50" s="31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4" t="inlineStr">
        <is>
          <t>J-10</t>
        </is>
      </c>
      <c r="B51" s="39" t="inlineStr">
        <is>
          <t>컨설팅</t>
        </is>
      </c>
      <c r="C51" s="40" t="inlineStr">
        <is>
          <t>보고서 작성 및 발표</t>
        </is>
      </c>
      <c r="D51" s="30" t="inlineStr"/>
      <c r="E51" s="30" t="inlineStr"/>
      <c r="F51" s="30" t="inlineStr"/>
      <c r="G51" s="31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4" t="inlineStr">
        <is>
          <t>J-11</t>
        </is>
      </c>
      <c r="B52" s="39" t="inlineStr">
        <is>
          <t>프로젝트관리</t>
        </is>
      </c>
      <c r="C52" s="40" t="inlineStr">
        <is>
          <t>일정 및 자원 관리</t>
        </is>
      </c>
      <c r="D52" s="30" t="inlineStr"/>
      <c r="E52" s="30" t="inlineStr"/>
      <c r="F52" s="30" t="inlineStr"/>
      <c r="G52" s="31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4" t="inlineStr">
        <is>
          <t>J-12</t>
        </is>
      </c>
      <c r="B53" s="39" t="inlineStr">
        <is>
          <t>프로젝트관리</t>
        </is>
      </c>
      <c r="C53" s="40" t="inlineStr">
        <is>
          <t>품질 관리</t>
        </is>
      </c>
      <c r="D53" s="30" t="inlineStr"/>
      <c r="E53" s="30" t="inlineStr"/>
      <c r="F53" s="30" t="inlineStr"/>
      <c r="G53" s="31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4" t="inlineStr">
        <is>
          <t>J-13</t>
        </is>
      </c>
      <c r="B54" s="39" t="inlineStr">
        <is>
          <t>프로젝트관리</t>
        </is>
      </c>
      <c r="C54" s="40" t="inlineStr">
        <is>
          <t>리스크 관리</t>
        </is>
      </c>
      <c r="D54" s="30" t="inlineStr"/>
      <c r="E54" s="30" t="inlineStr"/>
      <c r="F54" s="30" t="inlineStr"/>
      <c r="G54" s="31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4" t="inlineStr">
        <is>
          <t>J-14</t>
        </is>
      </c>
      <c r="B55" s="39" t="inlineStr">
        <is>
          <t>기술개발</t>
        </is>
      </c>
      <c r="C55" s="40" t="inlineStr">
        <is>
          <t>BIM 라이브러리 구축</t>
        </is>
      </c>
      <c r="D55" s="30" t="inlineStr"/>
      <c r="E55" s="30" t="inlineStr"/>
      <c r="F55" s="30" t="inlineStr"/>
      <c r="G55" s="31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4" t="inlineStr">
        <is>
          <t>J-15</t>
        </is>
      </c>
      <c r="B56" s="39" t="inlineStr">
        <is>
          <t>기술개발</t>
        </is>
      </c>
      <c r="C56" s="40" t="inlineStr">
        <is>
          <t>내부 가이드라인 작성</t>
        </is>
      </c>
      <c r="D56" s="30" t="inlineStr"/>
      <c r="E56" s="30" t="inlineStr"/>
      <c r="F56" s="30" t="inlineStr"/>
      <c r="G56" s="31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8" ht="24" customHeight="1">
      <c r="A58" s="41" t="inlineStr">
        <is>
          <t>1차 평가자 직무 종합 (메인 책무 평균)</t>
        </is>
      </c>
      <c r="E58" s="33">
        <f>IFERROR(SUMPRODUCT((D42:D56="O")*IFERROR(IF(E42:E56="S",5,IF(E42:E56="A",4,IF(E42:E56="B",3,IF(E42:E56="C",2,IF(E42:E56="D",1,0))))),0))/COUNTIF(D42:D56,"O"),"")</f>
        <v/>
      </c>
      <c r="F58" s="35">
        <f>IF(E58="","",IF(E58&gt;=4.5,"S",IF(E58&gt;=3.5,"A",IF(E58&gt;=2.5,"B",IF(E58&gt;=1.5,"C","D")))))</f>
        <v/>
      </c>
    </row>
    <row r="59" ht="24" customHeight="1">
      <c r="A59" s="41" t="inlineStr">
        <is>
          <t>2차 평가자 직무 종합</t>
        </is>
      </c>
      <c r="E59" s="33">
        <f>IFERROR(SUMPRODUCT((D42:D56="O")*IFERROR(IF(F42:F56="S",5,IF(F42:F56="A",4,IF(F42:F56="B",3,IF(F42:F56="C",2,IF(F42:F56="D",1,0))))),0))/COUNTIF(D42:D56,"O"),"")</f>
        <v/>
      </c>
      <c r="F59" s="35">
        <f>IF(E59="","",IF(E59&gt;=4.5,"S",IF(E59&gt;=3.5,"A",IF(E59&gt;=2.5,"B",IF(E59&gt;=1.5,"C","D")))))</f>
        <v/>
      </c>
    </row>
    <row r="62" ht="32" customHeight="1">
      <c r="A62" s="42" t="inlineStr">
        <is>
          <t>▶ 통합관리시트 입력 행 (아래 한 줄 A~G 7개 셀 통째 복사 → 통합관리시트 07a/07b의 G~M에 [값 붙여넣기])</t>
        </is>
      </c>
    </row>
    <row r="63" ht="28" customHeight="1">
      <c r="A63" s="43" t="inlineStr">
        <is>
          <t>역할(1차)</t>
        </is>
      </c>
      <c r="B63" s="43" t="inlineStr">
        <is>
          <t>역할(2차)</t>
        </is>
      </c>
      <c r="C63" s="43" t="inlineStr">
        <is>
          <t>공통(1차)</t>
        </is>
      </c>
      <c r="D63" s="43" t="inlineStr">
        <is>
          <t>공통(2차)</t>
        </is>
      </c>
      <c r="E63" s="43" t="inlineStr">
        <is>
          <t>직무(1차)</t>
        </is>
      </c>
      <c r="F63" s="43" t="inlineStr">
        <is>
          <t>직무(2차)</t>
        </is>
      </c>
      <c r="G63" s="43" t="inlineStr">
        <is>
          <t>소견</t>
        </is>
      </c>
    </row>
    <row r="64" ht="36" customHeight="1">
      <c r="A64" s="44">
        <f>F21</f>
        <v/>
      </c>
      <c r="B64" s="44">
        <f>F22</f>
        <v/>
      </c>
      <c r="C64" s="44">
        <f>F37</f>
        <v/>
      </c>
      <c r="D64" s="44">
        <f>F38</f>
        <v/>
      </c>
      <c r="E64" s="44">
        <f>F58</f>
        <v/>
      </c>
      <c r="F64" s="44">
        <f>F59</f>
        <v/>
      </c>
      <c r="G64" s="45" t="inlineStr"/>
    </row>
    <row r="65" ht="26" customHeight="1">
      <c r="A65" s="46" t="inlineStr">
        <is>
          <t>사용법: 위 한 줄 A~G 선택 → Ctrl+C → 통합관리시트 07a/07b 해당 사번 행 G~M에 [선택하여 붙여넣기 → 값]</t>
        </is>
      </c>
    </row>
    <row r="67" ht="24" customHeight="1">
      <c r="A67" s="3" t="inlineStr">
        <is>
          <t>▶ 종합 소견</t>
        </is>
      </c>
    </row>
    <row r="68" ht="40" customHeight="1">
      <c r="A68" s="21" t="inlineStr">
        <is>
          <t>강점</t>
        </is>
      </c>
      <c r="B68" s="47" t="inlineStr"/>
    </row>
    <row r="69" ht="40" customHeight="1">
      <c r="A69" s="21" t="inlineStr">
        <is>
          <t>개선</t>
        </is>
      </c>
      <c r="B69" s="47" t="inlineStr"/>
    </row>
    <row r="70" ht="40" customHeight="1">
      <c r="A70" s="21" t="inlineStr">
        <is>
          <t>육성 방향</t>
        </is>
      </c>
      <c r="B70" s="47" t="inlineStr"/>
    </row>
  </sheetData>
  <mergeCells count="23">
    <mergeCell ref="A67:H67"/>
    <mergeCell ref="A37:C37"/>
    <mergeCell ref="A24:H24"/>
    <mergeCell ref="B68:H68"/>
    <mergeCell ref="A62:G62"/>
    <mergeCell ref="F8:H8"/>
    <mergeCell ref="A21:C21"/>
    <mergeCell ref="A1:H1"/>
    <mergeCell ref="A58:D58"/>
    <mergeCell ref="A7:H7"/>
    <mergeCell ref="A22:C22"/>
    <mergeCell ref="A59:D59"/>
    <mergeCell ref="F9:H9"/>
    <mergeCell ref="A38:C38"/>
    <mergeCell ref="A2:H2"/>
    <mergeCell ref="B70:H70"/>
    <mergeCell ref="A65:G65"/>
    <mergeCell ref="A4:H4"/>
    <mergeCell ref="F10:H10"/>
    <mergeCell ref="B14:H14"/>
    <mergeCell ref="B69:H69"/>
    <mergeCell ref="A13:H13"/>
    <mergeCell ref="A40:H40"/>
  </mergeCells>
  <conditionalFormatting sqref="A64:G6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56" showDropDown="0" showInputMessage="0" showErrorMessage="0" allowBlank="1" type="list">
      <formula1>"O,X"</formula1>
    </dataValidation>
    <dataValidation sqref="E42:F5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BIM컨설팅 / G5-S (실무 스페셜리스트)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BIM컨설팅</t>
        </is>
      </c>
      <c r="E6" s="18" t="inlineStr">
        <is>
          <t>역할등급</t>
        </is>
      </c>
      <c r="F6" s="20" t="inlineStr">
        <is>
          <t>G5-S</t>
        </is>
      </c>
      <c r="G6" s="18" t="inlineStr">
        <is>
          <t>역할명</t>
        </is>
      </c>
      <c r="H6" s="20" t="inlineStr">
        <is>
          <t>실무 스페셜리스트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직무 최고 수준의 전문성과 고난이도 프로젝트를 수행하며 기술 자산화·전파 주도.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계획모델링</t>
        </is>
      </c>
      <c r="C42" s="40" t="inlineStr">
        <is>
          <t>BIM 기반 설계 계획수립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계획모델링</t>
        </is>
      </c>
      <c r="C43" s="40" t="inlineStr">
        <is>
          <t>설계 모델링 수행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계획모델링</t>
        </is>
      </c>
      <c r="C44" s="40" t="inlineStr">
        <is>
          <t>품질 검토 및 협업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드론응용모델링</t>
        </is>
      </c>
      <c r="C45" s="40" t="inlineStr">
        <is>
          <t>드론 측량 및 데이터 수집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드론응용모델링</t>
        </is>
      </c>
      <c r="C46" s="40" t="inlineStr">
        <is>
          <t>3D 메쉬·포인트클라우드 생성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구조모델링</t>
        </is>
      </c>
      <c r="C47" s="40" t="inlineStr">
        <is>
          <t>구조 BIM 모델링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상하수도모델링</t>
        </is>
      </c>
      <c r="C48" s="40" t="inlineStr">
        <is>
          <t>상하수도 BIM 모델링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4" t="inlineStr">
        <is>
          <t>J-8</t>
        </is>
      </c>
      <c r="B49" s="39" t="inlineStr">
        <is>
          <t>컨설팅</t>
        </is>
      </c>
      <c r="C49" s="40" t="inlineStr">
        <is>
          <t>클라이언트 요구분석</t>
        </is>
      </c>
      <c r="D49" s="30" t="inlineStr"/>
      <c r="E49" s="30" t="inlineStr"/>
      <c r="F49" s="30" t="inlineStr"/>
      <c r="G49" s="31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4" t="inlineStr">
        <is>
          <t>J-9</t>
        </is>
      </c>
      <c r="B50" s="39" t="inlineStr">
        <is>
          <t>컨설팅</t>
        </is>
      </c>
      <c r="C50" s="40" t="inlineStr">
        <is>
          <t>BIM 도입 컨설팅</t>
        </is>
      </c>
      <c r="D50" s="30" t="inlineStr"/>
      <c r="E50" s="30" t="inlineStr"/>
      <c r="F50" s="30" t="inlineStr"/>
      <c r="G50" s="31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4" t="inlineStr">
        <is>
          <t>J-10</t>
        </is>
      </c>
      <c r="B51" s="39" t="inlineStr">
        <is>
          <t>컨설팅</t>
        </is>
      </c>
      <c r="C51" s="40" t="inlineStr">
        <is>
          <t>보고서 작성 및 발표</t>
        </is>
      </c>
      <c r="D51" s="30" t="inlineStr"/>
      <c r="E51" s="30" t="inlineStr"/>
      <c r="F51" s="30" t="inlineStr"/>
      <c r="G51" s="31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4" t="inlineStr">
        <is>
          <t>J-11</t>
        </is>
      </c>
      <c r="B52" s="39" t="inlineStr">
        <is>
          <t>프로젝트관리</t>
        </is>
      </c>
      <c r="C52" s="40" t="inlineStr">
        <is>
          <t>일정 및 자원 관리</t>
        </is>
      </c>
      <c r="D52" s="30" t="inlineStr"/>
      <c r="E52" s="30" t="inlineStr"/>
      <c r="F52" s="30" t="inlineStr"/>
      <c r="G52" s="31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4" t="inlineStr">
        <is>
          <t>J-12</t>
        </is>
      </c>
      <c r="B53" s="39" t="inlineStr">
        <is>
          <t>프로젝트관리</t>
        </is>
      </c>
      <c r="C53" s="40" t="inlineStr">
        <is>
          <t>품질 관리</t>
        </is>
      </c>
      <c r="D53" s="30" t="inlineStr"/>
      <c r="E53" s="30" t="inlineStr"/>
      <c r="F53" s="30" t="inlineStr"/>
      <c r="G53" s="31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4" t="inlineStr">
        <is>
          <t>J-13</t>
        </is>
      </c>
      <c r="B54" s="39" t="inlineStr">
        <is>
          <t>프로젝트관리</t>
        </is>
      </c>
      <c r="C54" s="40" t="inlineStr">
        <is>
          <t>리스크 관리</t>
        </is>
      </c>
      <c r="D54" s="30" t="inlineStr"/>
      <c r="E54" s="30" t="inlineStr"/>
      <c r="F54" s="30" t="inlineStr"/>
      <c r="G54" s="31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4" t="inlineStr">
        <is>
          <t>J-14</t>
        </is>
      </c>
      <c r="B55" s="39" t="inlineStr">
        <is>
          <t>기술개발</t>
        </is>
      </c>
      <c r="C55" s="40" t="inlineStr">
        <is>
          <t>BIM 라이브러리 구축</t>
        </is>
      </c>
      <c r="D55" s="30" t="inlineStr"/>
      <c r="E55" s="30" t="inlineStr"/>
      <c r="F55" s="30" t="inlineStr"/>
      <c r="G55" s="31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4" t="inlineStr">
        <is>
          <t>J-15</t>
        </is>
      </c>
      <c r="B56" s="39" t="inlineStr">
        <is>
          <t>기술개발</t>
        </is>
      </c>
      <c r="C56" s="40" t="inlineStr">
        <is>
          <t>내부 가이드라인 작성</t>
        </is>
      </c>
      <c r="D56" s="30" t="inlineStr"/>
      <c r="E56" s="30" t="inlineStr"/>
      <c r="F56" s="30" t="inlineStr"/>
      <c r="G56" s="31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8" ht="24" customHeight="1">
      <c r="A58" s="41" t="inlineStr">
        <is>
          <t>1차 평가자 직무 종합 (메인 책무 평균)</t>
        </is>
      </c>
      <c r="E58" s="33">
        <f>IFERROR(SUMPRODUCT((D42:D56="O")*IFERROR(IF(E42:E56="S",5,IF(E42:E56="A",4,IF(E42:E56="B",3,IF(E42:E56="C",2,IF(E42:E56="D",1,0))))),0))/COUNTIF(D42:D56,"O"),"")</f>
        <v/>
      </c>
      <c r="F58" s="35">
        <f>IF(E58="","",IF(E58&gt;=4.5,"S",IF(E58&gt;=3.5,"A",IF(E58&gt;=2.5,"B",IF(E58&gt;=1.5,"C","D")))))</f>
        <v/>
      </c>
    </row>
    <row r="59" ht="24" customHeight="1">
      <c r="A59" s="41" t="inlineStr">
        <is>
          <t>2차 평가자 직무 종합</t>
        </is>
      </c>
      <c r="E59" s="33">
        <f>IFERROR(SUMPRODUCT((D42:D56="O")*IFERROR(IF(F42:F56="S",5,IF(F42:F56="A",4,IF(F42:F56="B",3,IF(F42:F56="C",2,IF(F42:F56="D",1,0))))),0))/COUNTIF(D42:D56,"O"),"")</f>
        <v/>
      </c>
      <c r="F59" s="35">
        <f>IF(E59="","",IF(E59&gt;=4.5,"S",IF(E59&gt;=3.5,"A",IF(E59&gt;=2.5,"B",IF(E59&gt;=1.5,"C","D")))))</f>
        <v/>
      </c>
    </row>
    <row r="62" ht="32" customHeight="1">
      <c r="A62" s="42" t="inlineStr">
        <is>
          <t>▶ 통합관리시트 입력 행 (아래 한 줄 A~G 7개 셀 통째 복사 → 통합관리시트 07a/07b의 G~M에 [값 붙여넣기])</t>
        </is>
      </c>
    </row>
    <row r="63" ht="28" customHeight="1">
      <c r="A63" s="43" t="inlineStr">
        <is>
          <t>역할(1차)</t>
        </is>
      </c>
      <c r="B63" s="43" t="inlineStr">
        <is>
          <t>역할(2차)</t>
        </is>
      </c>
      <c r="C63" s="43" t="inlineStr">
        <is>
          <t>공통(1차)</t>
        </is>
      </c>
      <c r="D63" s="43" t="inlineStr">
        <is>
          <t>공통(2차)</t>
        </is>
      </c>
      <c r="E63" s="43" t="inlineStr">
        <is>
          <t>직무(1차)</t>
        </is>
      </c>
      <c r="F63" s="43" t="inlineStr">
        <is>
          <t>직무(2차)</t>
        </is>
      </c>
      <c r="G63" s="43" t="inlineStr">
        <is>
          <t>소견</t>
        </is>
      </c>
    </row>
    <row r="64" ht="36" customHeight="1">
      <c r="A64" s="44">
        <f>F21</f>
        <v/>
      </c>
      <c r="B64" s="44">
        <f>F22</f>
        <v/>
      </c>
      <c r="C64" s="44">
        <f>F37</f>
        <v/>
      </c>
      <c r="D64" s="44">
        <f>F38</f>
        <v/>
      </c>
      <c r="E64" s="44">
        <f>F58</f>
        <v/>
      </c>
      <c r="F64" s="44">
        <f>F59</f>
        <v/>
      </c>
      <c r="G64" s="45" t="inlineStr"/>
    </row>
    <row r="65" ht="26" customHeight="1">
      <c r="A65" s="46" t="inlineStr">
        <is>
          <t>사용법: 위 한 줄 A~G 선택 → Ctrl+C → 통합관리시트 07a/07b 해당 사번 행 G~M에 [선택하여 붙여넣기 → 값]</t>
        </is>
      </c>
    </row>
    <row r="67" ht="24" customHeight="1">
      <c r="A67" s="3" t="inlineStr">
        <is>
          <t>▶ 종합 소견</t>
        </is>
      </c>
    </row>
    <row r="68" ht="40" customHeight="1">
      <c r="A68" s="21" t="inlineStr">
        <is>
          <t>강점</t>
        </is>
      </c>
      <c r="B68" s="47" t="inlineStr"/>
    </row>
    <row r="69" ht="40" customHeight="1">
      <c r="A69" s="21" t="inlineStr">
        <is>
          <t>개선</t>
        </is>
      </c>
      <c r="B69" s="47" t="inlineStr"/>
    </row>
    <row r="70" ht="40" customHeight="1">
      <c r="A70" s="21" t="inlineStr">
        <is>
          <t>육성 방향</t>
        </is>
      </c>
      <c r="B70" s="47" t="inlineStr"/>
    </row>
  </sheetData>
  <mergeCells count="23">
    <mergeCell ref="A67:H67"/>
    <mergeCell ref="A37:C37"/>
    <mergeCell ref="A24:H24"/>
    <mergeCell ref="B68:H68"/>
    <mergeCell ref="A62:G62"/>
    <mergeCell ref="F8:H8"/>
    <mergeCell ref="A21:C21"/>
    <mergeCell ref="A1:H1"/>
    <mergeCell ref="A58:D58"/>
    <mergeCell ref="A7:H7"/>
    <mergeCell ref="A22:C22"/>
    <mergeCell ref="A59:D59"/>
    <mergeCell ref="F9:H9"/>
    <mergeCell ref="A38:C38"/>
    <mergeCell ref="A2:H2"/>
    <mergeCell ref="B70:H70"/>
    <mergeCell ref="A65:G65"/>
    <mergeCell ref="A4:H4"/>
    <mergeCell ref="F10:H10"/>
    <mergeCell ref="B14:H14"/>
    <mergeCell ref="B69:H69"/>
    <mergeCell ref="A13:H13"/>
    <mergeCell ref="A40:H40"/>
  </mergeCells>
  <conditionalFormatting sqref="A64:G6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56" showDropDown="0" showInputMessage="0" showErrorMessage="0" allowBlank="1" type="list">
      <formula1>"O,X"</formula1>
    </dataValidation>
    <dataValidation sqref="E42:F5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BIM컨설팅 / G4 (실무 책임(PM))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BIM컨설팅</t>
        </is>
      </c>
      <c r="E6" s="18" t="inlineStr">
        <is>
          <t>역할등급</t>
        </is>
      </c>
      <c r="F6" s="20" t="inlineStr">
        <is>
          <t>G4</t>
        </is>
      </c>
      <c r="G6" s="18" t="inlineStr">
        <is>
          <t>역할명</t>
        </is>
      </c>
      <c r="H6" s="20" t="inlineStr">
        <is>
          <t>실무 책임(PM)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단위 프로젝트의 전략 수립·추진을 주도하며 예산·일정·품질 목표 달성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계획모델링</t>
        </is>
      </c>
      <c r="C42" s="40" t="inlineStr">
        <is>
          <t>BIM 기반 설계 계획수립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계획모델링</t>
        </is>
      </c>
      <c r="C43" s="40" t="inlineStr">
        <is>
          <t>설계 모델링 수행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계획모델링</t>
        </is>
      </c>
      <c r="C44" s="40" t="inlineStr">
        <is>
          <t>품질 검토 및 협업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드론응용모델링</t>
        </is>
      </c>
      <c r="C45" s="40" t="inlineStr">
        <is>
          <t>드론 측량 및 데이터 수집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드론응용모델링</t>
        </is>
      </c>
      <c r="C46" s="40" t="inlineStr">
        <is>
          <t>3D 메쉬·포인트클라우드 생성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구조모델링</t>
        </is>
      </c>
      <c r="C47" s="40" t="inlineStr">
        <is>
          <t>구조 BIM 모델링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상하수도모델링</t>
        </is>
      </c>
      <c r="C48" s="40" t="inlineStr">
        <is>
          <t>상하수도 BIM 모델링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4" t="inlineStr">
        <is>
          <t>J-8</t>
        </is>
      </c>
      <c r="B49" s="39" t="inlineStr">
        <is>
          <t>컨설팅</t>
        </is>
      </c>
      <c r="C49" s="40" t="inlineStr">
        <is>
          <t>클라이언트 요구분석</t>
        </is>
      </c>
      <c r="D49" s="30" t="inlineStr"/>
      <c r="E49" s="30" t="inlineStr"/>
      <c r="F49" s="30" t="inlineStr"/>
      <c r="G49" s="31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4" t="inlineStr">
        <is>
          <t>J-9</t>
        </is>
      </c>
      <c r="B50" s="39" t="inlineStr">
        <is>
          <t>컨설팅</t>
        </is>
      </c>
      <c r="C50" s="40" t="inlineStr">
        <is>
          <t>BIM 도입 컨설팅</t>
        </is>
      </c>
      <c r="D50" s="30" t="inlineStr"/>
      <c r="E50" s="30" t="inlineStr"/>
      <c r="F50" s="30" t="inlineStr"/>
      <c r="G50" s="31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4" t="inlineStr">
        <is>
          <t>J-10</t>
        </is>
      </c>
      <c r="B51" s="39" t="inlineStr">
        <is>
          <t>컨설팅</t>
        </is>
      </c>
      <c r="C51" s="40" t="inlineStr">
        <is>
          <t>보고서 작성 및 발표</t>
        </is>
      </c>
      <c r="D51" s="30" t="inlineStr"/>
      <c r="E51" s="30" t="inlineStr"/>
      <c r="F51" s="30" t="inlineStr"/>
      <c r="G51" s="31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4" t="inlineStr">
        <is>
          <t>J-11</t>
        </is>
      </c>
      <c r="B52" s="39" t="inlineStr">
        <is>
          <t>프로젝트관리</t>
        </is>
      </c>
      <c r="C52" s="40" t="inlineStr">
        <is>
          <t>일정 및 자원 관리</t>
        </is>
      </c>
      <c r="D52" s="30" t="inlineStr"/>
      <c r="E52" s="30" t="inlineStr"/>
      <c r="F52" s="30" t="inlineStr"/>
      <c r="G52" s="31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4" t="inlineStr">
        <is>
          <t>J-12</t>
        </is>
      </c>
      <c r="B53" s="39" t="inlineStr">
        <is>
          <t>프로젝트관리</t>
        </is>
      </c>
      <c r="C53" s="40" t="inlineStr">
        <is>
          <t>품질 관리</t>
        </is>
      </c>
      <c r="D53" s="30" t="inlineStr"/>
      <c r="E53" s="30" t="inlineStr"/>
      <c r="F53" s="30" t="inlineStr"/>
      <c r="G53" s="31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4" t="inlineStr">
        <is>
          <t>J-13</t>
        </is>
      </c>
      <c r="B54" s="39" t="inlineStr">
        <is>
          <t>프로젝트관리</t>
        </is>
      </c>
      <c r="C54" s="40" t="inlineStr">
        <is>
          <t>리스크 관리</t>
        </is>
      </c>
      <c r="D54" s="30" t="inlineStr"/>
      <c r="E54" s="30" t="inlineStr"/>
      <c r="F54" s="30" t="inlineStr"/>
      <c r="G54" s="31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4" t="inlineStr">
        <is>
          <t>J-14</t>
        </is>
      </c>
      <c r="B55" s="39" t="inlineStr">
        <is>
          <t>기술개발</t>
        </is>
      </c>
      <c r="C55" s="40" t="inlineStr">
        <is>
          <t>BIM 라이브러리 구축</t>
        </is>
      </c>
      <c r="D55" s="30" t="inlineStr"/>
      <c r="E55" s="30" t="inlineStr"/>
      <c r="F55" s="30" t="inlineStr"/>
      <c r="G55" s="31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4" t="inlineStr">
        <is>
          <t>J-15</t>
        </is>
      </c>
      <c r="B56" s="39" t="inlineStr">
        <is>
          <t>기술개발</t>
        </is>
      </c>
      <c r="C56" s="40" t="inlineStr">
        <is>
          <t>내부 가이드라인 작성</t>
        </is>
      </c>
      <c r="D56" s="30" t="inlineStr"/>
      <c r="E56" s="30" t="inlineStr"/>
      <c r="F56" s="30" t="inlineStr"/>
      <c r="G56" s="31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8" ht="24" customHeight="1">
      <c r="A58" s="41" t="inlineStr">
        <is>
          <t>1차 평가자 직무 종합 (메인 책무 평균)</t>
        </is>
      </c>
      <c r="E58" s="33">
        <f>IFERROR(SUMPRODUCT((D42:D56="O")*IFERROR(IF(E42:E56="S",5,IF(E42:E56="A",4,IF(E42:E56="B",3,IF(E42:E56="C",2,IF(E42:E56="D",1,0))))),0))/COUNTIF(D42:D56,"O"),"")</f>
        <v/>
      </c>
      <c r="F58" s="35">
        <f>IF(E58="","",IF(E58&gt;=4.5,"S",IF(E58&gt;=3.5,"A",IF(E58&gt;=2.5,"B",IF(E58&gt;=1.5,"C","D")))))</f>
        <v/>
      </c>
    </row>
    <row r="59" ht="24" customHeight="1">
      <c r="A59" s="41" t="inlineStr">
        <is>
          <t>2차 평가자 직무 종합</t>
        </is>
      </c>
      <c r="E59" s="33">
        <f>IFERROR(SUMPRODUCT((D42:D56="O")*IFERROR(IF(F42:F56="S",5,IF(F42:F56="A",4,IF(F42:F56="B",3,IF(F42:F56="C",2,IF(F42:F56="D",1,0))))),0))/COUNTIF(D42:D56,"O"),"")</f>
        <v/>
      </c>
      <c r="F59" s="35">
        <f>IF(E59="","",IF(E59&gt;=4.5,"S",IF(E59&gt;=3.5,"A",IF(E59&gt;=2.5,"B",IF(E59&gt;=1.5,"C","D")))))</f>
        <v/>
      </c>
    </row>
    <row r="62" ht="32" customHeight="1">
      <c r="A62" s="42" t="inlineStr">
        <is>
          <t>▶ 통합관리시트 입력 행 (아래 한 줄 A~G 7개 셀 통째 복사 → 통합관리시트 07a/07b의 G~M에 [값 붙여넣기])</t>
        </is>
      </c>
    </row>
    <row r="63" ht="28" customHeight="1">
      <c r="A63" s="43" t="inlineStr">
        <is>
          <t>역할(1차)</t>
        </is>
      </c>
      <c r="B63" s="43" t="inlineStr">
        <is>
          <t>역할(2차)</t>
        </is>
      </c>
      <c r="C63" s="43" t="inlineStr">
        <is>
          <t>공통(1차)</t>
        </is>
      </c>
      <c r="D63" s="43" t="inlineStr">
        <is>
          <t>공통(2차)</t>
        </is>
      </c>
      <c r="E63" s="43" t="inlineStr">
        <is>
          <t>직무(1차)</t>
        </is>
      </c>
      <c r="F63" s="43" t="inlineStr">
        <is>
          <t>직무(2차)</t>
        </is>
      </c>
      <c r="G63" s="43" t="inlineStr">
        <is>
          <t>소견</t>
        </is>
      </c>
    </row>
    <row r="64" ht="36" customHeight="1">
      <c r="A64" s="44">
        <f>F21</f>
        <v/>
      </c>
      <c r="B64" s="44">
        <f>F22</f>
        <v/>
      </c>
      <c r="C64" s="44">
        <f>F37</f>
        <v/>
      </c>
      <c r="D64" s="44">
        <f>F38</f>
        <v/>
      </c>
      <c r="E64" s="44">
        <f>F58</f>
        <v/>
      </c>
      <c r="F64" s="44">
        <f>F59</f>
        <v/>
      </c>
      <c r="G64" s="45" t="inlineStr"/>
    </row>
    <row r="65" ht="26" customHeight="1">
      <c r="A65" s="46" t="inlineStr">
        <is>
          <t>사용법: 위 한 줄 A~G 선택 → Ctrl+C → 통합관리시트 07a/07b 해당 사번 행 G~M에 [선택하여 붙여넣기 → 값]</t>
        </is>
      </c>
    </row>
    <row r="67" ht="24" customHeight="1">
      <c r="A67" s="3" t="inlineStr">
        <is>
          <t>▶ 종합 소견</t>
        </is>
      </c>
    </row>
    <row r="68" ht="40" customHeight="1">
      <c r="A68" s="21" t="inlineStr">
        <is>
          <t>강점</t>
        </is>
      </c>
      <c r="B68" s="47" t="inlineStr"/>
    </row>
    <row r="69" ht="40" customHeight="1">
      <c r="A69" s="21" t="inlineStr">
        <is>
          <t>개선</t>
        </is>
      </c>
      <c r="B69" s="47" t="inlineStr"/>
    </row>
    <row r="70" ht="40" customHeight="1">
      <c r="A70" s="21" t="inlineStr">
        <is>
          <t>육성 방향</t>
        </is>
      </c>
      <c r="B70" s="47" t="inlineStr"/>
    </row>
  </sheetData>
  <mergeCells count="23">
    <mergeCell ref="A67:H67"/>
    <mergeCell ref="A37:C37"/>
    <mergeCell ref="A24:H24"/>
    <mergeCell ref="B68:H68"/>
    <mergeCell ref="A62:G62"/>
    <mergeCell ref="F8:H8"/>
    <mergeCell ref="A21:C21"/>
    <mergeCell ref="A1:H1"/>
    <mergeCell ref="A58:D58"/>
    <mergeCell ref="A7:H7"/>
    <mergeCell ref="A22:C22"/>
    <mergeCell ref="A59:D59"/>
    <mergeCell ref="F9:H9"/>
    <mergeCell ref="A38:C38"/>
    <mergeCell ref="A2:H2"/>
    <mergeCell ref="B70:H70"/>
    <mergeCell ref="A65:G65"/>
    <mergeCell ref="A4:H4"/>
    <mergeCell ref="F10:H10"/>
    <mergeCell ref="B14:H14"/>
    <mergeCell ref="B69:H69"/>
    <mergeCell ref="A13:H13"/>
    <mergeCell ref="A40:H40"/>
  </mergeCells>
  <conditionalFormatting sqref="A64:G6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56" showDropDown="0" showInputMessage="0" showErrorMessage="0" allowBlank="1" type="list">
      <formula1>"O,X"</formula1>
    </dataValidation>
    <dataValidation sqref="E42:F5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BIM컨설팅 / G3 (핵심 실무)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BIM컨설팅</t>
        </is>
      </c>
      <c r="E6" s="18" t="inlineStr">
        <is>
          <t>역할등급</t>
        </is>
      </c>
      <c r="F6" s="20" t="inlineStr">
        <is>
          <t>G3</t>
        </is>
      </c>
      <c r="G6" s="18" t="inlineStr">
        <is>
          <t>역할명</t>
        </is>
      </c>
      <c r="H6" s="20" t="inlineStr">
        <is>
          <t>핵심 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전문 지식과 기술로 핵심 과업을 기획·수행하며 산출물 품질·일정 준수 책임.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계획모델링</t>
        </is>
      </c>
      <c r="C42" s="40" t="inlineStr">
        <is>
          <t>BIM 기반 설계 계획수립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계획모델링</t>
        </is>
      </c>
      <c r="C43" s="40" t="inlineStr">
        <is>
          <t>설계 모델링 수행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계획모델링</t>
        </is>
      </c>
      <c r="C44" s="40" t="inlineStr">
        <is>
          <t>품질 검토 및 협업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드론응용모델링</t>
        </is>
      </c>
      <c r="C45" s="40" t="inlineStr">
        <is>
          <t>드론 측량 및 데이터 수집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드론응용모델링</t>
        </is>
      </c>
      <c r="C46" s="40" t="inlineStr">
        <is>
          <t>3D 메쉬·포인트클라우드 생성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구조모델링</t>
        </is>
      </c>
      <c r="C47" s="40" t="inlineStr">
        <is>
          <t>구조 BIM 모델링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상하수도모델링</t>
        </is>
      </c>
      <c r="C48" s="40" t="inlineStr">
        <is>
          <t>상하수도 BIM 모델링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4" t="inlineStr">
        <is>
          <t>J-8</t>
        </is>
      </c>
      <c r="B49" s="39" t="inlineStr">
        <is>
          <t>컨설팅</t>
        </is>
      </c>
      <c r="C49" s="40" t="inlineStr">
        <is>
          <t>클라이언트 요구분석</t>
        </is>
      </c>
      <c r="D49" s="30" t="inlineStr"/>
      <c r="E49" s="30" t="inlineStr"/>
      <c r="F49" s="30" t="inlineStr"/>
      <c r="G49" s="31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4" t="inlineStr">
        <is>
          <t>J-9</t>
        </is>
      </c>
      <c r="B50" s="39" t="inlineStr">
        <is>
          <t>컨설팅</t>
        </is>
      </c>
      <c r="C50" s="40" t="inlineStr">
        <is>
          <t>BIM 도입 컨설팅</t>
        </is>
      </c>
      <c r="D50" s="30" t="inlineStr"/>
      <c r="E50" s="30" t="inlineStr"/>
      <c r="F50" s="30" t="inlineStr"/>
      <c r="G50" s="31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4" t="inlineStr">
        <is>
          <t>J-10</t>
        </is>
      </c>
      <c r="B51" s="39" t="inlineStr">
        <is>
          <t>컨설팅</t>
        </is>
      </c>
      <c r="C51" s="40" t="inlineStr">
        <is>
          <t>보고서 작성 및 발표</t>
        </is>
      </c>
      <c r="D51" s="30" t="inlineStr"/>
      <c r="E51" s="30" t="inlineStr"/>
      <c r="F51" s="30" t="inlineStr"/>
      <c r="G51" s="31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4" t="inlineStr">
        <is>
          <t>J-11</t>
        </is>
      </c>
      <c r="B52" s="39" t="inlineStr">
        <is>
          <t>프로젝트관리</t>
        </is>
      </c>
      <c r="C52" s="40" t="inlineStr">
        <is>
          <t>일정 및 자원 관리</t>
        </is>
      </c>
      <c r="D52" s="30" t="inlineStr"/>
      <c r="E52" s="30" t="inlineStr"/>
      <c r="F52" s="30" t="inlineStr"/>
      <c r="G52" s="31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4" t="inlineStr">
        <is>
          <t>J-12</t>
        </is>
      </c>
      <c r="B53" s="39" t="inlineStr">
        <is>
          <t>프로젝트관리</t>
        </is>
      </c>
      <c r="C53" s="40" t="inlineStr">
        <is>
          <t>품질 관리</t>
        </is>
      </c>
      <c r="D53" s="30" t="inlineStr"/>
      <c r="E53" s="30" t="inlineStr"/>
      <c r="F53" s="30" t="inlineStr"/>
      <c r="G53" s="31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4" t="inlineStr">
        <is>
          <t>J-13</t>
        </is>
      </c>
      <c r="B54" s="39" t="inlineStr">
        <is>
          <t>프로젝트관리</t>
        </is>
      </c>
      <c r="C54" s="40" t="inlineStr">
        <is>
          <t>리스크 관리</t>
        </is>
      </c>
      <c r="D54" s="30" t="inlineStr"/>
      <c r="E54" s="30" t="inlineStr"/>
      <c r="F54" s="30" t="inlineStr"/>
      <c r="G54" s="31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4" t="inlineStr">
        <is>
          <t>J-14</t>
        </is>
      </c>
      <c r="B55" s="39" t="inlineStr">
        <is>
          <t>기술개발</t>
        </is>
      </c>
      <c r="C55" s="40" t="inlineStr">
        <is>
          <t>BIM 라이브러리 구축</t>
        </is>
      </c>
      <c r="D55" s="30" t="inlineStr"/>
      <c r="E55" s="30" t="inlineStr"/>
      <c r="F55" s="30" t="inlineStr"/>
      <c r="G55" s="31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4" t="inlineStr">
        <is>
          <t>J-15</t>
        </is>
      </c>
      <c r="B56" s="39" t="inlineStr">
        <is>
          <t>기술개발</t>
        </is>
      </c>
      <c r="C56" s="40" t="inlineStr">
        <is>
          <t>내부 가이드라인 작성</t>
        </is>
      </c>
      <c r="D56" s="30" t="inlineStr"/>
      <c r="E56" s="30" t="inlineStr"/>
      <c r="F56" s="30" t="inlineStr"/>
      <c r="G56" s="31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8" ht="24" customHeight="1">
      <c r="A58" s="41" t="inlineStr">
        <is>
          <t>1차 평가자 직무 종합 (메인 책무 평균)</t>
        </is>
      </c>
      <c r="E58" s="33">
        <f>IFERROR(SUMPRODUCT((D42:D56="O")*IFERROR(IF(E42:E56="S",5,IF(E42:E56="A",4,IF(E42:E56="B",3,IF(E42:E56="C",2,IF(E42:E56="D",1,0))))),0))/COUNTIF(D42:D56,"O"),"")</f>
        <v/>
      </c>
      <c r="F58" s="35">
        <f>IF(E58="","",IF(E58&gt;=4.5,"S",IF(E58&gt;=3.5,"A",IF(E58&gt;=2.5,"B",IF(E58&gt;=1.5,"C","D")))))</f>
        <v/>
      </c>
    </row>
    <row r="59" ht="24" customHeight="1">
      <c r="A59" s="41" t="inlineStr">
        <is>
          <t>2차 평가자 직무 종합</t>
        </is>
      </c>
      <c r="E59" s="33">
        <f>IFERROR(SUMPRODUCT((D42:D56="O")*IFERROR(IF(F42:F56="S",5,IF(F42:F56="A",4,IF(F42:F56="B",3,IF(F42:F56="C",2,IF(F42:F56="D",1,0))))),0))/COUNTIF(D42:D56,"O"),"")</f>
        <v/>
      </c>
      <c r="F59" s="35">
        <f>IF(E59="","",IF(E59&gt;=4.5,"S",IF(E59&gt;=3.5,"A",IF(E59&gt;=2.5,"B",IF(E59&gt;=1.5,"C","D")))))</f>
        <v/>
      </c>
    </row>
    <row r="62" ht="32" customHeight="1">
      <c r="A62" s="42" t="inlineStr">
        <is>
          <t>▶ 통합관리시트 입력 행 (아래 한 줄 A~G 7개 셀 통째 복사 → 통합관리시트 07a/07b의 G~M에 [값 붙여넣기])</t>
        </is>
      </c>
    </row>
    <row r="63" ht="28" customHeight="1">
      <c r="A63" s="43" t="inlineStr">
        <is>
          <t>역할(1차)</t>
        </is>
      </c>
      <c r="B63" s="43" t="inlineStr">
        <is>
          <t>역할(2차)</t>
        </is>
      </c>
      <c r="C63" s="43" t="inlineStr">
        <is>
          <t>공통(1차)</t>
        </is>
      </c>
      <c r="D63" s="43" t="inlineStr">
        <is>
          <t>공통(2차)</t>
        </is>
      </c>
      <c r="E63" s="43" t="inlineStr">
        <is>
          <t>직무(1차)</t>
        </is>
      </c>
      <c r="F63" s="43" t="inlineStr">
        <is>
          <t>직무(2차)</t>
        </is>
      </c>
      <c r="G63" s="43" t="inlineStr">
        <is>
          <t>소견</t>
        </is>
      </c>
    </row>
    <row r="64" ht="36" customHeight="1">
      <c r="A64" s="44">
        <f>F21</f>
        <v/>
      </c>
      <c r="B64" s="44">
        <f>F22</f>
        <v/>
      </c>
      <c r="C64" s="44">
        <f>F37</f>
        <v/>
      </c>
      <c r="D64" s="44">
        <f>F38</f>
        <v/>
      </c>
      <c r="E64" s="44">
        <f>F58</f>
        <v/>
      </c>
      <c r="F64" s="44">
        <f>F59</f>
        <v/>
      </c>
      <c r="G64" s="45" t="inlineStr"/>
    </row>
    <row r="65" ht="26" customHeight="1">
      <c r="A65" s="46" t="inlineStr">
        <is>
          <t>사용법: 위 한 줄 A~G 선택 → Ctrl+C → 통합관리시트 07a/07b 해당 사번 행 G~M에 [선택하여 붙여넣기 → 값]</t>
        </is>
      </c>
    </row>
    <row r="67" ht="24" customHeight="1">
      <c r="A67" s="3" t="inlineStr">
        <is>
          <t>▶ 종합 소견</t>
        </is>
      </c>
    </row>
    <row r="68" ht="40" customHeight="1">
      <c r="A68" s="21" t="inlineStr">
        <is>
          <t>강점</t>
        </is>
      </c>
      <c r="B68" s="47" t="inlineStr"/>
    </row>
    <row r="69" ht="40" customHeight="1">
      <c r="A69" s="21" t="inlineStr">
        <is>
          <t>개선</t>
        </is>
      </c>
      <c r="B69" s="47" t="inlineStr"/>
    </row>
    <row r="70" ht="40" customHeight="1">
      <c r="A70" s="21" t="inlineStr">
        <is>
          <t>육성 방향</t>
        </is>
      </c>
      <c r="B70" s="47" t="inlineStr"/>
    </row>
  </sheetData>
  <mergeCells count="23">
    <mergeCell ref="A67:H67"/>
    <mergeCell ref="A37:C37"/>
    <mergeCell ref="A24:H24"/>
    <mergeCell ref="B68:H68"/>
    <mergeCell ref="A62:G62"/>
    <mergeCell ref="F8:H8"/>
    <mergeCell ref="A21:C21"/>
    <mergeCell ref="A1:H1"/>
    <mergeCell ref="A58:D58"/>
    <mergeCell ref="A7:H7"/>
    <mergeCell ref="A22:C22"/>
    <mergeCell ref="A59:D59"/>
    <mergeCell ref="F9:H9"/>
    <mergeCell ref="A38:C38"/>
    <mergeCell ref="A2:H2"/>
    <mergeCell ref="B70:H70"/>
    <mergeCell ref="A65:G65"/>
    <mergeCell ref="A4:H4"/>
    <mergeCell ref="F10:H10"/>
    <mergeCell ref="B14:H14"/>
    <mergeCell ref="B69:H69"/>
    <mergeCell ref="A13:H13"/>
    <mergeCell ref="A40:H40"/>
  </mergeCells>
  <conditionalFormatting sqref="A64:G6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56" showDropDown="0" showInputMessage="0" showErrorMessage="0" allowBlank="1" type="list">
      <formula1>"O,X"</formula1>
    </dataValidation>
    <dataValidation sqref="E42:F5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BIM컨설팅 / G2 (실무)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BIM컨설팅</t>
        </is>
      </c>
      <c r="E6" s="18" t="inlineStr">
        <is>
          <t>역할등급</t>
        </is>
      </c>
      <c r="F6" s="20" t="inlineStr">
        <is>
          <t>G2</t>
        </is>
      </c>
      <c r="G6" s="18" t="inlineStr">
        <is>
          <t>역할명</t>
        </is>
      </c>
      <c r="H6" s="20" t="inlineStr">
        <is>
          <t>실무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프로젝트 계획에 따라 독립적·자율적으로 세부 과업을 수행하고 산출물을 도출.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계획모델링</t>
        </is>
      </c>
      <c r="C42" s="40" t="inlineStr">
        <is>
          <t>BIM 기반 설계 계획수립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계획모델링</t>
        </is>
      </c>
      <c r="C43" s="40" t="inlineStr">
        <is>
          <t>설계 모델링 수행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계획모델링</t>
        </is>
      </c>
      <c r="C44" s="40" t="inlineStr">
        <is>
          <t>품질 검토 및 협업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드론응용모델링</t>
        </is>
      </c>
      <c r="C45" s="40" t="inlineStr">
        <is>
          <t>드론 측량 및 데이터 수집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드론응용모델링</t>
        </is>
      </c>
      <c r="C46" s="40" t="inlineStr">
        <is>
          <t>3D 메쉬·포인트클라우드 생성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구조모델링</t>
        </is>
      </c>
      <c r="C47" s="40" t="inlineStr">
        <is>
          <t>구조 BIM 모델링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상하수도모델링</t>
        </is>
      </c>
      <c r="C48" s="40" t="inlineStr">
        <is>
          <t>상하수도 BIM 모델링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4" t="inlineStr">
        <is>
          <t>J-8</t>
        </is>
      </c>
      <c r="B49" s="39" t="inlineStr">
        <is>
          <t>컨설팅</t>
        </is>
      </c>
      <c r="C49" s="40" t="inlineStr">
        <is>
          <t>클라이언트 요구분석</t>
        </is>
      </c>
      <c r="D49" s="30" t="inlineStr"/>
      <c r="E49" s="30" t="inlineStr"/>
      <c r="F49" s="30" t="inlineStr"/>
      <c r="G49" s="31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4" t="inlineStr">
        <is>
          <t>J-9</t>
        </is>
      </c>
      <c r="B50" s="39" t="inlineStr">
        <is>
          <t>컨설팅</t>
        </is>
      </c>
      <c r="C50" s="40" t="inlineStr">
        <is>
          <t>BIM 도입 컨설팅</t>
        </is>
      </c>
      <c r="D50" s="30" t="inlineStr"/>
      <c r="E50" s="30" t="inlineStr"/>
      <c r="F50" s="30" t="inlineStr"/>
      <c r="G50" s="31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4" t="inlineStr">
        <is>
          <t>J-10</t>
        </is>
      </c>
      <c r="B51" s="39" t="inlineStr">
        <is>
          <t>컨설팅</t>
        </is>
      </c>
      <c r="C51" s="40" t="inlineStr">
        <is>
          <t>보고서 작성 및 발표</t>
        </is>
      </c>
      <c r="D51" s="30" t="inlineStr"/>
      <c r="E51" s="30" t="inlineStr"/>
      <c r="F51" s="30" t="inlineStr"/>
      <c r="G51" s="31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4" t="inlineStr">
        <is>
          <t>J-11</t>
        </is>
      </c>
      <c r="B52" s="39" t="inlineStr">
        <is>
          <t>프로젝트관리</t>
        </is>
      </c>
      <c r="C52" s="40" t="inlineStr">
        <is>
          <t>일정 및 자원 관리</t>
        </is>
      </c>
      <c r="D52" s="30" t="inlineStr"/>
      <c r="E52" s="30" t="inlineStr"/>
      <c r="F52" s="30" t="inlineStr"/>
      <c r="G52" s="31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4" t="inlineStr">
        <is>
          <t>J-12</t>
        </is>
      </c>
      <c r="B53" s="39" t="inlineStr">
        <is>
          <t>프로젝트관리</t>
        </is>
      </c>
      <c r="C53" s="40" t="inlineStr">
        <is>
          <t>품질 관리</t>
        </is>
      </c>
      <c r="D53" s="30" t="inlineStr"/>
      <c r="E53" s="30" t="inlineStr"/>
      <c r="F53" s="30" t="inlineStr"/>
      <c r="G53" s="31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4" t="inlineStr">
        <is>
          <t>J-13</t>
        </is>
      </c>
      <c r="B54" s="39" t="inlineStr">
        <is>
          <t>프로젝트관리</t>
        </is>
      </c>
      <c r="C54" s="40" t="inlineStr">
        <is>
          <t>리스크 관리</t>
        </is>
      </c>
      <c r="D54" s="30" t="inlineStr"/>
      <c r="E54" s="30" t="inlineStr"/>
      <c r="F54" s="30" t="inlineStr"/>
      <c r="G54" s="31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4" t="inlineStr">
        <is>
          <t>J-14</t>
        </is>
      </c>
      <c r="B55" s="39" t="inlineStr">
        <is>
          <t>기술개발</t>
        </is>
      </c>
      <c r="C55" s="40" t="inlineStr">
        <is>
          <t>BIM 라이브러리 구축</t>
        </is>
      </c>
      <c r="D55" s="30" t="inlineStr"/>
      <c r="E55" s="30" t="inlineStr"/>
      <c r="F55" s="30" t="inlineStr"/>
      <c r="G55" s="31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4" t="inlineStr">
        <is>
          <t>J-15</t>
        </is>
      </c>
      <c r="B56" s="39" t="inlineStr">
        <is>
          <t>기술개발</t>
        </is>
      </c>
      <c r="C56" s="40" t="inlineStr">
        <is>
          <t>내부 가이드라인 작성</t>
        </is>
      </c>
      <c r="D56" s="30" t="inlineStr"/>
      <c r="E56" s="30" t="inlineStr"/>
      <c r="F56" s="30" t="inlineStr"/>
      <c r="G56" s="31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8" ht="24" customHeight="1">
      <c r="A58" s="41" t="inlineStr">
        <is>
          <t>1차 평가자 직무 종합 (메인 책무 평균)</t>
        </is>
      </c>
      <c r="E58" s="33">
        <f>IFERROR(SUMPRODUCT((D42:D56="O")*IFERROR(IF(E42:E56="S",5,IF(E42:E56="A",4,IF(E42:E56="B",3,IF(E42:E56="C",2,IF(E42:E56="D",1,0))))),0))/COUNTIF(D42:D56,"O"),"")</f>
        <v/>
      </c>
      <c r="F58" s="35">
        <f>IF(E58="","",IF(E58&gt;=4.5,"S",IF(E58&gt;=3.5,"A",IF(E58&gt;=2.5,"B",IF(E58&gt;=1.5,"C","D")))))</f>
        <v/>
      </c>
    </row>
    <row r="59" ht="24" customHeight="1">
      <c r="A59" s="41" t="inlineStr">
        <is>
          <t>2차 평가자 직무 종합</t>
        </is>
      </c>
      <c r="E59" s="33">
        <f>IFERROR(SUMPRODUCT((D42:D56="O")*IFERROR(IF(F42:F56="S",5,IF(F42:F56="A",4,IF(F42:F56="B",3,IF(F42:F56="C",2,IF(F42:F56="D",1,0))))),0))/COUNTIF(D42:D56,"O"),"")</f>
        <v/>
      </c>
      <c r="F59" s="35">
        <f>IF(E59="","",IF(E59&gt;=4.5,"S",IF(E59&gt;=3.5,"A",IF(E59&gt;=2.5,"B",IF(E59&gt;=1.5,"C","D")))))</f>
        <v/>
      </c>
    </row>
    <row r="62" ht="32" customHeight="1">
      <c r="A62" s="42" t="inlineStr">
        <is>
          <t>▶ 통합관리시트 입력 행 (아래 한 줄 A~G 7개 셀 통째 복사 → 통합관리시트 07a/07b의 G~M에 [값 붙여넣기])</t>
        </is>
      </c>
    </row>
    <row r="63" ht="28" customHeight="1">
      <c r="A63" s="43" t="inlineStr">
        <is>
          <t>역할(1차)</t>
        </is>
      </c>
      <c r="B63" s="43" t="inlineStr">
        <is>
          <t>역할(2차)</t>
        </is>
      </c>
      <c r="C63" s="43" t="inlineStr">
        <is>
          <t>공통(1차)</t>
        </is>
      </c>
      <c r="D63" s="43" t="inlineStr">
        <is>
          <t>공통(2차)</t>
        </is>
      </c>
      <c r="E63" s="43" t="inlineStr">
        <is>
          <t>직무(1차)</t>
        </is>
      </c>
      <c r="F63" s="43" t="inlineStr">
        <is>
          <t>직무(2차)</t>
        </is>
      </c>
      <c r="G63" s="43" t="inlineStr">
        <is>
          <t>소견</t>
        </is>
      </c>
    </row>
    <row r="64" ht="36" customHeight="1">
      <c r="A64" s="44">
        <f>F21</f>
        <v/>
      </c>
      <c r="B64" s="44">
        <f>F22</f>
        <v/>
      </c>
      <c r="C64" s="44">
        <f>F37</f>
        <v/>
      </c>
      <c r="D64" s="44">
        <f>F38</f>
        <v/>
      </c>
      <c r="E64" s="44">
        <f>F58</f>
        <v/>
      </c>
      <c r="F64" s="44">
        <f>F59</f>
        <v/>
      </c>
      <c r="G64" s="45" t="inlineStr"/>
    </row>
    <row r="65" ht="26" customHeight="1">
      <c r="A65" s="46" t="inlineStr">
        <is>
          <t>사용법: 위 한 줄 A~G 선택 → Ctrl+C → 통합관리시트 07a/07b 해당 사번 행 G~M에 [선택하여 붙여넣기 → 값]</t>
        </is>
      </c>
    </row>
    <row r="67" ht="24" customHeight="1">
      <c r="A67" s="3" t="inlineStr">
        <is>
          <t>▶ 종합 소견</t>
        </is>
      </c>
    </row>
    <row r="68" ht="40" customHeight="1">
      <c r="A68" s="21" t="inlineStr">
        <is>
          <t>강점</t>
        </is>
      </c>
      <c r="B68" s="47" t="inlineStr"/>
    </row>
    <row r="69" ht="40" customHeight="1">
      <c r="A69" s="21" t="inlineStr">
        <is>
          <t>개선</t>
        </is>
      </c>
      <c r="B69" s="47" t="inlineStr"/>
    </row>
    <row r="70" ht="40" customHeight="1">
      <c r="A70" s="21" t="inlineStr">
        <is>
          <t>육성 방향</t>
        </is>
      </c>
      <c r="B70" s="47" t="inlineStr"/>
    </row>
  </sheetData>
  <mergeCells count="23">
    <mergeCell ref="A67:H67"/>
    <mergeCell ref="A37:C37"/>
    <mergeCell ref="A24:H24"/>
    <mergeCell ref="B68:H68"/>
    <mergeCell ref="A62:G62"/>
    <mergeCell ref="F8:H8"/>
    <mergeCell ref="A21:C21"/>
    <mergeCell ref="A1:H1"/>
    <mergeCell ref="A58:D58"/>
    <mergeCell ref="A7:H7"/>
    <mergeCell ref="A22:C22"/>
    <mergeCell ref="A59:D59"/>
    <mergeCell ref="F9:H9"/>
    <mergeCell ref="A38:C38"/>
    <mergeCell ref="A2:H2"/>
    <mergeCell ref="B70:H70"/>
    <mergeCell ref="A65:G65"/>
    <mergeCell ref="A4:H4"/>
    <mergeCell ref="F10:H10"/>
    <mergeCell ref="B14:H14"/>
    <mergeCell ref="B69:H69"/>
    <mergeCell ref="A13:H13"/>
    <mergeCell ref="A40:H40"/>
  </mergeCells>
  <conditionalFormatting sqref="A64:G6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56" showDropDown="0" showInputMessage="0" showErrorMessage="0" allowBlank="1" type="list">
      <formula1>"O,X"</formula1>
    </dataValidation>
    <dataValidation sqref="E42:F5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성과평가지 양식 - BIM컨설팅 / G1 (실무 보조)</t>
        </is>
      </c>
    </row>
    <row r="2" ht="22" customHeight="1">
      <c r="A2" s="2" t="inlineStr">
        <is>
          <t>1·2차 평가자가 각자 등급(S/A/B/C/D)만 입력. 가중치·가중합산은 통합관리시트에서 자동 처리.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19" t="inlineStr"/>
      <c r="C5" s="18" t="inlineStr">
        <is>
          <t>성명</t>
        </is>
      </c>
      <c r="D5" s="19" t="inlineStr"/>
      <c r="E5" s="18" t="inlineStr">
        <is>
          <t>직군</t>
        </is>
      </c>
      <c r="F5" s="19" t="inlineStr"/>
      <c r="G5" s="18" t="inlineStr">
        <is>
          <t>부서</t>
        </is>
      </c>
      <c r="H5" s="19" t="inlineStr"/>
    </row>
    <row r="6" ht="22" customHeight="1">
      <c r="A6" s="18" t="inlineStr">
        <is>
          <t>기존직급</t>
        </is>
      </c>
      <c r="B6" s="19" t="inlineStr"/>
      <c r="C6" s="18" t="inlineStr">
        <is>
          <t>직무</t>
        </is>
      </c>
      <c r="D6" s="20" t="inlineStr">
        <is>
          <t>BIM컨설팅</t>
        </is>
      </c>
      <c r="E6" s="18" t="inlineStr">
        <is>
          <t>역할등급</t>
        </is>
      </c>
      <c r="F6" s="20" t="inlineStr">
        <is>
          <t>G1</t>
        </is>
      </c>
      <c r="G6" s="18" t="inlineStr">
        <is>
          <t>역할명</t>
        </is>
      </c>
      <c r="H6" s="20" t="inlineStr">
        <is>
          <t>실무 보조</t>
        </is>
      </c>
    </row>
    <row r="7" ht="24" customHeight="1">
      <c r="A7" s="3" t="inlineStr">
        <is>
          <t>▶ 평가자 정보 (주황셀에 입력)</t>
        </is>
      </c>
    </row>
    <row r="8" ht="24" customHeight="1">
      <c r="A8" s="15" t="inlineStr">
        <is>
          <t>구분</t>
        </is>
      </c>
      <c r="B8" s="15" t="inlineStr">
        <is>
          <t>사번</t>
        </is>
      </c>
      <c r="C8" s="15" t="inlineStr">
        <is>
          <t>성명</t>
        </is>
      </c>
      <c r="D8" s="15" t="inlineStr">
        <is>
          <t>직책</t>
        </is>
      </c>
      <c r="E8" s="15" t="inlineStr">
        <is>
          <t>부서</t>
        </is>
      </c>
      <c r="F8" s="15" t="inlineStr">
        <is>
          <t>이메일</t>
        </is>
      </c>
    </row>
    <row r="9" ht="24" customHeight="1">
      <c r="A9" s="21" t="inlineStr">
        <is>
          <t>1차 평가자 (직속상사)</t>
        </is>
      </c>
      <c r="B9" s="22" t="inlineStr"/>
      <c r="C9" s="22" t="inlineStr"/>
      <c r="D9" s="22" t="inlineStr"/>
      <c r="E9" s="22" t="inlineStr"/>
      <c r="F9" s="23" t="inlineStr"/>
    </row>
    <row r="10" ht="24" customHeight="1">
      <c r="A10" s="21" t="inlineStr">
        <is>
          <t>2차 평가자 (조정자)</t>
        </is>
      </c>
      <c r="B10" s="22" t="inlineStr"/>
      <c r="C10" s="22" t="inlineStr"/>
      <c r="D10" s="22" t="inlineStr"/>
      <c r="E10" s="22" t="inlineStr"/>
      <c r="F10" s="23" t="inlineStr"/>
    </row>
    <row r="11" ht="24" customHeight="1">
      <c r="A11" s="21" t="inlineStr">
        <is>
          <t>평가 차수</t>
        </is>
      </c>
      <c r="B11" s="24" t="inlineStr">
        <is>
          <t>상반기</t>
        </is>
      </c>
      <c r="C11" s="21" t="inlineStr">
        <is>
          <t>평가 완료일</t>
        </is>
      </c>
      <c r="D11" s="22" t="inlineStr"/>
    </row>
    <row r="13" ht="26" customHeight="1">
      <c r="A13" s="25" t="inlineStr">
        <is>
          <t>▶ ① 역할평가 — 5개 BARS 항목</t>
        </is>
      </c>
    </row>
    <row r="14" ht="38" customHeight="1">
      <c r="A14" s="26" t="inlineStr">
        <is>
          <t>역할 정의</t>
        </is>
      </c>
      <c r="B14" s="27" t="inlineStr">
        <is>
          <t>실무 이해와 기술·지식을 습득하며 프로젝트 진행 과정의 기본 과업을 보조.</t>
        </is>
      </c>
    </row>
    <row r="15" ht="28" customHeight="1">
      <c r="A15" s="28" t="inlineStr">
        <is>
          <t>No.</t>
        </is>
      </c>
      <c r="B15" s="28" t="inlineStr">
        <is>
          <t>평가항목</t>
        </is>
      </c>
      <c r="C15" s="28" t="inlineStr">
        <is>
          <t>평가 기준</t>
        </is>
      </c>
      <c r="D15" s="28" t="inlineStr">
        <is>
          <t>1차 평가자</t>
        </is>
      </c>
      <c r="E15" s="28" t="inlineStr">
        <is>
          <t>2차 평가자</t>
        </is>
      </c>
      <c r="F15" s="28" t="inlineStr">
        <is>
          <t>평균(참고)</t>
        </is>
      </c>
    </row>
    <row r="16" ht="38" customHeight="1">
      <c r="A16" s="26" t="inlineStr">
        <is>
          <t>R-1</t>
        </is>
      </c>
      <c r="B16" s="17" t="inlineStr">
        <is>
          <t>책임범위 이행도</t>
        </is>
      </c>
      <c r="C16" s="29" t="inlineStr">
        <is>
          <t>역할등급에 부합하는 책임 범위 내 업무 수행</t>
        </is>
      </c>
      <c r="D16" s="30" t="inlineStr"/>
      <c r="E16" s="30" t="inlineStr"/>
      <c r="F16" s="31">
        <f>IFERROR(IF(AND(D16&lt;&gt;"",E16&lt;&gt;""),(IF(D16="S",5,IF(D16="A",4,IF(D16="B",3,IF(D16="C",2,IF(D16="D",1,0)))))+IF(E16="S",5,IF(E16="A",4,IF(E16="B",3,IF(E16="C",2,IF(E16="D",1,0))))))/2,IF(D16&lt;&gt;"",IF(D16="S",5,IF(D16="A",4,IF(D16="B",3,IF(D16="C",2,IF(D16="D",1,0))))),IF(E16&lt;&gt;"",IF(E16="S",5,IF(E16="A",4,IF(E16="B",3,IF(E16="C",2,IF(E16="D",1,0))))),""))),"")</f>
        <v/>
      </c>
    </row>
    <row r="17" ht="38" customHeight="1">
      <c r="A17" s="26" t="inlineStr">
        <is>
          <t>R-2</t>
        </is>
      </c>
      <c r="B17" s="17" t="inlineStr">
        <is>
          <t>의사결정 적절성</t>
        </is>
      </c>
      <c r="C17" s="29" t="inlineStr">
        <is>
          <t>권한 수준 내 시의적절·합리적 의사결정</t>
        </is>
      </c>
      <c r="D17" s="30" t="inlineStr"/>
      <c r="E17" s="30" t="inlineStr"/>
      <c r="F17" s="31">
        <f>IFERROR(IF(AND(D17&lt;&gt;"",E17&lt;&gt;""),(IF(D17="S",5,IF(D17="A",4,IF(D17="B",3,IF(D17="C",2,IF(D17="D",1,0)))))+IF(E17="S",5,IF(E17="A",4,IF(E17="B",3,IF(E17="C",2,IF(E17="D",1,0))))))/2,IF(D17&lt;&gt;"",IF(D17="S",5,IF(D17="A",4,IF(D17="B",3,IF(D17="C",2,IF(D17="D",1,0))))),IF(E17&lt;&gt;"",IF(E17="S",5,IF(E17="A",4,IF(E17="B",3,IF(E17="C",2,IF(E17="D",1,0))))),""))),"")</f>
        <v/>
      </c>
    </row>
    <row r="18" ht="38" customHeight="1">
      <c r="A18" s="26" t="inlineStr">
        <is>
          <t>R-3</t>
        </is>
      </c>
      <c r="B18" s="17" t="inlineStr">
        <is>
          <t>성과 기여도</t>
        </is>
      </c>
      <c r="C18" s="29" t="inlineStr">
        <is>
          <t>조직·프로젝트 목표 달성에 정량적 기여</t>
        </is>
      </c>
      <c r="D18" s="30" t="inlineStr"/>
      <c r="E18" s="30" t="inlineStr"/>
      <c r="F18" s="31">
        <f>IFERROR(IF(AND(D18&lt;&gt;"",E18&lt;&gt;""),(IF(D18="S",5,IF(D18="A",4,IF(D18="B",3,IF(D18="C",2,IF(D18="D",1,0)))))+IF(E18="S",5,IF(E18="A",4,IF(E18="B",3,IF(E18="C",2,IF(E18="D",1,0))))))/2,IF(D18&lt;&gt;"",IF(D18="S",5,IF(D18="A",4,IF(D18="B",3,IF(D18="C",2,IF(D18="D",1,0))))),IF(E18&lt;&gt;"",IF(E18="S",5,IF(E18="A",4,IF(E18="B",3,IF(E18="C",2,IF(E18="D",1,0))))),""))),"")</f>
        <v/>
      </c>
    </row>
    <row r="19" ht="38" customHeight="1">
      <c r="A19" s="26" t="inlineStr">
        <is>
          <t>R-4</t>
        </is>
      </c>
      <c r="B19" s="17" t="inlineStr">
        <is>
          <t>조직 후배 코칭</t>
        </is>
      </c>
      <c r="C19" s="29" t="inlineStr">
        <is>
          <t>상·하위 역할과 효과적 협업 및 후배 코칭</t>
        </is>
      </c>
      <c r="D19" s="30" t="inlineStr"/>
      <c r="E19" s="30" t="inlineStr"/>
      <c r="F19" s="31">
        <f>IFERROR(IF(AND(D19&lt;&gt;"",E19&lt;&gt;""),(IF(D19="S",5,IF(D19="A",4,IF(D19="B",3,IF(D19="C",2,IF(D19="D",1,0)))))+IF(E19="S",5,IF(E19="A",4,IF(E19="B",3,IF(E19="C",2,IF(E19="D",1,0))))))/2,IF(D19&lt;&gt;"",IF(D19="S",5,IF(D19="A",4,IF(D19="B",3,IF(D19="C",2,IF(D19="D",1,0))))),IF(E19&lt;&gt;"",IF(E19="S",5,IF(E19="A",4,IF(E19="B",3,IF(E19="C",2,IF(E19="D",1,0))))),""))),"")</f>
        <v/>
      </c>
    </row>
    <row r="20" ht="38" customHeight="1">
      <c r="A20" s="26" t="inlineStr">
        <is>
          <t>R-5</t>
        </is>
      </c>
      <c r="B20" s="17" t="inlineStr">
        <is>
          <t>산출물 완성도</t>
        </is>
      </c>
      <c r="C20" s="29" t="inlineStr">
        <is>
          <t>산출물 품질과 기한 준수</t>
        </is>
      </c>
      <c r="D20" s="30" t="inlineStr"/>
      <c r="E20" s="30" t="inlineStr"/>
      <c r="F20" s="31">
        <f>IFERROR(IF(AND(D20&lt;&gt;"",E20&lt;&gt;""),(IF(D20="S",5,IF(D20="A",4,IF(D20="B",3,IF(D20="C",2,IF(D20="D",1,0)))))+IF(E20="S",5,IF(E20="A",4,IF(E20="B",3,IF(E20="C",2,IF(E20="D",1,0))))))/2,IF(D20&lt;&gt;"",IF(D20="S",5,IF(D20="A",4,IF(D20="B",3,IF(D20="C",2,IF(D20="D",1,0))))),IF(E20&lt;&gt;"",IF(E20="S",5,IF(E20="A",4,IF(E20="B",3,IF(E20="C",2,IF(E20="D",1,0))))),""))),"")</f>
        <v/>
      </c>
    </row>
    <row r="21" ht="24" customHeight="1">
      <c r="A21" s="32" t="inlineStr">
        <is>
          <t>1차 평가자 역할 종합 (5개 평균)</t>
        </is>
      </c>
      <c r="D21" s="33">
        <f>IFERROR((IF(D16="S",5,IF(D16="A",4,IF(D16="B",3,IF(D16="C",2,IF(D16="D",1,0)))))+IF(D17="S",5,IF(D17="A",4,IF(D17="B",3,IF(D17="C",2,IF(D17="D",1,0)))))+IF(D18="S",5,IF(D18="A",4,IF(D18="B",3,IF(D18="C",2,IF(D18="D",1,0)))))+IF(D19="S",5,IF(D19="A",4,IF(D19="B",3,IF(D19="C",2,IF(D19="D",1,0)))))+IF(D20="S",5,IF(D20="A",4,IF(D20="B",3,IF(D20="C",2,IF(D20="D",1,0))))))/5,"")</f>
        <v/>
      </c>
      <c r="E21" s="34" t="inlineStr">
        <is>
          <t>→ 등급</t>
        </is>
      </c>
      <c r="F21" s="35">
        <f>IF(D21="","",IF(D21&gt;=4.5,"S",IF(D21&gt;=3.5,"A",IF(D21&gt;=2.5,"B",IF(D21&gt;=1.5,"C","D")))))</f>
        <v/>
      </c>
    </row>
    <row r="22" ht="24" customHeight="1">
      <c r="A22" s="32" t="inlineStr">
        <is>
          <t>2차 평가자 역할 종합 (5개 평균)</t>
        </is>
      </c>
      <c r="D22" s="3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E22" s="34" t="inlineStr">
        <is>
          <t>→ 등급</t>
        </is>
      </c>
      <c r="F22" s="35">
        <f>IF(D22="","",IF(D22&gt;=4.5,"S",IF(D22&gt;=3.5,"A",IF(D22&gt;=2.5,"B",IF(D22&gt;=1.5,"C","D")))))</f>
        <v/>
      </c>
    </row>
    <row r="24" ht="26" customHeight="1">
      <c r="A24" s="36" t="inlineStr">
        <is>
          <t>▶ ② 공통역량평가 — 11개 (1·2차 평가자 등급만 입력)</t>
        </is>
      </c>
    </row>
    <row r="25" ht="28" customHeight="1">
      <c r="A25" s="28" t="inlineStr">
        <is>
          <t>No.</t>
        </is>
      </c>
      <c r="B25" s="28" t="inlineStr">
        <is>
          <t>역량군</t>
        </is>
      </c>
      <c r="C25" s="28" t="inlineStr">
        <is>
          <t>핵심 역량</t>
        </is>
      </c>
      <c r="D25" s="28" t="inlineStr">
        <is>
          <t>1차 평가자</t>
        </is>
      </c>
      <c r="E25" s="28" t="inlineStr">
        <is>
          <t>2차 평가자</t>
        </is>
      </c>
      <c r="F25" s="28" t="inlineStr">
        <is>
          <t>평균(참고)</t>
        </is>
      </c>
    </row>
    <row r="26" ht="24" customHeight="1">
      <c r="A26" s="2" t="inlineStr">
        <is>
          <t>C-1</t>
        </is>
      </c>
      <c r="B26" s="2" t="inlineStr">
        <is>
          <t>업무</t>
        </is>
      </c>
      <c r="C26" s="17" t="inlineStr">
        <is>
          <t>직무 전문성</t>
        </is>
      </c>
      <c r="D26" s="30" t="inlineStr"/>
      <c r="E26" s="30" t="inlineStr"/>
      <c r="F26" s="31">
        <f>IFERROR(IF(AND(D26&lt;&gt;"",E26&lt;&gt;""),(IF(D26="S",5,IF(D26="A",4,IF(D26="B",3,IF(D26="C",2,IF(D26="D",1,0)))))+IF(E26="S",5,IF(E26="A",4,IF(E26="B",3,IF(E26="C",2,IF(E26="D",1,0))))))/2,IF(D26&lt;&gt;"",IF(D26="S",5,IF(D26="A",4,IF(D26="B",3,IF(D26="C",2,IF(D26="D",1,0))))),IF(E26&lt;&gt;"",IF(E26="S",5,IF(E26="A",4,IF(E26="B",3,IF(E26="C",2,IF(E26="D",1,0))))),""))),"")</f>
        <v/>
      </c>
    </row>
    <row r="27" ht="24" customHeight="1">
      <c r="A27" s="2" t="inlineStr">
        <is>
          <t>C-2</t>
        </is>
      </c>
      <c r="B27" s="2" t="inlineStr">
        <is>
          <t>업무</t>
        </is>
      </c>
      <c r="C27" s="17" t="inlineStr">
        <is>
          <t>분석력</t>
        </is>
      </c>
      <c r="D27" s="30" t="inlineStr"/>
      <c r="E27" s="30" t="inlineStr"/>
      <c r="F27" s="31">
        <f>IFERROR(IF(AND(D27&lt;&gt;"",E27&lt;&gt;""),(IF(D27="S",5,IF(D27="A",4,IF(D27="B",3,IF(D27="C",2,IF(D27="D",1,0)))))+IF(E27="S",5,IF(E27="A",4,IF(E27="B",3,IF(E27="C",2,IF(E27="D",1,0))))))/2,IF(D27&lt;&gt;"",IF(D27="S",5,IF(D27="A",4,IF(D27="B",3,IF(D27="C",2,IF(D27="D",1,0))))),IF(E27&lt;&gt;"",IF(E27="S",5,IF(E27="A",4,IF(E27="B",3,IF(E27="C",2,IF(E27="D",1,0))))),""))),"")</f>
        <v/>
      </c>
    </row>
    <row r="28" ht="24" customHeight="1">
      <c r="A28" s="2" t="inlineStr">
        <is>
          <t>C-3</t>
        </is>
      </c>
      <c r="B28" s="2" t="inlineStr">
        <is>
          <t>업무</t>
        </is>
      </c>
      <c r="C28" s="17" t="inlineStr">
        <is>
          <t>기획/실행력</t>
        </is>
      </c>
      <c r="D28" s="30" t="inlineStr"/>
      <c r="E28" s="30" t="inlineStr"/>
      <c r="F28" s="31">
        <f>IFERROR(IF(AND(D28&lt;&gt;"",E28&lt;&gt;""),(IF(D28="S",5,IF(D28="A",4,IF(D28="B",3,IF(D28="C",2,IF(D28="D",1,0)))))+IF(E28="S",5,IF(E28="A",4,IF(E28="B",3,IF(E28="C",2,IF(E28="D",1,0))))))/2,IF(D28&lt;&gt;"",IF(D28="S",5,IF(D28="A",4,IF(D28="B",3,IF(D28="C",2,IF(D28="D",1,0))))),IF(E28&lt;&gt;"",IF(E28="S",5,IF(E28="A",4,IF(E28="B",3,IF(E28="C",2,IF(E28="D",1,0))))),""))),"")</f>
        <v/>
      </c>
    </row>
    <row r="29" ht="24" customHeight="1">
      <c r="A29" s="2" t="inlineStr">
        <is>
          <t>C-4</t>
        </is>
      </c>
      <c r="B29" s="2" t="inlineStr">
        <is>
          <t>조직</t>
        </is>
      </c>
      <c r="C29" s="17" t="inlineStr">
        <is>
          <t>자원·시간 관리</t>
        </is>
      </c>
      <c r="D29" s="30" t="inlineStr"/>
      <c r="E29" s="30" t="inlineStr"/>
      <c r="F29" s="31">
        <f>IFERROR(IF(AND(D29&lt;&gt;"",E29&lt;&gt;""),(IF(D29="S",5,IF(D29="A",4,IF(D29="B",3,IF(D29="C",2,IF(D29="D",1,0)))))+IF(E29="S",5,IF(E29="A",4,IF(E29="B",3,IF(E29="C",2,IF(E29="D",1,0))))))/2,IF(D29&lt;&gt;"",IF(D29="S",5,IF(D29="A",4,IF(D29="B",3,IF(D29="C",2,IF(D29="D",1,0))))),IF(E29&lt;&gt;"",IF(E29="S",5,IF(E29="A",4,IF(E29="B",3,IF(E29="C",2,IF(E29="D",1,0))))),""))),"")</f>
        <v/>
      </c>
    </row>
    <row r="30" ht="24" customHeight="1">
      <c r="A30" s="2" t="inlineStr">
        <is>
          <t>C-5</t>
        </is>
      </c>
      <c r="B30" s="2" t="inlineStr">
        <is>
          <t>조직</t>
        </is>
      </c>
      <c r="C30" s="17" t="inlineStr">
        <is>
          <t>협업 능력</t>
        </is>
      </c>
      <c r="D30" s="30" t="inlineStr"/>
      <c r="E30" s="30" t="inlineStr"/>
      <c r="F30" s="31">
        <f>IFERROR(IF(AND(D30&lt;&gt;"",E30&lt;&gt;""),(IF(D30="S",5,IF(D30="A",4,IF(D30="B",3,IF(D30="C",2,IF(D30="D",1,0)))))+IF(E30="S",5,IF(E30="A",4,IF(E30="B",3,IF(E30="C",2,IF(E30="D",1,0))))))/2,IF(D30&lt;&gt;"",IF(D30="S",5,IF(D30="A",4,IF(D30="B",3,IF(D30="C",2,IF(D30="D",1,0))))),IF(E30&lt;&gt;"",IF(E30="S",5,IF(E30="A",4,IF(E30="B",3,IF(E30="C",2,IF(E30="D",1,0))))),""))),"")</f>
        <v/>
      </c>
    </row>
    <row r="31" ht="24" customHeight="1">
      <c r="A31" s="2" t="inlineStr">
        <is>
          <t>C-6</t>
        </is>
      </c>
      <c r="B31" s="2" t="inlineStr">
        <is>
          <t>조직</t>
        </is>
      </c>
      <c r="C31" s="17" t="inlineStr">
        <is>
          <t>소통 능력</t>
        </is>
      </c>
      <c r="D31" s="30" t="inlineStr"/>
      <c r="E31" s="30" t="inlineStr"/>
      <c r="F31" s="31">
        <f>IFERROR(IF(AND(D31&lt;&gt;"",E31&lt;&gt;""),(IF(D31="S",5,IF(D31="A",4,IF(D31="B",3,IF(D31="C",2,IF(D31="D",1,0)))))+IF(E31="S",5,IF(E31="A",4,IF(E31="B",3,IF(E31="C",2,IF(E31="D",1,0))))))/2,IF(D31&lt;&gt;"",IF(D31="S",5,IF(D31="A",4,IF(D31="B",3,IF(D31="C",2,IF(D31="D",1,0))))),IF(E31&lt;&gt;"",IF(E31="S",5,IF(E31="A",4,IF(E31="B",3,IF(E31="C",2,IF(E31="D",1,0))))),""))),"")</f>
        <v/>
      </c>
    </row>
    <row r="32" ht="24" customHeight="1">
      <c r="A32" s="2" t="inlineStr">
        <is>
          <t>C-7</t>
        </is>
      </c>
      <c r="B32" s="2" t="inlineStr">
        <is>
          <t>인성</t>
        </is>
      </c>
      <c r="C32" s="17" t="inlineStr">
        <is>
          <t>윤리/책임감</t>
        </is>
      </c>
      <c r="D32" s="30" t="inlineStr"/>
      <c r="E32" s="30" t="inlineStr"/>
      <c r="F32" s="31">
        <f>IFERROR(IF(AND(D32&lt;&gt;"",E32&lt;&gt;""),(IF(D32="S",5,IF(D32="A",4,IF(D32="B",3,IF(D32="C",2,IF(D32="D",1,0)))))+IF(E32="S",5,IF(E32="A",4,IF(E32="B",3,IF(E32="C",2,IF(E32="D",1,0))))))/2,IF(D32&lt;&gt;"",IF(D32="S",5,IF(D32="A",4,IF(D32="B",3,IF(D32="C",2,IF(D32="D",1,0))))),IF(E32&lt;&gt;"",IF(E32="S",5,IF(E32="A",4,IF(E32="B",3,IF(E32="C",2,IF(E32="D",1,0))))),""))),"")</f>
        <v/>
      </c>
    </row>
    <row r="33" ht="24" customHeight="1">
      <c r="A33" s="2" t="inlineStr">
        <is>
          <t>C-8</t>
        </is>
      </c>
      <c r="B33" s="2" t="inlineStr">
        <is>
          <t>인성</t>
        </is>
      </c>
      <c r="C33" s="17" t="inlineStr">
        <is>
          <t>업무 태도</t>
        </is>
      </c>
      <c r="D33" s="30" t="inlineStr"/>
      <c r="E33" s="30" t="inlineStr"/>
      <c r="F33" s="31">
        <f>IFERROR(IF(AND(D33&lt;&gt;"",E33&lt;&gt;""),(IF(D33="S",5,IF(D33="A",4,IF(D33="B",3,IF(D33="C",2,IF(D33="D",1,0)))))+IF(E33="S",5,IF(E33="A",4,IF(E33="B",3,IF(E33="C",2,IF(E33="D",1,0))))))/2,IF(D33&lt;&gt;"",IF(D33="S",5,IF(D33="A",4,IF(D33="B",3,IF(D33="C",2,IF(D33="D",1,0))))),IF(E33&lt;&gt;"",IF(E33="S",5,IF(E33="A",4,IF(E33="B",3,IF(E33="C",2,IF(E33="D",1,0))))),""))),"")</f>
        <v/>
      </c>
    </row>
    <row r="34" ht="24" customHeight="1">
      <c r="A34" s="2" t="inlineStr">
        <is>
          <t>C-9</t>
        </is>
      </c>
      <c r="B34" s="2" t="inlineStr">
        <is>
          <t>미래</t>
        </is>
      </c>
      <c r="C34" s="17" t="inlineStr">
        <is>
          <t>혁신 역량</t>
        </is>
      </c>
      <c r="D34" s="30" t="inlineStr"/>
      <c r="E34" s="30" t="inlineStr"/>
      <c r="F34" s="31">
        <f>IFERROR(IF(AND(D34&lt;&gt;"",E34&lt;&gt;""),(IF(D34="S",5,IF(D34="A",4,IF(D34="B",3,IF(D34="C",2,IF(D34="D",1,0)))))+IF(E34="S",5,IF(E34="A",4,IF(E34="B",3,IF(E34="C",2,IF(E34="D",1,0))))))/2,IF(D34&lt;&gt;"",IF(D34="S",5,IF(D34="A",4,IF(D34="B",3,IF(D34="C",2,IF(D34="D",1,0))))),IF(E34&lt;&gt;"",IF(E34="S",5,IF(E34="A",4,IF(E34="B",3,IF(E34="C",2,IF(E34="D",1,0))))),""))),"")</f>
        <v/>
      </c>
    </row>
    <row r="35" ht="24" customHeight="1">
      <c r="A35" s="2" t="inlineStr">
        <is>
          <t>C-10</t>
        </is>
      </c>
      <c r="B35" s="2" t="inlineStr">
        <is>
          <t>미래</t>
        </is>
      </c>
      <c r="C35" s="17" t="inlineStr">
        <is>
          <t>프로세스 개선</t>
        </is>
      </c>
      <c r="D35" s="30" t="inlineStr"/>
      <c r="E35" s="30" t="inlineStr"/>
      <c r="F35" s="31">
        <f>IFERROR(IF(AND(D35&lt;&gt;"",E35&lt;&gt;""),(IF(D35="S",5,IF(D35="A",4,IF(D35="B",3,IF(D35="C",2,IF(D35="D",1,0)))))+IF(E35="S",5,IF(E35="A",4,IF(E35="B",3,IF(E35="C",2,IF(E35="D",1,0))))))/2,IF(D35&lt;&gt;"",IF(D35="S",5,IF(D35="A",4,IF(D35="B",3,IF(D35="C",2,IF(D35="D",1,0))))),IF(E35&lt;&gt;"",IF(E35="S",5,IF(E35="A",4,IF(E35="B",3,IF(E35="C",2,IF(E35="D",1,0))))),""))),"")</f>
        <v/>
      </c>
    </row>
    <row r="36" ht="24" customHeight="1">
      <c r="A36" s="2" t="inlineStr">
        <is>
          <t>C-11</t>
        </is>
      </c>
      <c r="B36" s="2" t="inlineStr">
        <is>
          <t>미래</t>
        </is>
      </c>
      <c r="C36" s="17" t="inlineStr">
        <is>
          <t>지속가능 기여</t>
        </is>
      </c>
      <c r="D36" s="30" t="inlineStr"/>
      <c r="E36" s="30" t="inlineStr"/>
      <c r="F36" s="31">
        <f>IFERROR(IF(AND(D36&lt;&gt;"",E36&lt;&gt;""),(IF(D36="S",5,IF(D36="A",4,IF(D36="B",3,IF(D36="C",2,IF(D36="D",1,0)))))+IF(E36="S",5,IF(E36="A",4,IF(E36="B",3,IF(E36="C",2,IF(E36="D",1,0))))))/2,IF(D36&lt;&gt;"",IF(D36="S",5,IF(D36="A",4,IF(D36="B",3,IF(D36="C",2,IF(D36="D",1,0))))),IF(E36&lt;&gt;"",IF(E36="S",5,IF(E36="A",4,IF(E36="B",3,IF(E36="C",2,IF(E36="D",1,0))))),""))),"")</f>
        <v/>
      </c>
    </row>
    <row r="37" ht="24" customHeight="1">
      <c r="A37" s="37" t="inlineStr">
        <is>
          <t>1차 평가자 공통역량 종합 (11개 단순 평균)</t>
        </is>
      </c>
      <c r="D37" s="33">
        <f>IFERROR((IF(D26="S",5,IF(D26="A",4,IF(D26="B",3,IF(D26="C",2,IF(D26="D",1,0)))))+IF(D27="S",5,IF(D27="A",4,IF(D27="B",3,IF(D27="C",2,IF(D27="D",1,0)))))+IF(D28="S",5,IF(D28="A",4,IF(D28="B",3,IF(D28="C",2,IF(D28="D",1,0)))))+IF(D29="S",5,IF(D29="A",4,IF(D29="B",3,IF(D29="C",2,IF(D29="D",1,0)))))+IF(D30="S",5,IF(D30="A",4,IF(D30="B",3,IF(D30="C",2,IF(D30="D",1,0)))))+IF(D31="S",5,IF(D31="A",4,IF(D31="B",3,IF(D31="C",2,IF(D31="D",1,0)))))+IF(D32="S",5,IF(D32="A",4,IF(D32="B",3,IF(D32="C",2,IF(D32="D",1,0)))))+IF(D33="S",5,IF(D33="A",4,IF(D33="B",3,IF(D33="C",2,IF(D33="D",1,0)))))+IF(D34="S",5,IF(D34="A",4,IF(D34="B",3,IF(D34="C",2,IF(D34="D",1,0)))))+IF(D35="S",5,IF(D35="A",4,IF(D35="B",3,IF(D35="C",2,IF(D35="D",1,0)))))+IF(D36="S",5,IF(D36="A",4,IF(D36="B",3,IF(D36="C",2,IF(D36="D",1,0))))))/11,"")</f>
        <v/>
      </c>
      <c r="E37" s="34" t="inlineStr">
        <is>
          <t>→ 등급</t>
        </is>
      </c>
      <c r="F37" s="35">
        <f>IF(D37="","",IF(D37&gt;=4.5,"S",IF(D37&gt;=3.5,"A",IF(D37&gt;=2.5,"B",IF(D37&gt;=1.5,"C","D")))))</f>
        <v/>
      </c>
    </row>
    <row r="38" ht="24" customHeight="1">
      <c r="A38" s="37" t="inlineStr">
        <is>
          <t>2차 평가자 공통역량 종합 (11개 단순 평균)</t>
        </is>
      </c>
      <c r="D38" s="33">
        <f>IFERROR((IF(E26="S",5,IF(E26="A",4,IF(E26="B",3,IF(E26="C",2,IF(E26="D",1,0)))))+IF(E27="S",5,IF(E27="A",4,IF(E27="B",3,IF(E27="C",2,IF(E27="D",1,0)))))+IF(E28="S",5,IF(E28="A",4,IF(E28="B",3,IF(E28="C",2,IF(E28="D",1,0)))))+IF(E29="S",5,IF(E29="A",4,IF(E29="B",3,IF(E29="C",2,IF(E29="D",1,0)))))+IF(E30="S",5,IF(E30="A",4,IF(E30="B",3,IF(E30="C",2,IF(E30="D",1,0)))))+IF(E31="S",5,IF(E31="A",4,IF(E31="B",3,IF(E31="C",2,IF(E31="D",1,0)))))+IF(E32="S",5,IF(E32="A",4,IF(E32="B",3,IF(E32="C",2,IF(E32="D",1,0)))))+IF(E33="S",5,IF(E33="A",4,IF(E33="B",3,IF(E33="C",2,IF(E33="D",1,0)))))+IF(E34="S",5,IF(E34="A",4,IF(E34="B",3,IF(E34="C",2,IF(E34="D",1,0)))))+IF(E35="S",5,IF(E35="A",4,IF(E35="B",3,IF(E35="C",2,IF(E35="D",1,0)))))+IF(E36="S",5,IF(E36="A",4,IF(E36="B",3,IF(E36="C",2,IF(E36="D",1,0))))))/11,"")</f>
        <v/>
      </c>
      <c r="E38" s="34" t="inlineStr">
        <is>
          <t>→ 등급</t>
        </is>
      </c>
      <c r="F38" s="35">
        <f>IF(D38="","",IF(D38&gt;=4.5,"S",IF(D38&gt;=3.5,"A",IF(D38&gt;=2.5,"B",IF(D38&gt;=1.5,"C","D")))))</f>
        <v/>
      </c>
    </row>
    <row r="40" ht="26" customHeight="1">
      <c r="A40" s="38" t="inlineStr">
        <is>
          <t>▶ ③ 직무역량평가 — 메인 책무(D열 O)만 평가</t>
        </is>
      </c>
    </row>
    <row r="41" ht="28" customHeight="1">
      <c r="A41" s="28" t="inlineStr">
        <is>
          <t>No.</t>
        </is>
      </c>
      <c r="B41" s="28" t="inlineStr">
        <is>
          <t>전문영역</t>
        </is>
      </c>
      <c r="C41" s="28" t="inlineStr">
        <is>
          <t>핵심 책무</t>
        </is>
      </c>
      <c r="D41" s="28" t="inlineStr">
        <is>
          <t>메인</t>
        </is>
      </c>
      <c r="E41" s="28" t="inlineStr">
        <is>
          <t>1차 평가자</t>
        </is>
      </c>
      <c r="F41" s="28" t="inlineStr">
        <is>
          <t>2차 평가자</t>
        </is>
      </c>
      <c r="G41" s="28" t="inlineStr">
        <is>
          <t>평균(참고)</t>
        </is>
      </c>
    </row>
    <row r="42" ht="22" customHeight="1">
      <c r="A42" s="34" t="inlineStr">
        <is>
          <t>J-1</t>
        </is>
      </c>
      <c r="B42" s="39" t="inlineStr">
        <is>
          <t>계획모델링</t>
        </is>
      </c>
      <c r="C42" s="40" t="inlineStr">
        <is>
          <t>BIM 기반 설계 계획수립</t>
        </is>
      </c>
      <c r="D42" s="30" t="inlineStr"/>
      <c r="E42" s="30" t="inlineStr"/>
      <c r="F42" s="30" t="inlineStr"/>
      <c r="G42" s="31">
        <f>IF(D42="O",IFERROR(IF(AND(E42&lt;&gt;"",F42&lt;&gt;""),(IF(E42="S",5,IF(E42="A",4,IF(E42="B",3,IF(E42="C",2,IF(E42="D",1,0)))))+IF(F42="S",5,IF(F42="A",4,IF(F42="B",3,IF(F42="C",2,IF(F42="D",1,0))))))/2,IF(E42&lt;&gt;"",IF(E42="S",5,IF(E42="A",4,IF(E42="B",3,IF(E42="C",2,IF(E42="D",1,0))))),IF(F42&lt;&gt;"",IF(F42="S",5,IF(F42="A",4,IF(F42="B",3,IF(F42="C",2,IF(F42="D",1,0))))),""))),""),"")</f>
        <v/>
      </c>
    </row>
    <row r="43" ht="22" customHeight="1">
      <c r="A43" s="34" t="inlineStr">
        <is>
          <t>J-2</t>
        </is>
      </c>
      <c r="B43" s="39" t="inlineStr">
        <is>
          <t>계획모델링</t>
        </is>
      </c>
      <c r="C43" s="40" t="inlineStr">
        <is>
          <t>설계 모델링 수행</t>
        </is>
      </c>
      <c r="D43" s="30" t="inlineStr"/>
      <c r="E43" s="30" t="inlineStr"/>
      <c r="F43" s="30" t="inlineStr"/>
      <c r="G43" s="31">
        <f>IF(D43="O",IFERROR(IF(AND(E43&lt;&gt;"",F43&lt;&gt;""),(IF(E43="S",5,IF(E43="A",4,IF(E43="B",3,IF(E43="C",2,IF(E43="D",1,0)))))+IF(F43="S",5,IF(F43="A",4,IF(F43="B",3,IF(F43="C",2,IF(F43="D",1,0))))))/2,IF(E43&lt;&gt;"",IF(E43="S",5,IF(E43="A",4,IF(E43="B",3,IF(E43="C",2,IF(E43="D",1,0))))),IF(F43&lt;&gt;"",IF(F43="S",5,IF(F43="A",4,IF(F43="B",3,IF(F43="C",2,IF(F43="D",1,0))))),""))),""),"")</f>
        <v/>
      </c>
    </row>
    <row r="44" ht="22" customHeight="1">
      <c r="A44" s="34" t="inlineStr">
        <is>
          <t>J-3</t>
        </is>
      </c>
      <c r="B44" s="39" t="inlineStr">
        <is>
          <t>계획모델링</t>
        </is>
      </c>
      <c r="C44" s="40" t="inlineStr">
        <is>
          <t>품질 검토 및 협업</t>
        </is>
      </c>
      <c r="D44" s="30" t="inlineStr"/>
      <c r="E44" s="30" t="inlineStr"/>
      <c r="F44" s="30" t="inlineStr"/>
      <c r="G44" s="31">
        <f>IF(D44="O",IFERROR(IF(AND(E44&lt;&gt;"",F44&lt;&gt;""),(IF(E44="S",5,IF(E44="A",4,IF(E44="B",3,IF(E44="C",2,IF(E44="D",1,0)))))+IF(F44="S",5,IF(F44="A",4,IF(F44="B",3,IF(F44="C",2,IF(F44="D",1,0))))))/2,IF(E44&lt;&gt;"",IF(E44="S",5,IF(E44="A",4,IF(E44="B",3,IF(E44="C",2,IF(E44="D",1,0))))),IF(F44&lt;&gt;"",IF(F44="S",5,IF(F44="A",4,IF(F44="B",3,IF(F44="C",2,IF(F44="D",1,0))))),""))),""),"")</f>
        <v/>
      </c>
    </row>
    <row r="45" ht="22" customHeight="1">
      <c r="A45" s="34" t="inlineStr">
        <is>
          <t>J-4</t>
        </is>
      </c>
      <c r="B45" s="39" t="inlineStr">
        <is>
          <t>드론응용모델링</t>
        </is>
      </c>
      <c r="C45" s="40" t="inlineStr">
        <is>
          <t>드론 측량 및 데이터 수집</t>
        </is>
      </c>
      <c r="D45" s="30" t="inlineStr"/>
      <c r="E45" s="30" t="inlineStr"/>
      <c r="F45" s="30" t="inlineStr"/>
      <c r="G45" s="31">
        <f>IF(D45="O",IFERROR(IF(AND(E45&lt;&gt;"",F45&lt;&gt;""),(IF(E45="S",5,IF(E45="A",4,IF(E45="B",3,IF(E45="C",2,IF(E45="D",1,0)))))+IF(F45="S",5,IF(F45="A",4,IF(F45="B",3,IF(F45="C",2,IF(F45="D",1,0))))))/2,IF(E45&lt;&gt;"",IF(E45="S",5,IF(E45="A",4,IF(E45="B",3,IF(E45="C",2,IF(E45="D",1,0))))),IF(F45&lt;&gt;"",IF(F45="S",5,IF(F45="A",4,IF(F45="B",3,IF(F45="C",2,IF(F45="D",1,0))))),""))),""),"")</f>
        <v/>
      </c>
    </row>
    <row r="46" ht="22" customHeight="1">
      <c r="A46" s="34" t="inlineStr">
        <is>
          <t>J-5</t>
        </is>
      </c>
      <c r="B46" s="39" t="inlineStr">
        <is>
          <t>드론응용모델링</t>
        </is>
      </c>
      <c r="C46" s="40" t="inlineStr">
        <is>
          <t>3D 메쉬·포인트클라우드 생성</t>
        </is>
      </c>
      <c r="D46" s="30" t="inlineStr"/>
      <c r="E46" s="30" t="inlineStr"/>
      <c r="F46" s="30" t="inlineStr"/>
      <c r="G46" s="31">
        <f>IF(D46="O",IFERROR(IF(AND(E46&lt;&gt;"",F46&lt;&gt;""),(IF(E46="S",5,IF(E46="A",4,IF(E46="B",3,IF(E46="C",2,IF(E46="D",1,0)))))+IF(F46="S",5,IF(F46="A",4,IF(F46="B",3,IF(F46="C",2,IF(F46="D",1,0))))))/2,IF(E46&lt;&gt;"",IF(E46="S",5,IF(E46="A",4,IF(E46="B",3,IF(E46="C",2,IF(E46="D",1,0))))),IF(F46&lt;&gt;"",IF(F46="S",5,IF(F46="A",4,IF(F46="B",3,IF(F46="C",2,IF(F46="D",1,0))))),""))),""),"")</f>
        <v/>
      </c>
    </row>
    <row r="47" ht="22" customHeight="1">
      <c r="A47" s="34" t="inlineStr">
        <is>
          <t>J-6</t>
        </is>
      </c>
      <c r="B47" s="39" t="inlineStr">
        <is>
          <t>구조모델링</t>
        </is>
      </c>
      <c r="C47" s="40" t="inlineStr">
        <is>
          <t>구조 BIM 모델링</t>
        </is>
      </c>
      <c r="D47" s="30" t="inlineStr"/>
      <c r="E47" s="30" t="inlineStr"/>
      <c r="F47" s="30" t="inlineStr"/>
      <c r="G47" s="31">
        <f>IF(D47="O",IFERROR(IF(AND(E47&lt;&gt;"",F47&lt;&gt;""),(IF(E47="S",5,IF(E47="A",4,IF(E47="B",3,IF(E47="C",2,IF(E47="D",1,0)))))+IF(F47="S",5,IF(F47="A",4,IF(F47="B",3,IF(F47="C",2,IF(F47="D",1,0))))))/2,IF(E47&lt;&gt;"",IF(E47="S",5,IF(E47="A",4,IF(E47="B",3,IF(E47="C",2,IF(E47="D",1,0))))),IF(F47&lt;&gt;"",IF(F47="S",5,IF(F47="A",4,IF(F47="B",3,IF(F47="C",2,IF(F47="D",1,0))))),""))),""),"")</f>
        <v/>
      </c>
    </row>
    <row r="48" ht="22" customHeight="1">
      <c r="A48" s="34" t="inlineStr">
        <is>
          <t>J-7</t>
        </is>
      </c>
      <c r="B48" s="39" t="inlineStr">
        <is>
          <t>상하수도모델링</t>
        </is>
      </c>
      <c r="C48" s="40" t="inlineStr">
        <is>
          <t>상하수도 BIM 모델링</t>
        </is>
      </c>
      <c r="D48" s="30" t="inlineStr"/>
      <c r="E48" s="30" t="inlineStr"/>
      <c r="F48" s="30" t="inlineStr"/>
      <c r="G48" s="31">
        <f>IF(D48="O",IFERROR(IF(AND(E48&lt;&gt;"",F48&lt;&gt;""),(IF(E48="S",5,IF(E48="A",4,IF(E48="B",3,IF(E48="C",2,IF(E48="D",1,0)))))+IF(F48="S",5,IF(F48="A",4,IF(F48="B",3,IF(F48="C",2,IF(F48="D",1,0))))))/2,IF(E48&lt;&gt;"",IF(E48="S",5,IF(E48="A",4,IF(E48="B",3,IF(E48="C",2,IF(E48="D",1,0))))),IF(F48&lt;&gt;"",IF(F48="S",5,IF(F48="A",4,IF(F48="B",3,IF(F48="C",2,IF(F48="D",1,0))))),""))),""),"")</f>
        <v/>
      </c>
    </row>
    <row r="49" ht="22" customHeight="1">
      <c r="A49" s="34" t="inlineStr">
        <is>
          <t>J-8</t>
        </is>
      </c>
      <c r="B49" s="39" t="inlineStr">
        <is>
          <t>컨설팅</t>
        </is>
      </c>
      <c r="C49" s="40" t="inlineStr">
        <is>
          <t>클라이언트 요구분석</t>
        </is>
      </c>
      <c r="D49" s="30" t="inlineStr"/>
      <c r="E49" s="30" t="inlineStr"/>
      <c r="F49" s="30" t="inlineStr"/>
      <c r="G49" s="31">
        <f>IF(D49="O",IFERROR(IF(AND(E49&lt;&gt;"",F49&lt;&gt;""),(IF(E49="S",5,IF(E49="A",4,IF(E49="B",3,IF(E49="C",2,IF(E49="D",1,0)))))+IF(F49="S",5,IF(F49="A",4,IF(F49="B",3,IF(F49="C",2,IF(F49="D",1,0))))))/2,IF(E49&lt;&gt;"",IF(E49="S",5,IF(E49="A",4,IF(E49="B",3,IF(E49="C",2,IF(E49="D",1,0))))),IF(F49&lt;&gt;"",IF(F49="S",5,IF(F49="A",4,IF(F49="B",3,IF(F49="C",2,IF(F49="D",1,0))))),""))),""),"")</f>
        <v/>
      </c>
    </row>
    <row r="50" ht="22" customHeight="1">
      <c r="A50" s="34" t="inlineStr">
        <is>
          <t>J-9</t>
        </is>
      </c>
      <c r="B50" s="39" t="inlineStr">
        <is>
          <t>컨설팅</t>
        </is>
      </c>
      <c r="C50" s="40" t="inlineStr">
        <is>
          <t>BIM 도입 컨설팅</t>
        </is>
      </c>
      <c r="D50" s="30" t="inlineStr"/>
      <c r="E50" s="30" t="inlineStr"/>
      <c r="F50" s="30" t="inlineStr"/>
      <c r="G50" s="31">
        <f>IF(D50="O",IFERROR(IF(AND(E50&lt;&gt;"",F50&lt;&gt;""),(IF(E50="S",5,IF(E50="A",4,IF(E50="B",3,IF(E50="C",2,IF(E50="D",1,0)))))+IF(F50="S",5,IF(F50="A",4,IF(F50="B",3,IF(F50="C",2,IF(F50="D",1,0))))))/2,IF(E50&lt;&gt;"",IF(E50="S",5,IF(E50="A",4,IF(E50="B",3,IF(E50="C",2,IF(E50="D",1,0))))),IF(F50&lt;&gt;"",IF(F50="S",5,IF(F50="A",4,IF(F50="B",3,IF(F50="C",2,IF(F50="D",1,0))))),""))),""),"")</f>
        <v/>
      </c>
    </row>
    <row r="51" ht="22" customHeight="1">
      <c r="A51" s="34" t="inlineStr">
        <is>
          <t>J-10</t>
        </is>
      </c>
      <c r="B51" s="39" t="inlineStr">
        <is>
          <t>컨설팅</t>
        </is>
      </c>
      <c r="C51" s="40" t="inlineStr">
        <is>
          <t>보고서 작성 및 발표</t>
        </is>
      </c>
      <c r="D51" s="30" t="inlineStr"/>
      <c r="E51" s="30" t="inlineStr"/>
      <c r="F51" s="30" t="inlineStr"/>
      <c r="G51" s="31">
        <f>IF(D51="O",IFERROR(IF(AND(E51&lt;&gt;"",F51&lt;&gt;""),(IF(E51="S",5,IF(E51="A",4,IF(E51="B",3,IF(E51="C",2,IF(E51="D",1,0)))))+IF(F51="S",5,IF(F51="A",4,IF(F51="B",3,IF(F51="C",2,IF(F51="D",1,0))))))/2,IF(E51&lt;&gt;"",IF(E51="S",5,IF(E51="A",4,IF(E51="B",3,IF(E51="C",2,IF(E51="D",1,0))))),IF(F51&lt;&gt;"",IF(F51="S",5,IF(F51="A",4,IF(F51="B",3,IF(F51="C",2,IF(F51="D",1,0))))),""))),""),"")</f>
        <v/>
      </c>
    </row>
    <row r="52" ht="22" customHeight="1">
      <c r="A52" s="34" t="inlineStr">
        <is>
          <t>J-11</t>
        </is>
      </c>
      <c r="B52" s="39" t="inlineStr">
        <is>
          <t>프로젝트관리</t>
        </is>
      </c>
      <c r="C52" s="40" t="inlineStr">
        <is>
          <t>일정 및 자원 관리</t>
        </is>
      </c>
      <c r="D52" s="30" t="inlineStr"/>
      <c r="E52" s="30" t="inlineStr"/>
      <c r="F52" s="30" t="inlineStr"/>
      <c r="G52" s="31">
        <f>IF(D52="O",IFERROR(IF(AND(E52&lt;&gt;"",F52&lt;&gt;""),(IF(E52="S",5,IF(E52="A",4,IF(E52="B",3,IF(E52="C",2,IF(E52="D",1,0)))))+IF(F52="S",5,IF(F52="A",4,IF(F52="B",3,IF(F52="C",2,IF(F52="D",1,0))))))/2,IF(E52&lt;&gt;"",IF(E52="S",5,IF(E52="A",4,IF(E52="B",3,IF(E52="C",2,IF(E52="D",1,0))))),IF(F52&lt;&gt;"",IF(F52="S",5,IF(F52="A",4,IF(F52="B",3,IF(F52="C",2,IF(F52="D",1,0))))),""))),""),"")</f>
        <v/>
      </c>
    </row>
    <row r="53" ht="22" customHeight="1">
      <c r="A53" s="34" t="inlineStr">
        <is>
          <t>J-12</t>
        </is>
      </c>
      <c r="B53" s="39" t="inlineStr">
        <is>
          <t>프로젝트관리</t>
        </is>
      </c>
      <c r="C53" s="40" t="inlineStr">
        <is>
          <t>품질 관리</t>
        </is>
      </c>
      <c r="D53" s="30" t="inlineStr"/>
      <c r="E53" s="30" t="inlineStr"/>
      <c r="F53" s="30" t="inlineStr"/>
      <c r="G53" s="31">
        <f>IF(D53="O",IFERROR(IF(AND(E53&lt;&gt;"",F53&lt;&gt;""),(IF(E53="S",5,IF(E53="A",4,IF(E53="B",3,IF(E53="C",2,IF(E53="D",1,0)))))+IF(F53="S",5,IF(F53="A",4,IF(F53="B",3,IF(F53="C",2,IF(F53="D",1,0))))))/2,IF(E53&lt;&gt;"",IF(E53="S",5,IF(E53="A",4,IF(E53="B",3,IF(E53="C",2,IF(E53="D",1,0))))),IF(F53&lt;&gt;"",IF(F53="S",5,IF(F53="A",4,IF(F53="B",3,IF(F53="C",2,IF(F53="D",1,0))))),""))),""),"")</f>
        <v/>
      </c>
    </row>
    <row r="54" ht="22" customHeight="1">
      <c r="A54" s="34" t="inlineStr">
        <is>
          <t>J-13</t>
        </is>
      </c>
      <c r="B54" s="39" t="inlineStr">
        <is>
          <t>프로젝트관리</t>
        </is>
      </c>
      <c r="C54" s="40" t="inlineStr">
        <is>
          <t>리스크 관리</t>
        </is>
      </c>
      <c r="D54" s="30" t="inlineStr"/>
      <c r="E54" s="30" t="inlineStr"/>
      <c r="F54" s="30" t="inlineStr"/>
      <c r="G54" s="31">
        <f>IF(D54="O",IFERROR(IF(AND(E54&lt;&gt;"",F54&lt;&gt;""),(IF(E54="S",5,IF(E54="A",4,IF(E54="B",3,IF(E54="C",2,IF(E54="D",1,0)))))+IF(F54="S",5,IF(F54="A",4,IF(F54="B",3,IF(F54="C",2,IF(F54="D",1,0))))))/2,IF(E54&lt;&gt;"",IF(E54="S",5,IF(E54="A",4,IF(E54="B",3,IF(E54="C",2,IF(E54="D",1,0))))),IF(F54&lt;&gt;"",IF(F54="S",5,IF(F54="A",4,IF(F54="B",3,IF(F54="C",2,IF(F54="D",1,0))))),""))),""),"")</f>
        <v/>
      </c>
    </row>
    <row r="55" ht="22" customHeight="1">
      <c r="A55" s="34" t="inlineStr">
        <is>
          <t>J-14</t>
        </is>
      </c>
      <c r="B55" s="39" t="inlineStr">
        <is>
          <t>기술개발</t>
        </is>
      </c>
      <c r="C55" s="40" t="inlineStr">
        <is>
          <t>BIM 라이브러리 구축</t>
        </is>
      </c>
      <c r="D55" s="30" t="inlineStr"/>
      <c r="E55" s="30" t="inlineStr"/>
      <c r="F55" s="30" t="inlineStr"/>
      <c r="G55" s="31">
        <f>IF(D55="O",IFERROR(IF(AND(E55&lt;&gt;"",F55&lt;&gt;""),(IF(E55="S",5,IF(E55="A",4,IF(E55="B",3,IF(E55="C",2,IF(E55="D",1,0)))))+IF(F55="S",5,IF(F55="A",4,IF(F55="B",3,IF(F55="C",2,IF(F55="D",1,0))))))/2,IF(E55&lt;&gt;"",IF(E55="S",5,IF(E55="A",4,IF(E55="B",3,IF(E55="C",2,IF(E55="D",1,0))))),IF(F55&lt;&gt;"",IF(F55="S",5,IF(F55="A",4,IF(F55="B",3,IF(F55="C",2,IF(F55="D",1,0))))),""))),""),"")</f>
        <v/>
      </c>
    </row>
    <row r="56" ht="22" customHeight="1">
      <c r="A56" s="34" t="inlineStr">
        <is>
          <t>J-15</t>
        </is>
      </c>
      <c r="B56" s="39" t="inlineStr">
        <is>
          <t>기술개발</t>
        </is>
      </c>
      <c r="C56" s="40" t="inlineStr">
        <is>
          <t>내부 가이드라인 작성</t>
        </is>
      </c>
      <c r="D56" s="30" t="inlineStr"/>
      <c r="E56" s="30" t="inlineStr"/>
      <c r="F56" s="30" t="inlineStr"/>
      <c r="G56" s="31">
        <f>IF(D56="O",IFERROR(IF(AND(E56&lt;&gt;"",F56&lt;&gt;""),(IF(E56="S",5,IF(E56="A",4,IF(E56="B",3,IF(E56="C",2,IF(E56="D",1,0)))))+IF(F56="S",5,IF(F56="A",4,IF(F56="B",3,IF(F56="C",2,IF(F56="D",1,0))))))/2,IF(E56&lt;&gt;"",IF(E56="S",5,IF(E56="A",4,IF(E56="B",3,IF(E56="C",2,IF(E56="D",1,0))))),IF(F56&lt;&gt;"",IF(F56="S",5,IF(F56="A",4,IF(F56="B",3,IF(F56="C",2,IF(F56="D",1,0))))),""))),""),"")</f>
        <v/>
      </c>
    </row>
    <row r="58" ht="24" customHeight="1">
      <c r="A58" s="41" t="inlineStr">
        <is>
          <t>1차 평가자 직무 종합 (메인 책무 평균)</t>
        </is>
      </c>
      <c r="E58" s="33">
        <f>IFERROR(SUMPRODUCT((D42:D56="O")*IFERROR(IF(E42:E56="S",5,IF(E42:E56="A",4,IF(E42:E56="B",3,IF(E42:E56="C",2,IF(E42:E56="D",1,0))))),0))/COUNTIF(D42:D56,"O"),"")</f>
        <v/>
      </c>
      <c r="F58" s="35">
        <f>IF(E58="","",IF(E58&gt;=4.5,"S",IF(E58&gt;=3.5,"A",IF(E58&gt;=2.5,"B",IF(E58&gt;=1.5,"C","D")))))</f>
        <v/>
      </c>
    </row>
    <row r="59" ht="24" customHeight="1">
      <c r="A59" s="41" t="inlineStr">
        <is>
          <t>2차 평가자 직무 종합</t>
        </is>
      </c>
      <c r="E59" s="33">
        <f>IFERROR(SUMPRODUCT((D42:D56="O")*IFERROR(IF(F42:F56="S",5,IF(F42:F56="A",4,IF(F42:F56="B",3,IF(F42:F56="C",2,IF(F42:F56="D",1,0))))),0))/COUNTIF(D42:D56,"O"),"")</f>
        <v/>
      </c>
      <c r="F59" s="35">
        <f>IF(E59="","",IF(E59&gt;=4.5,"S",IF(E59&gt;=3.5,"A",IF(E59&gt;=2.5,"B",IF(E59&gt;=1.5,"C","D")))))</f>
        <v/>
      </c>
    </row>
    <row r="62" ht="32" customHeight="1">
      <c r="A62" s="42" t="inlineStr">
        <is>
          <t>▶ 통합관리시트 입력 행 (아래 한 줄 A~G 7개 셀 통째 복사 → 통합관리시트 07a/07b의 G~M에 [값 붙여넣기])</t>
        </is>
      </c>
    </row>
    <row r="63" ht="28" customHeight="1">
      <c r="A63" s="43" t="inlineStr">
        <is>
          <t>역할(1차)</t>
        </is>
      </c>
      <c r="B63" s="43" t="inlineStr">
        <is>
          <t>역할(2차)</t>
        </is>
      </c>
      <c r="C63" s="43" t="inlineStr">
        <is>
          <t>공통(1차)</t>
        </is>
      </c>
      <c r="D63" s="43" t="inlineStr">
        <is>
          <t>공통(2차)</t>
        </is>
      </c>
      <c r="E63" s="43" t="inlineStr">
        <is>
          <t>직무(1차)</t>
        </is>
      </c>
      <c r="F63" s="43" t="inlineStr">
        <is>
          <t>직무(2차)</t>
        </is>
      </c>
      <c r="G63" s="43" t="inlineStr">
        <is>
          <t>소견</t>
        </is>
      </c>
    </row>
    <row r="64" ht="36" customHeight="1">
      <c r="A64" s="44">
        <f>F21</f>
        <v/>
      </c>
      <c r="B64" s="44">
        <f>F22</f>
        <v/>
      </c>
      <c r="C64" s="44">
        <f>F37</f>
        <v/>
      </c>
      <c r="D64" s="44">
        <f>F38</f>
        <v/>
      </c>
      <c r="E64" s="44">
        <f>F58</f>
        <v/>
      </c>
      <c r="F64" s="44">
        <f>F59</f>
        <v/>
      </c>
      <c r="G64" s="45" t="inlineStr"/>
    </row>
    <row r="65" ht="26" customHeight="1">
      <c r="A65" s="46" t="inlineStr">
        <is>
          <t>사용법: 위 한 줄 A~G 선택 → Ctrl+C → 통합관리시트 07a/07b 해당 사번 행 G~M에 [선택하여 붙여넣기 → 값]</t>
        </is>
      </c>
    </row>
    <row r="67" ht="24" customHeight="1">
      <c r="A67" s="3" t="inlineStr">
        <is>
          <t>▶ 종합 소견</t>
        </is>
      </c>
    </row>
    <row r="68" ht="40" customHeight="1">
      <c r="A68" s="21" t="inlineStr">
        <is>
          <t>강점</t>
        </is>
      </c>
      <c r="B68" s="47" t="inlineStr"/>
    </row>
    <row r="69" ht="40" customHeight="1">
      <c r="A69" s="21" t="inlineStr">
        <is>
          <t>개선</t>
        </is>
      </c>
      <c r="B69" s="47" t="inlineStr"/>
    </row>
    <row r="70" ht="40" customHeight="1">
      <c r="A70" s="21" t="inlineStr">
        <is>
          <t>육성 방향</t>
        </is>
      </c>
      <c r="B70" s="47" t="inlineStr"/>
    </row>
  </sheetData>
  <mergeCells count="23">
    <mergeCell ref="A67:H67"/>
    <mergeCell ref="A37:C37"/>
    <mergeCell ref="A24:H24"/>
    <mergeCell ref="B68:H68"/>
    <mergeCell ref="A62:G62"/>
    <mergeCell ref="F8:H8"/>
    <mergeCell ref="A21:C21"/>
    <mergeCell ref="A1:H1"/>
    <mergeCell ref="A58:D58"/>
    <mergeCell ref="A7:H7"/>
    <mergeCell ref="A22:C22"/>
    <mergeCell ref="A59:D59"/>
    <mergeCell ref="F9:H9"/>
    <mergeCell ref="A38:C38"/>
    <mergeCell ref="A2:H2"/>
    <mergeCell ref="B70:H70"/>
    <mergeCell ref="A65:G65"/>
    <mergeCell ref="A4:H4"/>
    <mergeCell ref="F10:H10"/>
    <mergeCell ref="B14:H14"/>
    <mergeCell ref="B69:H69"/>
    <mergeCell ref="A13:H13"/>
    <mergeCell ref="A40:H40"/>
  </mergeCells>
  <conditionalFormatting sqref="A64:G64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5">
    <dataValidation sqref="B11" showDropDown="0" showInputMessage="0" showErrorMessage="0" allowBlank="0" type="list">
      <formula1>"상반기,하반기"</formula1>
    </dataValidation>
    <dataValidation sqref="D16:E20" showDropDown="0" showInputMessage="0" showErrorMessage="0" allowBlank="1" type="list">
      <formula1>"S,A,B,C,D"</formula1>
    </dataValidation>
    <dataValidation sqref="D26:E36" showDropDown="0" showInputMessage="0" showErrorMessage="0" allowBlank="1" type="list">
      <formula1>"S,A,B,C,D"</formula1>
    </dataValidation>
    <dataValidation sqref="D42:D56" showDropDown="0" showInputMessage="0" showErrorMessage="0" allowBlank="1" type="list">
      <formula1>"O,X"</formula1>
    </dataValidation>
    <dataValidation sqref="E42:F56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2026-05-13T05:11:09Z</dcterms:created>
  <dcterms:modified xmlns:dcterms="http://purl.org/dc/terms/" xmlns:xsi="http://www.w3.org/2001/XMLSchema-instance" xsi:type="dcterms:W3CDTF">2026-05-13T05:11:09Z</dcterms:modified>
</cp:coreProperties>
</file>