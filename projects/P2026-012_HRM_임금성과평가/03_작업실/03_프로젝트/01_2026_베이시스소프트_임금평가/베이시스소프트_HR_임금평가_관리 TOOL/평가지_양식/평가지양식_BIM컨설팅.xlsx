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베이시스소프트_HR_임금평가_관리 TOOL/평가지_양식/"/>
    </mc:Choice>
  </mc:AlternateContent>
  <xr:revisionPtr revIDLastSave="21" documentId="11_425CC4375608A8ABA920ACE923582288875A4CB7" xr6:coauthVersionLast="47" xr6:coauthVersionMax="47" xr10:uidLastSave="{022567ED-2B14-4115-A936-4524B2B3C61B}"/>
  <bookViews>
    <workbookView minimized="1" xWindow="-37320" yWindow="-14685" windowWidth="28800" windowHeight="15105" activeTab="1" xr2:uid="{00000000-000D-0000-FFFF-FFFF00000000}"/>
  </bookViews>
  <sheets>
    <sheet name="00_작성안내" sheetId="1" r:id="rId1"/>
    <sheet name="양식_BIM컨설팅_G6" sheetId="2" r:id="rId2"/>
    <sheet name="양식_BIM컨설팅_G5-M" sheetId="3" r:id="rId3"/>
    <sheet name="양식_BIM컨설팅_G5-S" sheetId="4" r:id="rId4"/>
    <sheet name="양식_BIM컨설팅_G4" sheetId="5" r:id="rId5"/>
    <sheet name="양식_BIM컨설팅_G3" sheetId="6" r:id="rId6"/>
    <sheet name="양식_BIM컨설팅_G2" sheetId="7" r:id="rId7"/>
    <sheet name="양식_BIM컨설팅_G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8" l="1"/>
  <c r="F59" i="8" s="1"/>
  <c r="F64" i="8" s="1"/>
  <c r="E58" i="8"/>
  <c r="F58" i="8" s="1"/>
  <c r="E64" i="8" s="1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E38" i="8"/>
  <c r="F38" i="8" s="1"/>
  <c r="D64" i="8" s="1"/>
  <c r="E37" i="8"/>
  <c r="F37" i="8" s="1"/>
  <c r="C64" i="8" s="1"/>
  <c r="G36" i="8"/>
  <c r="G35" i="8"/>
  <c r="G34" i="8"/>
  <c r="G33" i="8"/>
  <c r="G32" i="8"/>
  <c r="G31" i="8"/>
  <c r="G30" i="8"/>
  <c r="G29" i="8"/>
  <c r="G28" i="8"/>
  <c r="G27" i="8"/>
  <c r="G26" i="8"/>
  <c r="F22" i="8"/>
  <c r="B64" i="8" s="1"/>
  <c r="D22" i="8"/>
  <c r="F21" i="8"/>
  <c r="A64" i="8" s="1"/>
  <c r="D21" i="8"/>
  <c r="F20" i="8"/>
  <c r="F19" i="8"/>
  <c r="F18" i="8"/>
  <c r="F17" i="8"/>
  <c r="F16" i="8"/>
  <c r="F59" i="7"/>
  <c r="F64" i="7" s="1"/>
  <c r="E59" i="7"/>
  <c r="F58" i="7"/>
  <c r="E64" i="7" s="1"/>
  <c r="E58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E38" i="7"/>
  <c r="F38" i="7" s="1"/>
  <c r="D64" i="7" s="1"/>
  <c r="E37" i="7"/>
  <c r="F37" i="7" s="1"/>
  <c r="C64" i="7" s="1"/>
  <c r="G36" i="7"/>
  <c r="G35" i="7"/>
  <c r="G34" i="7"/>
  <c r="G33" i="7"/>
  <c r="G32" i="7"/>
  <c r="G31" i="7"/>
  <c r="G30" i="7"/>
  <c r="G29" i="7"/>
  <c r="G28" i="7"/>
  <c r="G27" i="7"/>
  <c r="G26" i="7"/>
  <c r="D22" i="7"/>
  <c r="F22" i="7" s="1"/>
  <c r="B64" i="7" s="1"/>
  <c r="D21" i="7"/>
  <c r="F21" i="7" s="1"/>
  <c r="A64" i="7" s="1"/>
  <c r="F20" i="7"/>
  <c r="F19" i="7"/>
  <c r="F18" i="7"/>
  <c r="F17" i="7"/>
  <c r="F16" i="7"/>
  <c r="E59" i="6"/>
  <c r="F59" i="6" s="1"/>
  <c r="F64" i="6" s="1"/>
  <c r="F58" i="6"/>
  <c r="E64" i="6" s="1"/>
  <c r="E58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E38" i="6"/>
  <c r="F38" i="6" s="1"/>
  <c r="D64" i="6" s="1"/>
  <c r="E37" i="6"/>
  <c r="F37" i="6" s="1"/>
  <c r="C64" i="6" s="1"/>
  <c r="G36" i="6"/>
  <c r="G35" i="6"/>
  <c r="G34" i="6"/>
  <c r="G33" i="6"/>
  <c r="G32" i="6"/>
  <c r="G31" i="6"/>
  <c r="G30" i="6"/>
  <c r="G29" i="6"/>
  <c r="G28" i="6"/>
  <c r="G27" i="6"/>
  <c r="G26" i="6"/>
  <c r="D22" i="6"/>
  <c r="F22" i="6" s="1"/>
  <c r="B64" i="6" s="1"/>
  <c r="D21" i="6"/>
  <c r="F21" i="6" s="1"/>
  <c r="A64" i="6" s="1"/>
  <c r="F20" i="6"/>
  <c r="F19" i="6"/>
  <c r="F18" i="6"/>
  <c r="F17" i="6"/>
  <c r="F16" i="6"/>
  <c r="C64" i="5"/>
  <c r="F59" i="5"/>
  <c r="F64" i="5" s="1"/>
  <c r="E59" i="5"/>
  <c r="E58" i="5"/>
  <c r="F58" i="5" s="1"/>
  <c r="E64" i="5" s="1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F38" i="5"/>
  <c r="D64" i="5" s="1"/>
  <c r="E38" i="5"/>
  <c r="F37" i="5"/>
  <c r="E37" i="5"/>
  <c r="G36" i="5"/>
  <c r="G35" i="5"/>
  <c r="G34" i="5"/>
  <c r="G33" i="5"/>
  <c r="G32" i="5"/>
  <c r="G31" i="5"/>
  <c r="G30" i="5"/>
  <c r="G29" i="5"/>
  <c r="G28" i="5"/>
  <c r="G27" i="5"/>
  <c r="G26" i="5"/>
  <c r="F22" i="5"/>
  <c r="B64" i="5" s="1"/>
  <c r="D22" i="5"/>
  <c r="D21" i="5"/>
  <c r="F21" i="5" s="1"/>
  <c r="A64" i="5" s="1"/>
  <c r="F20" i="5"/>
  <c r="F19" i="5"/>
  <c r="F18" i="5"/>
  <c r="F17" i="5"/>
  <c r="F16" i="5"/>
  <c r="F64" i="4"/>
  <c r="F59" i="4"/>
  <c r="E59" i="4"/>
  <c r="E58" i="4"/>
  <c r="F58" i="4" s="1"/>
  <c r="E64" i="4" s="1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E38" i="4"/>
  <c r="F38" i="4" s="1"/>
  <c r="D64" i="4" s="1"/>
  <c r="E37" i="4"/>
  <c r="F37" i="4" s="1"/>
  <c r="C64" i="4" s="1"/>
  <c r="G36" i="4"/>
  <c r="G35" i="4"/>
  <c r="G34" i="4"/>
  <c r="G33" i="4"/>
  <c r="G32" i="4"/>
  <c r="G31" i="4"/>
  <c r="G30" i="4"/>
  <c r="G29" i="4"/>
  <c r="G28" i="4"/>
  <c r="G27" i="4"/>
  <c r="G26" i="4"/>
  <c r="D22" i="4"/>
  <c r="F22" i="4" s="1"/>
  <c r="B64" i="4" s="1"/>
  <c r="F21" i="4"/>
  <c r="A64" i="4" s="1"/>
  <c r="D21" i="4"/>
  <c r="F20" i="4"/>
  <c r="F19" i="4"/>
  <c r="F18" i="4"/>
  <c r="F17" i="4"/>
  <c r="F16" i="4"/>
  <c r="E64" i="3"/>
  <c r="E59" i="3"/>
  <c r="F59" i="3" s="1"/>
  <c r="F64" i="3" s="1"/>
  <c r="F58" i="3"/>
  <c r="E58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E38" i="3"/>
  <c r="F38" i="3" s="1"/>
  <c r="D64" i="3" s="1"/>
  <c r="E37" i="3"/>
  <c r="F37" i="3" s="1"/>
  <c r="C64" i="3" s="1"/>
  <c r="G36" i="3"/>
  <c r="G35" i="3"/>
  <c r="G34" i="3"/>
  <c r="G33" i="3"/>
  <c r="G32" i="3"/>
  <c r="G31" i="3"/>
  <c r="G30" i="3"/>
  <c r="G29" i="3"/>
  <c r="G28" i="3"/>
  <c r="G27" i="3"/>
  <c r="G26" i="3"/>
  <c r="F22" i="3"/>
  <c r="B64" i="3" s="1"/>
  <c r="D22" i="3"/>
  <c r="D21" i="3"/>
  <c r="F21" i="3" s="1"/>
  <c r="A64" i="3" s="1"/>
  <c r="F20" i="3"/>
  <c r="F19" i="3"/>
  <c r="F18" i="3"/>
  <c r="F17" i="3"/>
  <c r="F16" i="3"/>
  <c r="E59" i="2"/>
  <c r="F59" i="2" s="1"/>
  <c r="F64" i="2" s="1"/>
  <c r="E58" i="2"/>
  <c r="F58" i="2" s="1"/>
  <c r="E64" i="2" s="1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E38" i="2"/>
  <c r="F38" i="2" s="1"/>
  <c r="D64" i="2" s="1"/>
  <c r="E37" i="2"/>
  <c r="F37" i="2" s="1"/>
  <c r="C64" i="2" s="1"/>
  <c r="G36" i="2"/>
  <c r="G35" i="2"/>
  <c r="G34" i="2"/>
  <c r="G33" i="2"/>
  <c r="G32" i="2"/>
  <c r="G31" i="2"/>
  <c r="G30" i="2"/>
  <c r="G29" i="2"/>
  <c r="G28" i="2"/>
  <c r="G27" i="2"/>
  <c r="G26" i="2"/>
  <c r="D22" i="2"/>
  <c r="F22" i="2" s="1"/>
  <c r="B64" i="2" s="1"/>
  <c r="D21" i="2"/>
  <c r="F21" i="2" s="1"/>
  <c r="A64" i="2" s="1"/>
  <c r="F20" i="2"/>
  <c r="F19" i="2"/>
  <c r="F18" i="2"/>
  <c r="F17" i="2"/>
  <c r="F16" i="2"/>
</calcChain>
</file>

<file path=xl/sharedStrings.xml><?xml version="1.0" encoding="utf-8"?>
<sst xmlns="http://schemas.openxmlformats.org/spreadsheetml/2006/main" count="1212" uniqueCount="196">
  <si>
    <t>성과평가지 양식 - BIM컨설팅</t>
  </si>
  <si>
    <t>본 파일은 빈 양식입니다. 평가 대상자별로 시트를 복사해 사용합니다. 가중치는 통합관리시트에서 일괄 관리.</t>
  </si>
  <si>
    <t>▶ 사용 방법</t>
  </si>
  <si>
    <t>1) 평가 대상자의 역할등급에 맞는 양식 시트를 우클릭 → [시트 이동/복사 → 복사본 만들기]</t>
  </si>
  <si>
    <t>2) 복사한 시트의 이름을 [평가_사번_성명]으로 변경</t>
  </si>
  <si>
    <t>3) 평가 대상자 정보(주황셀)에 사번·성명 등 입력</t>
  </si>
  <si>
    <t>4) 평가자 정보(주황셀)에 1차·2차 평가자 사번·성명·직책 입력</t>
  </si>
  <si>
    <t>5) 1차·2차 평가자가 각자 등급(S/A/B/C/D)을 노란셀에 입력</t>
  </si>
  <si>
    <t>6) 직무역량 영역에서 메인 책무는 D열을 O, 비메인은 X로 표시</t>
  </si>
  <si>
    <t>7) 하단 [복사용 입력 행] 7개 셀을 통째로 복사하여 통합관리시트 07a/07b의 G~M에 붙여넣기</t>
  </si>
  <si>
    <t>* 가중치(1차/2차 평가자 비중)는 통합관리시트의 02_의사결정에서만 관리. 평가자는 등급만 입력하면 됩니다.</t>
  </si>
  <si>
    <t>▶ 평가 등급 체계</t>
  </si>
  <si>
    <t>S (탁월)</t>
  </si>
  <si>
    <t>기대 현저히 초과</t>
  </si>
  <si>
    <t>A (우수)</t>
  </si>
  <si>
    <t>기대 상회</t>
  </si>
  <si>
    <t>B (양호)</t>
  </si>
  <si>
    <t>기대 수준 부합</t>
  </si>
  <si>
    <t>C (미흡)</t>
  </si>
  <si>
    <t>부분 미흡</t>
  </si>
  <si>
    <t>D (부족)</t>
  </si>
  <si>
    <t>전반 미흡</t>
  </si>
  <si>
    <t>▶ 본 파일에 포함된 양식</t>
  </si>
  <si>
    <t>역할등급</t>
  </si>
  <si>
    <t>역할명</t>
  </si>
  <si>
    <t>시트명</t>
  </si>
  <si>
    <t>G6</t>
  </si>
  <si>
    <t>사업·조직 관리</t>
  </si>
  <si>
    <t>양식_BIM컨설팅_G6</t>
  </si>
  <si>
    <t>G5-M</t>
  </si>
  <si>
    <t>직무 관리(부서장)</t>
  </si>
  <si>
    <t>양식_BIM컨설팅_G5-M</t>
  </si>
  <si>
    <t>G5-S</t>
  </si>
  <si>
    <t>실무 스페셜리스트</t>
  </si>
  <si>
    <t>양식_BIM컨설팅_G5-S</t>
  </si>
  <si>
    <t>G4</t>
  </si>
  <si>
    <t>실무 책임(PM)</t>
  </si>
  <si>
    <t>양식_BIM컨설팅_G4</t>
  </si>
  <si>
    <t>G3</t>
  </si>
  <si>
    <t>핵심 실무</t>
  </si>
  <si>
    <t>양식_BIM컨설팅_G3</t>
  </si>
  <si>
    <t>G2</t>
  </si>
  <si>
    <t>실무</t>
  </si>
  <si>
    <t>양식_BIM컨설팅_G2</t>
  </si>
  <si>
    <t>G1</t>
  </si>
  <si>
    <t>실무 보조</t>
  </si>
  <si>
    <t>양식_BIM컨설팅_G1</t>
  </si>
  <si>
    <t>성과평가지 양식 - BIM컨설팅 / G6 (사업·조직 관리)</t>
  </si>
  <si>
    <t>1차·2차 평가자가 각자 등급(S/A/B/C/D)만 입력. 가중치는 통합관리시트에서 자동 적용.</t>
  </si>
  <si>
    <t>▶ 평가 대상자 정보 (주황셀에 입력)</t>
  </si>
  <si>
    <t>사번</t>
  </si>
  <si>
    <t>성명</t>
  </si>
  <si>
    <t>직군</t>
  </si>
  <si>
    <t>부서</t>
  </si>
  <si>
    <t>기존직급</t>
  </si>
  <si>
    <t>직무</t>
  </si>
  <si>
    <t>BIM컨설팅</t>
  </si>
  <si>
    <t>▶ 평가자 정보 (주황셀에 입력)</t>
  </si>
  <si>
    <t>구분</t>
  </si>
  <si>
    <t>직책</t>
  </si>
  <si>
    <t>이메일</t>
  </si>
  <si>
    <t>1차 평가자 (직속상사)</t>
  </si>
  <si>
    <t>2차 평가자 (조정자)</t>
  </si>
  <si>
    <t>평가 차수</t>
  </si>
  <si>
    <t>상반기</t>
  </si>
  <si>
    <t>평가 완료일</t>
  </si>
  <si>
    <t>▶ ① 역할평가 — 5개 BARS 항목</t>
  </si>
  <si>
    <t>역할 정의</t>
  </si>
  <si>
    <t>회사의 비전·중장기 전략을 총괄하며, 전사 의사결정·대외 협력·리스크 관리를 주도.</t>
  </si>
  <si>
    <t>No.</t>
  </si>
  <si>
    <t>평가항목</t>
  </si>
  <si>
    <t>평가 기준</t>
  </si>
  <si>
    <t>1차 평가자</t>
  </si>
  <si>
    <t>2차 평가자</t>
  </si>
  <si>
    <t>평균(참고)</t>
  </si>
  <si>
    <t>R-1</t>
  </si>
  <si>
    <t>책임범위 이행도</t>
  </si>
  <si>
    <t>역할등급에 부합하는 책임 범위 내 업무 수행</t>
  </si>
  <si>
    <t>R-2</t>
  </si>
  <si>
    <t>의사결정 적절성</t>
  </si>
  <si>
    <t>권한 수준 내 시의적절·합리적 의사결정</t>
  </si>
  <si>
    <t>R-3</t>
  </si>
  <si>
    <t>성과 기여도</t>
  </si>
  <si>
    <t>조직·프로젝트 목표 달성에 정량적 기여</t>
  </si>
  <si>
    <t>R-4</t>
  </si>
  <si>
    <t>조직 후배 코칭</t>
  </si>
  <si>
    <t>상·하위 역할과 효과적 협업 및 후배 코칭</t>
  </si>
  <si>
    <t>R-5</t>
  </si>
  <si>
    <t>산출물 완성도</t>
  </si>
  <si>
    <t>산출물 품질과 기한 준수</t>
  </si>
  <si>
    <t>1차 평가자 역할 종합 (5개 평균)</t>
  </si>
  <si>
    <t>→ 등급</t>
  </si>
  <si>
    <t>2차 평가자 역할 종합 (5개 평균)</t>
  </si>
  <si>
    <t>▶ ② 공통역량평가 — 11개</t>
  </si>
  <si>
    <t>역량군</t>
  </si>
  <si>
    <t>핵심 역량</t>
  </si>
  <si>
    <t>가중치</t>
  </si>
  <si>
    <t>C-1</t>
  </si>
  <si>
    <t>업무</t>
  </si>
  <si>
    <t>직무 전문성</t>
  </si>
  <si>
    <t>C-2</t>
  </si>
  <si>
    <t>분석력</t>
  </si>
  <si>
    <t>C-3</t>
  </si>
  <si>
    <t>기획/실행력</t>
  </si>
  <si>
    <t>C-4</t>
  </si>
  <si>
    <t>조직</t>
  </si>
  <si>
    <t>자원·시간 관리</t>
  </si>
  <si>
    <t>C-5</t>
  </si>
  <si>
    <t>협업 능력</t>
  </si>
  <si>
    <t>C-6</t>
  </si>
  <si>
    <t>소통 능력</t>
  </si>
  <si>
    <t>C-7</t>
  </si>
  <si>
    <t>인성</t>
  </si>
  <si>
    <t>윤리/책임감</t>
  </si>
  <si>
    <t>C-8</t>
  </si>
  <si>
    <t>업무 태도</t>
  </si>
  <si>
    <t>C-9</t>
  </si>
  <si>
    <t>미래</t>
  </si>
  <si>
    <t>혁신 역량</t>
  </si>
  <si>
    <t>C-10</t>
  </si>
  <si>
    <t>프로세스 개선</t>
  </si>
  <si>
    <t>C-11</t>
  </si>
  <si>
    <t>지속가능 기여</t>
  </si>
  <si>
    <t>1차 평가자 공통역량 종합 (가중합산)</t>
  </si>
  <si>
    <t>2차 평가자 공통역량 종합</t>
  </si>
  <si>
    <t>▶ ③ 직무역량평가 — 메인 책무(D열 O)만 평가 / 비메인(X)은 제외</t>
  </si>
  <si>
    <t>전문영역</t>
  </si>
  <si>
    <t>핵심 책무</t>
  </si>
  <si>
    <t>메인</t>
  </si>
  <si>
    <t>J-1</t>
  </si>
  <si>
    <t>계획모델링</t>
  </si>
  <si>
    <t>BIM 기반 설계 계획수립</t>
  </si>
  <si>
    <t>J-2</t>
  </si>
  <si>
    <t>설계 모델링 수행</t>
  </si>
  <si>
    <t>J-3</t>
  </si>
  <si>
    <t>품질 검토 및 협업</t>
  </si>
  <si>
    <t>J-4</t>
  </si>
  <si>
    <t>드론응용모델링</t>
  </si>
  <si>
    <t>드론 측량 및 데이터 수집</t>
  </si>
  <si>
    <t>J-5</t>
  </si>
  <si>
    <t>3D 메쉬·포인트클라우드 생성</t>
  </si>
  <si>
    <t>J-6</t>
  </si>
  <si>
    <t>구조모델링</t>
  </si>
  <si>
    <t>구조 BIM 모델링</t>
  </si>
  <si>
    <t>J-7</t>
  </si>
  <si>
    <t>상하수도모델링</t>
  </si>
  <si>
    <t>상하수도 BIM 모델링</t>
  </si>
  <si>
    <t>J-8</t>
  </si>
  <si>
    <t>컨설팅</t>
  </si>
  <si>
    <t>클라이언트 요구분석</t>
  </si>
  <si>
    <t>J-9</t>
  </si>
  <si>
    <t>BIM 도입 컨설팅</t>
  </si>
  <si>
    <t>J-10</t>
  </si>
  <si>
    <t>보고서 작성 및 발표</t>
  </si>
  <si>
    <t>J-11</t>
  </si>
  <si>
    <t>프로젝트관리</t>
  </si>
  <si>
    <t>일정 및 자원 관리</t>
  </si>
  <si>
    <t>J-12</t>
  </si>
  <si>
    <t>품질 관리</t>
  </si>
  <si>
    <t>J-13</t>
  </si>
  <si>
    <t>리스크 관리</t>
  </si>
  <si>
    <t>J-14</t>
  </si>
  <si>
    <t>기술개발</t>
  </si>
  <si>
    <t>BIM 라이브러리 구축</t>
  </si>
  <si>
    <t>J-15</t>
  </si>
  <si>
    <t>내부 가이드라인 작성</t>
  </si>
  <si>
    <t>1차 평가자 직무 종합 (메인 책무 평균)</t>
  </si>
  <si>
    <t>2차 평가자 직무 종합</t>
  </si>
  <si>
    <t>▶ 통합관리시트 입력 행 (아래 한 줄 A~G 7개 셀 통째 복사 → 통합관리시트 07a/07b의 G~M에 [값 붙여넣기])</t>
  </si>
  <si>
    <t>역할(1차)</t>
  </si>
  <si>
    <t>역할(2차)</t>
  </si>
  <si>
    <t>공통(1차)</t>
  </si>
  <si>
    <t>공통(2차)</t>
  </si>
  <si>
    <t>직무(1차)</t>
  </si>
  <si>
    <t>직무(2차)</t>
  </si>
  <si>
    <t>소견</t>
  </si>
  <si>
    <t>사용법: 위 한 줄 A~G 선택 → Ctrl+C → 통합관리시트 07a/07b 해당 사번 행 G~M에 [선택하여 붙여넣기 → 값]</t>
  </si>
  <si>
    <t>▶ 종합 소견</t>
  </si>
  <si>
    <t>강점</t>
  </si>
  <si>
    <t>개선</t>
  </si>
  <si>
    <t>육성 방향</t>
  </si>
  <si>
    <t>성과평가지 양식 - BIM컨설팅 / G5-M (직무 관리(부서장))</t>
  </si>
  <si>
    <t>부서 전략·목표 수립, 자원 배분·예산 관리·성과 관리, 부서 의사결정 주도.</t>
  </si>
  <si>
    <t>성과평가지 양식 - BIM컨설팅 / G5-S (실무 스페셜리스트)</t>
  </si>
  <si>
    <t>직무 최고 수준의 전문성과 고난이도 프로젝트를 수행하며 기술 자산화·전파 주도.</t>
  </si>
  <si>
    <t>성과평가지 양식 - BIM컨설팅 / G4 (실무 책임(PM))</t>
  </si>
  <si>
    <t>단위 프로젝트의 전략 수립·추진을 주도하며 예산·일정·품질 목표 달성 책임.</t>
  </si>
  <si>
    <t>성과평가지 양식 - BIM컨설팅 / G3 (핵심 실무)</t>
  </si>
  <si>
    <t>전문 지식과 기술로 핵심 과업을 기획·수행하며 산출물 품질·일정 준수 책임.</t>
  </si>
  <si>
    <t>성과평가지 양식 - BIM컨설팅 / G2 (실무)</t>
  </si>
  <si>
    <t>프로젝트 계획에 따라 독립적·자율적으로 세부 과업을 수행하고 산출물을 도출.</t>
  </si>
  <si>
    <t>성과평가지 양식 - BIM컨설팅 / G1 (실무 보조)</t>
  </si>
  <si>
    <t>실무 이해와 기술·지식을 습득하며 프로젝트 진행 과정의 기본 과업을 보조.</t>
  </si>
  <si>
    <t>S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</si>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</sst>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EB9C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76" fontId="2" fillId="14" borderId="1" xfId="0" applyNumberFormat="1" applyFont="1" applyFill="1" applyBorder="1" applyAlignment="1">
      <alignment horizontal="center" vertical="center" wrapText="1"/>
    </xf>
    <xf numFmtId="2" fontId="2" fillId="1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9"/>
  <sheetViews>
    <sheetView workbookViewId="0">
      <selection sqref="A1:H1"/>
    </sheetView>
  </sheetViews>
  <sheetFormatPr defaultRowHeight="16.899999999999999" x14ac:dyDescent="0.6"/>
  <cols>
    <col min="1" max="1" width="18" customWidth="1"/>
    <col min="2" max="8" width="14" customWidth="1"/>
  </cols>
  <sheetData>
    <row r="1" spans="1:8" ht="32" customHeight="1" x14ac:dyDescent="0.6">
      <c r="A1" s="41" t="s">
        <v>0</v>
      </c>
      <c r="B1" s="31"/>
      <c r="C1" s="31"/>
      <c r="D1" s="31"/>
      <c r="E1" s="31"/>
      <c r="F1" s="31"/>
      <c r="G1" s="31"/>
      <c r="H1" s="31"/>
    </row>
    <row r="2" spans="1:8" ht="24" customHeight="1" x14ac:dyDescent="0.6">
      <c r="A2" s="43" t="s">
        <v>1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2</v>
      </c>
      <c r="B4" s="31"/>
      <c r="C4" s="31"/>
      <c r="D4" s="31"/>
      <c r="E4" s="31"/>
      <c r="F4" s="31"/>
      <c r="G4" s="31"/>
      <c r="H4" s="31"/>
    </row>
    <row r="5" spans="1:8" ht="24" customHeight="1" x14ac:dyDescent="0.6">
      <c r="A5" s="46" t="s">
        <v>3</v>
      </c>
      <c r="B5" s="31"/>
      <c r="C5" s="31"/>
      <c r="D5" s="31"/>
      <c r="E5" s="31"/>
      <c r="F5" s="31"/>
      <c r="G5" s="31"/>
      <c r="H5" s="31"/>
    </row>
    <row r="6" spans="1:8" ht="24" customHeight="1" x14ac:dyDescent="0.6">
      <c r="A6" s="46" t="s">
        <v>4</v>
      </c>
      <c r="B6" s="31"/>
      <c r="C6" s="31"/>
      <c r="D6" s="31"/>
      <c r="E6" s="31"/>
      <c r="F6" s="31"/>
      <c r="G6" s="31"/>
      <c r="H6" s="31"/>
    </row>
    <row r="7" spans="1:8" ht="24" customHeight="1" x14ac:dyDescent="0.6">
      <c r="A7" s="46" t="s">
        <v>5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46" t="s">
        <v>6</v>
      </c>
      <c r="B8" s="31"/>
      <c r="C8" s="31"/>
      <c r="D8" s="31"/>
      <c r="E8" s="31"/>
      <c r="F8" s="31"/>
      <c r="G8" s="31"/>
      <c r="H8" s="31"/>
    </row>
    <row r="9" spans="1:8" ht="24" customHeight="1" x14ac:dyDescent="0.6">
      <c r="A9" s="46" t="s">
        <v>7</v>
      </c>
      <c r="B9" s="31"/>
      <c r="C9" s="31"/>
      <c r="D9" s="31"/>
      <c r="E9" s="31"/>
      <c r="F9" s="31"/>
      <c r="G9" s="31"/>
      <c r="H9" s="31"/>
    </row>
    <row r="10" spans="1:8" ht="24" customHeight="1" x14ac:dyDescent="0.6">
      <c r="A10" s="46" t="s">
        <v>8</v>
      </c>
      <c r="B10" s="31"/>
      <c r="C10" s="31"/>
      <c r="D10" s="31"/>
      <c r="E10" s="31"/>
      <c r="F10" s="31"/>
      <c r="G10" s="31"/>
      <c r="H10" s="31"/>
    </row>
    <row r="11" spans="1:8" ht="24" customHeight="1" x14ac:dyDescent="0.6">
      <c r="A11" s="46" t="s">
        <v>9</v>
      </c>
      <c r="B11" s="31"/>
      <c r="C11" s="31"/>
      <c r="D11" s="31"/>
      <c r="E11" s="31"/>
      <c r="F11" s="31"/>
      <c r="G11" s="31"/>
      <c r="H11" s="31"/>
    </row>
    <row r="12" spans="1:8" ht="24" customHeight="1" x14ac:dyDescent="0.6">
      <c r="A12" s="50" t="s">
        <v>10</v>
      </c>
      <c r="B12" s="31"/>
      <c r="C12" s="31"/>
      <c r="D12" s="31"/>
      <c r="E12" s="31"/>
      <c r="F12" s="31"/>
      <c r="G12" s="31"/>
      <c r="H12" s="31"/>
    </row>
    <row r="14" spans="1:8" ht="24" customHeight="1" x14ac:dyDescent="0.6">
      <c r="A14" s="33" t="s">
        <v>11</v>
      </c>
      <c r="B14" s="31"/>
      <c r="C14" s="31"/>
      <c r="D14" s="31"/>
      <c r="E14" s="31"/>
      <c r="F14" s="31"/>
      <c r="G14" s="31"/>
      <c r="H14" s="31"/>
    </row>
    <row r="15" spans="1:8" ht="24" customHeight="1" x14ac:dyDescent="0.6">
      <c r="A15" s="2" t="s">
        <v>12</v>
      </c>
      <c r="B15" s="51" t="s">
        <v>13</v>
      </c>
      <c r="C15" s="31"/>
      <c r="D15" s="31"/>
      <c r="E15" s="31"/>
      <c r="F15" s="31"/>
      <c r="G15" s="31"/>
      <c r="H15" s="31"/>
    </row>
    <row r="16" spans="1:8" ht="24" customHeight="1" x14ac:dyDescent="0.6">
      <c r="A16" s="3" t="s">
        <v>14</v>
      </c>
      <c r="B16" s="49" t="s">
        <v>15</v>
      </c>
      <c r="C16" s="31"/>
      <c r="D16" s="31"/>
      <c r="E16" s="31"/>
      <c r="F16" s="31"/>
      <c r="G16" s="31"/>
      <c r="H16" s="31"/>
    </row>
    <row r="17" spans="1:8" ht="24" customHeight="1" x14ac:dyDescent="0.6">
      <c r="A17" s="4" t="s">
        <v>16</v>
      </c>
      <c r="B17" s="47" t="s">
        <v>17</v>
      </c>
      <c r="C17" s="31"/>
      <c r="D17" s="31"/>
      <c r="E17" s="31"/>
      <c r="F17" s="31"/>
      <c r="G17" s="31"/>
      <c r="H17" s="31"/>
    </row>
    <row r="18" spans="1:8" ht="24" customHeight="1" x14ac:dyDescent="0.6">
      <c r="A18" s="5" t="s">
        <v>18</v>
      </c>
      <c r="B18" s="50" t="s">
        <v>19</v>
      </c>
      <c r="C18" s="31"/>
      <c r="D18" s="31"/>
      <c r="E18" s="31"/>
      <c r="F18" s="31"/>
      <c r="G18" s="31"/>
      <c r="H18" s="31"/>
    </row>
    <row r="19" spans="1:8" ht="24" customHeight="1" x14ac:dyDescent="0.6">
      <c r="A19" s="6" t="s">
        <v>20</v>
      </c>
      <c r="B19" s="48" t="s">
        <v>21</v>
      </c>
      <c r="C19" s="31"/>
      <c r="D19" s="31"/>
      <c r="E19" s="31"/>
      <c r="F19" s="31"/>
      <c r="G19" s="31"/>
      <c r="H19" s="31"/>
    </row>
    <row r="21" spans="1:8" ht="24" customHeight="1" x14ac:dyDescent="0.6">
      <c r="A21" s="33" t="s">
        <v>22</v>
      </c>
      <c r="B21" s="31"/>
      <c r="C21" s="31"/>
      <c r="D21" s="31"/>
      <c r="E21" s="31"/>
      <c r="F21" s="31"/>
      <c r="G21" s="31"/>
      <c r="H21" s="31"/>
    </row>
    <row r="22" spans="1:8" x14ac:dyDescent="0.6">
      <c r="A22" s="7" t="s">
        <v>23</v>
      </c>
      <c r="B22" s="7" t="s">
        <v>24</v>
      </c>
      <c r="C22" s="39" t="s">
        <v>25</v>
      </c>
      <c r="D22" s="31"/>
      <c r="E22" s="31"/>
      <c r="F22" s="31"/>
      <c r="G22" s="31"/>
      <c r="H22" s="31"/>
    </row>
    <row r="23" spans="1:8" ht="22.05" customHeight="1" x14ac:dyDescent="0.6">
      <c r="A23" s="8" t="s">
        <v>26</v>
      </c>
      <c r="B23" s="9" t="s">
        <v>27</v>
      </c>
      <c r="C23" s="46" t="s">
        <v>28</v>
      </c>
      <c r="D23" s="31"/>
      <c r="E23" s="31"/>
      <c r="F23" s="31"/>
      <c r="G23" s="31"/>
      <c r="H23" s="31"/>
    </row>
    <row r="24" spans="1:8" ht="22.05" customHeight="1" x14ac:dyDescent="0.6">
      <c r="A24" s="8" t="s">
        <v>29</v>
      </c>
      <c r="B24" s="9" t="s">
        <v>30</v>
      </c>
      <c r="C24" s="46" t="s">
        <v>31</v>
      </c>
      <c r="D24" s="31"/>
      <c r="E24" s="31"/>
      <c r="F24" s="31"/>
      <c r="G24" s="31"/>
      <c r="H24" s="31"/>
    </row>
    <row r="25" spans="1:8" ht="22.05" customHeight="1" x14ac:dyDescent="0.6">
      <c r="A25" s="8" t="s">
        <v>32</v>
      </c>
      <c r="B25" s="9" t="s">
        <v>33</v>
      </c>
      <c r="C25" s="46" t="s">
        <v>34</v>
      </c>
      <c r="D25" s="31"/>
      <c r="E25" s="31"/>
      <c r="F25" s="31"/>
      <c r="G25" s="31"/>
      <c r="H25" s="31"/>
    </row>
    <row r="26" spans="1:8" ht="22.05" customHeight="1" x14ac:dyDescent="0.6">
      <c r="A26" s="8" t="s">
        <v>35</v>
      </c>
      <c r="B26" s="9" t="s">
        <v>36</v>
      </c>
      <c r="C26" s="46" t="s">
        <v>37</v>
      </c>
      <c r="D26" s="31"/>
      <c r="E26" s="31"/>
      <c r="F26" s="31"/>
      <c r="G26" s="31"/>
      <c r="H26" s="31"/>
    </row>
    <row r="27" spans="1:8" ht="22.05" customHeight="1" x14ac:dyDescent="0.6">
      <c r="A27" s="8" t="s">
        <v>38</v>
      </c>
      <c r="B27" s="9" t="s">
        <v>39</v>
      </c>
      <c r="C27" s="46" t="s">
        <v>40</v>
      </c>
      <c r="D27" s="31"/>
      <c r="E27" s="31"/>
      <c r="F27" s="31"/>
      <c r="G27" s="31"/>
      <c r="H27" s="31"/>
    </row>
    <row r="28" spans="1:8" ht="22.05" customHeight="1" x14ac:dyDescent="0.6">
      <c r="A28" s="8" t="s">
        <v>41</v>
      </c>
      <c r="B28" s="9" t="s">
        <v>42</v>
      </c>
      <c r="C28" s="46" t="s">
        <v>43</v>
      </c>
      <c r="D28" s="31"/>
      <c r="E28" s="31"/>
      <c r="F28" s="31"/>
      <c r="G28" s="31"/>
      <c r="H28" s="31"/>
    </row>
    <row r="29" spans="1:8" ht="22.05" customHeight="1" x14ac:dyDescent="0.6">
      <c r="A29" s="8" t="s">
        <v>44</v>
      </c>
      <c r="B29" s="9" t="s">
        <v>45</v>
      </c>
      <c r="C29" s="46" t="s">
        <v>46</v>
      </c>
      <c r="D29" s="31"/>
      <c r="E29" s="31"/>
      <c r="F29" s="31"/>
      <c r="G29" s="31"/>
      <c r="H29" s="31"/>
    </row>
  </sheetData>
  <mergeCells count="26">
    <mergeCell ref="A1:H1"/>
    <mergeCell ref="A6:H6"/>
    <mergeCell ref="A7:H7"/>
    <mergeCell ref="C27:H27"/>
    <mergeCell ref="C23:H23"/>
    <mergeCell ref="B16:H16"/>
    <mergeCell ref="A12:H12"/>
    <mergeCell ref="A21:H21"/>
    <mergeCell ref="B18:H18"/>
    <mergeCell ref="A9:H9"/>
    <mergeCell ref="C25:H25"/>
    <mergeCell ref="C22:H22"/>
    <mergeCell ref="A11:H11"/>
    <mergeCell ref="B15:H15"/>
    <mergeCell ref="C29:H29"/>
    <mergeCell ref="C28:H28"/>
    <mergeCell ref="A2:H2"/>
    <mergeCell ref="A14:H14"/>
    <mergeCell ref="A5:H5"/>
    <mergeCell ref="A8:H8"/>
    <mergeCell ref="A4:H4"/>
    <mergeCell ref="C24:H24"/>
    <mergeCell ref="B17:H17"/>
    <mergeCell ref="A10:H10"/>
    <mergeCell ref="C26:H26"/>
    <mergeCell ref="B19:H19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H70"/>
  <sheetViews>
    <sheetView tabSelected="1" topLeftCell="A17" workbookViewId="0">
      <selection activeCell="A24" sqref="A24:H38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47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26</v>
      </c>
      <c r="G6" s="10" t="s">
        <v>24</v>
      </c>
      <c r="H6" s="12" t="s">
        <v>27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68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 t="s">
        <v>193</v>
      </c>
      <c r="E16" s="19" t="s">
        <v>195</v>
      </c>
      <c r="F16" s="20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>4.5</v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 t="s">
        <v>194</v>
      </c>
      <c r="E17" s="19" t="s">
        <v>193</v>
      </c>
      <c r="F17" s="20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>4</v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 t="s">
        <v>193</v>
      </c>
      <c r="E18" s="19" t="s">
        <v>195</v>
      </c>
      <c r="F18" s="20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>4.5</v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 t="s">
        <v>195</v>
      </c>
      <c r="E19" s="19" t="s">
        <v>195</v>
      </c>
      <c r="F19" s="20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>4</v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 t="s">
        <v>195</v>
      </c>
      <c r="E20" s="19" t="s">
        <v>195</v>
      </c>
      <c r="F20" s="20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>4</v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4.2</v>
      </c>
      <c r="E21" s="22" t="s">
        <v>91</v>
      </c>
      <c r="F21" s="23" t="str">
        <f>IF(D21="","",IF(D21&gt;=4.5,"S",IF(D21&gt;=3.5,"A",IF(D21&gt;=2.5,"B",IF(D21&gt;=1.5,"C","D")))))</f>
        <v>A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4.2</v>
      </c>
      <c r="E22" s="22" t="s">
        <v>91</v>
      </c>
      <c r="F22" s="23" t="str">
        <f>IF(D22="","",IF(D22&gt;=4.5,"S",IF(D22&gt;=3.5,"A",IF(D22&gt;=2.5,"B",IF(D22&gt;=1.5,"C","D")))))</f>
        <v>A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>IFERROR(IF(AND(E27&lt;&gt;"",F27&lt;&gt;""),(IF(E27="S",5,IF(E27="A",4,IF(E27="B",3,IF(E27="C",2,IF(E27="D",1,0)))))+IF(F27="S",5,IF(F27="A",4,IF(F27="B",3,IF(F27="C",2,IF(F27="D",1,0))))))/2,IF(E27&lt;&gt;"",IF(E27="S",5,IF(E27="A",4,IF(E27="B",3,IF(E27="C",2,IF(E27="D",1,0))))),IF(F27&lt;&gt;"",IF(F27="S",5,IF(F27="A",4,IF(F27="B",3,IF(F27="C",2,IF(F27="D",1,0))))),""))),"")</f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>IFERROR(IF(AND(E28&lt;&gt;"",F28&lt;&gt;""),(IF(E28="S",5,IF(E28="A",4,IF(E28="B",3,IF(E28="C",2,IF(E28="D",1,0)))))+IF(F28="S",5,IF(F28="A",4,IF(F28="B",3,IF(F28="C",2,IF(F28="D",1,0))))))/2,IF(E28&lt;&gt;"",IF(E28="S",5,IF(E28="A",4,IF(E28="B",3,IF(E28="C",2,IF(E28="D",1,0))))),IF(F28&lt;&gt;"",IF(F28="S",5,IF(F28="A",4,IF(F28="B",3,IF(F28="C",2,IF(F28="D",1,0))))),""))),"")</f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>IFERROR(IF(AND(E29&lt;&gt;"",F29&lt;&gt;""),(IF(E29="S",5,IF(E29="A",4,IF(E29="B",3,IF(E29="C",2,IF(E29="D",1,0)))))+IF(F29="S",5,IF(F29="A",4,IF(F29="B",3,IF(F29="C",2,IF(F29="D",1,0))))))/2,IF(E29&lt;&gt;"",IF(E29="S",5,IF(E29="A",4,IF(E29="B",3,IF(E29="C",2,IF(E29="D",1,0))))),IF(F29&lt;&gt;"",IF(F29="S",5,IF(F29="A",4,IF(F29="B",3,IF(F29="C",2,IF(F29="D",1,0))))),""))),"")</f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>IFERROR(IF(AND(E30&lt;&gt;"",F30&lt;&gt;""),(IF(E30="S",5,IF(E30="A",4,IF(E30="B",3,IF(E30="C",2,IF(E30="D",1,0)))))+IF(F30="S",5,IF(F30="A",4,IF(F30="B",3,IF(F30="C",2,IF(F30="D",1,0))))))/2,IF(E30&lt;&gt;"",IF(E30="S",5,IF(E30="A",4,IF(E30="B",3,IF(E30="C",2,IF(E30="D",1,0))))),IF(F30&lt;&gt;"",IF(F30="S",5,IF(F30="A",4,IF(F30="B",3,IF(F30="C",2,IF(F30="D",1,0))))),""))),"")</f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>IFERROR(IF(AND(E31&lt;&gt;"",F31&lt;&gt;""),(IF(E31="S",5,IF(E31="A",4,IF(E31="B",3,IF(E31="C",2,IF(E31="D",1,0)))))+IF(F31="S",5,IF(F31="A",4,IF(F31="B",3,IF(F31="C",2,IF(F31="D",1,0))))))/2,IF(E31&lt;&gt;"",IF(E31="S",5,IF(E31="A",4,IF(E31="B",3,IF(E31="C",2,IF(E31="D",1,0))))),IF(F31&lt;&gt;"",IF(F31="S",5,IF(F31="A",4,IF(F31="B",3,IF(F31="C",2,IF(F31="D",1,0))))),""))),"")</f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>IFERROR(IF(AND(E32&lt;&gt;"",F32&lt;&gt;""),(IF(E32="S",5,IF(E32="A",4,IF(E32="B",3,IF(E32="C",2,IF(E32="D",1,0)))))+IF(F32="S",5,IF(F32="A",4,IF(F32="B",3,IF(F32="C",2,IF(F32="D",1,0))))))/2,IF(E32&lt;&gt;"",IF(E32="S",5,IF(E32="A",4,IF(E32="B",3,IF(E32="C",2,IF(E32="D",1,0))))),IF(F32&lt;&gt;"",IF(F32="S",5,IF(F32="A",4,IF(F32="B",3,IF(F32="C",2,IF(F32="D",1,0))))),""))),"")</f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>IFERROR(IF(AND(E33&lt;&gt;"",F33&lt;&gt;""),(IF(E33="S",5,IF(E33="A",4,IF(E33="B",3,IF(E33="C",2,IF(E33="D",1,0)))))+IF(F33="S",5,IF(F33="A",4,IF(F33="B",3,IF(F33="C",2,IF(F33="D",1,0))))))/2,IF(E33&lt;&gt;"",IF(E33="S",5,IF(E33="A",4,IF(E33="B",3,IF(E33="C",2,IF(E33="D",1,0))))),IF(F33&lt;&gt;"",IF(F33="S",5,IF(F33="A",4,IF(F33="B",3,IF(F33="C",2,IF(F33="D",1,0))))),""))),"")</f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>IFERROR(IF(AND(E34&lt;&gt;"",F34&lt;&gt;""),(IF(E34="S",5,IF(E34="A",4,IF(E34="B",3,IF(E34="C",2,IF(E34="D",1,0)))))+IF(F34="S",5,IF(F34="A",4,IF(F34="B",3,IF(F34="C",2,IF(F34="D",1,0))))))/2,IF(E34&lt;&gt;"",IF(E34="S",5,IF(E34="A",4,IF(E34="B",3,IF(E34="C",2,IF(E34="D",1,0))))),IF(F34&lt;&gt;"",IF(F34="S",5,IF(F34="A",4,IF(F34="B",3,IF(F34="C",2,IF(F34="D",1,0))))),""))),"")</f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>IFERROR(IF(AND(E35&lt;&gt;"",F35&lt;&gt;""),(IF(E35="S",5,IF(E35="A",4,IF(E35="B",3,IF(E35="C",2,IF(E35="D",1,0)))))+IF(F35="S",5,IF(F35="A",4,IF(F35="B",3,IF(F35="C",2,IF(F35="D",1,0))))))/2,IF(E35&lt;&gt;"",IF(E35="S",5,IF(E35="A",4,IF(E35="B",3,IF(E35="C",2,IF(E35="D",1,0))))),IF(F35&lt;&gt;"",IF(F35="S",5,IF(F35="A",4,IF(F35="B",3,IF(F35="C",2,IF(F35="D",1,0))))),""))),"")</f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ref="G36" si="0">IFERROR(IF(AND(E36&lt;&gt;"",F36&lt;&gt;""),(IF(E36="S",5,IF(E36="A",4,IF(E36="B",3,IF(E36="C",2,IF(E36="D",1,0)))))+IF(F36="S",5,IF(F36="A",4,IF(F36="B",3,IF(F36="C",2,IF(F36="D",1,0))))))/2,IF(E36&lt;&gt;"",IF(E36="S",5,IF(E36="A",4,IF(E36="B",3,IF(E36="C",2,IF(E36="D",1,0))))),IF(F36&lt;&gt;"",IF(F36="S",5,IF(F36="A",4,IF(F36="B",3,IF(F36="C",2,IF(F36="D",1,0))))),""))),"")</f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" customHeight="1" x14ac:dyDescent="0.6">
      <c r="A64" s="28" t="str">
        <f>F21</f>
        <v>A</v>
      </c>
      <c r="B64" s="28" t="str">
        <f>F22</f>
        <v>A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27" priority="1" operator="equal">
      <formula>"S"</formula>
    </cfRule>
    <cfRule type="cellIs" dxfId="26" priority="2" operator="equal">
      <formula>"A"</formula>
    </cfRule>
    <cfRule type="cellIs" dxfId="25" priority="3" operator="equal">
      <formula>"C"</formula>
    </cfRule>
    <cfRule type="cellIs" dxfId="24" priority="4" operator="equal">
      <formula>"D"</formula>
    </cfRule>
  </conditionalFormatting>
  <dataValidations count="3">
    <dataValidation type="list" sqref="B11" xr:uid="{00000000-0002-0000-0100-000000000000}">
      <formula1>"상반기,하반기"</formula1>
    </dataValidation>
    <dataValidation type="list" allowBlank="1" sqref="D16:E20 E42:F56 E26:F36" xr:uid="{00000000-0002-0000-0100-000001000000}">
      <formula1>"S,A,B,C,D"</formula1>
    </dataValidation>
    <dataValidation type="list" allowBlank="1" sqref="D42:D56" xr:uid="{00000000-0002-0000-0100-000003000000}">
      <formula1>"O,X"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70"/>
  <sheetViews>
    <sheetView topLeftCell="A28" workbookViewId="0">
      <selection activeCell="E58" sqref="E58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181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29</v>
      </c>
      <c r="G6" s="10" t="s">
        <v>24</v>
      </c>
      <c r="H6" s="12" t="s">
        <v>30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182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91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91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 t="shared" ref="G26:G36" si="0"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 t="shared" si="0"/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 t="shared" si="0"/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 t="shared" si="0"/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 t="shared" si="0"/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 t="shared" si="0"/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 t="shared" si="0"/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 t="shared" si="0"/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 t="shared" si="0"/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 t="shared" si="0"/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si="0"/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.75" customHeight="1" x14ac:dyDescent="0.6">
      <c r="A64" s="28" t="str">
        <f>F21</f>
        <v>D</v>
      </c>
      <c r="B64" s="28" t="str">
        <f>F22</f>
        <v>D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23" priority="1" operator="equal">
      <formula>"S"</formula>
    </cfRule>
    <cfRule type="cellIs" dxfId="22" priority="2" operator="equal">
      <formula>"A"</formula>
    </cfRule>
    <cfRule type="cellIs" dxfId="21" priority="3" operator="equal">
      <formula>"C"</formula>
    </cfRule>
    <cfRule type="cellIs" dxfId="20" priority="4" operator="equal">
      <formula>"D"</formula>
    </cfRule>
  </conditionalFormatting>
  <dataValidations count="3">
    <dataValidation type="list" sqref="B11" xr:uid="{00000000-0002-0000-0200-000000000000}">
      <formula1>"상반기,하반기"</formula1>
    </dataValidation>
    <dataValidation type="list" allowBlank="1" sqref="D16:E20 E42:F56 E26:F36" xr:uid="{00000000-0002-0000-0200-000001000000}">
      <formula1>"S,A,B,C,D"</formula1>
    </dataValidation>
    <dataValidation type="list" allowBlank="1" sqref="D42:D56" xr:uid="{00000000-0002-0000-0200-000003000000}">
      <formula1>"O,X"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H70"/>
  <sheetViews>
    <sheetView workbookViewId="0">
      <selection sqref="A1:H1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183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32</v>
      </c>
      <c r="G6" s="10" t="s">
        <v>24</v>
      </c>
      <c r="H6" s="12" t="s">
        <v>33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184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91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91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 t="shared" ref="G26:G36" si="0"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 t="shared" si="0"/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 t="shared" si="0"/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 t="shared" si="0"/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 t="shared" si="0"/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 t="shared" si="0"/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 t="shared" si="0"/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 t="shared" si="0"/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 t="shared" si="0"/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 t="shared" si="0"/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si="0"/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" customHeight="1" x14ac:dyDescent="0.6">
      <c r="A64" s="28" t="str">
        <f>F21</f>
        <v>D</v>
      </c>
      <c r="B64" s="28" t="str">
        <f>F22</f>
        <v>D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19" priority="1" operator="equal">
      <formula>"S"</formula>
    </cfRule>
    <cfRule type="cellIs" dxfId="18" priority="2" operator="equal">
      <formula>"A"</formula>
    </cfRule>
    <cfRule type="cellIs" dxfId="17" priority="3" operator="equal">
      <formula>"C"</formula>
    </cfRule>
    <cfRule type="cellIs" dxfId="16" priority="4" operator="equal">
      <formula>"D"</formula>
    </cfRule>
  </conditionalFormatting>
  <dataValidations count="3">
    <dataValidation type="list" sqref="B11" xr:uid="{00000000-0002-0000-0300-000000000000}">
      <formula1>"상반기,하반기"</formula1>
    </dataValidation>
    <dataValidation type="list" allowBlank="1" sqref="D16:E20 E42:F56 E26:F36" xr:uid="{00000000-0002-0000-0300-000001000000}">
      <formula1>"S,A,B,C,D"</formula1>
    </dataValidation>
    <dataValidation type="list" allowBlank="1" sqref="D42:D56" xr:uid="{00000000-0002-0000-0300-000003000000}">
      <formula1>"O,X"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70"/>
  <sheetViews>
    <sheetView topLeftCell="A12" workbookViewId="0">
      <selection activeCell="A25" sqref="A25:G36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185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35</v>
      </c>
      <c r="G6" s="10" t="s">
        <v>24</v>
      </c>
      <c r="H6" s="12" t="s">
        <v>36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186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91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91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 t="shared" ref="G26:G36" si="0"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 t="shared" si="0"/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 t="shared" si="0"/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 t="shared" si="0"/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 t="shared" si="0"/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 t="shared" si="0"/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 t="shared" si="0"/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 t="shared" si="0"/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 t="shared" si="0"/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 t="shared" si="0"/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si="0"/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" customHeight="1" x14ac:dyDescent="0.6">
      <c r="A64" s="28" t="str">
        <f>F21</f>
        <v>D</v>
      </c>
      <c r="B64" s="28" t="str">
        <f>F22</f>
        <v>D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15" priority="1" operator="equal">
      <formula>"S"</formula>
    </cfRule>
    <cfRule type="cellIs" dxfId="14" priority="2" operator="equal">
      <formula>"A"</formula>
    </cfRule>
    <cfRule type="cellIs" dxfId="13" priority="3" operator="equal">
      <formula>"C"</formula>
    </cfRule>
    <cfRule type="cellIs" dxfId="12" priority="4" operator="equal">
      <formula>"D"</formula>
    </cfRule>
  </conditionalFormatting>
  <dataValidations count="3">
    <dataValidation type="list" sqref="B11" xr:uid="{00000000-0002-0000-0400-000000000000}">
      <formula1>"상반기,하반기"</formula1>
    </dataValidation>
    <dataValidation type="list" allowBlank="1" sqref="D16:E20 E42:F56 E26:F36" xr:uid="{00000000-0002-0000-0400-000001000000}">
      <formula1>"S,A,B,C,D"</formula1>
    </dataValidation>
    <dataValidation type="list" allowBlank="1" sqref="D42:D56" xr:uid="{00000000-0002-0000-0400-000003000000}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H70"/>
  <sheetViews>
    <sheetView workbookViewId="0">
      <selection sqref="A1:H1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187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38</v>
      </c>
      <c r="G6" s="10" t="s">
        <v>24</v>
      </c>
      <c r="H6" s="12" t="s">
        <v>39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188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91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91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 t="shared" ref="G26:G36" si="0"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 t="shared" si="0"/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 t="shared" si="0"/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 t="shared" si="0"/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 t="shared" si="0"/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 t="shared" si="0"/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 t="shared" si="0"/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 t="shared" si="0"/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 t="shared" si="0"/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 t="shared" si="0"/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si="0"/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" customHeight="1" x14ac:dyDescent="0.6">
      <c r="A64" s="28" t="str">
        <f>F21</f>
        <v>D</v>
      </c>
      <c r="B64" s="28" t="str">
        <f>F22</f>
        <v>D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11" priority="1" operator="equal">
      <formula>"S"</formula>
    </cfRule>
    <cfRule type="cellIs" dxfId="10" priority="2" operator="equal">
      <formula>"A"</formula>
    </cfRule>
    <cfRule type="cellIs" dxfId="9" priority="3" operator="equal">
      <formula>"C"</formula>
    </cfRule>
    <cfRule type="cellIs" dxfId="8" priority="4" operator="equal">
      <formula>"D"</formula>
    </cfRule>
  </conditionalFormatting>
  <dataValidations count="3">
    <dataValidation type="list" sqref="B11" xr:uid="{00000000-0002-0000-0500-000000000000}">
      <formula1>"상반기,하반기"</formula1>
    </dataValidation>
    <dataValidation type="list" allowBlank="1" sqref="D16:E20 E42:F56 E26:F36" xr:uid="{00000000-0002-0000-0500-000001000000}">
      <formula1>"S,A,B,C,D"</formula1>
    </dataValidation>
    <dataValidation type="list" allowBlank="1" sqref="D42:D56" xr:uid="{00000000-0002-0000-0500-000003000000}">
      <formula1>"O,X"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H70"/>
  <sheetViews>
    <sheetView workbookViewId="0">
      <selection sqref="A1:H1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189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41</v>
      </c>
      <c r="G6" s="10" t="s">
        <v>24</v>
      </c>
      <c r="H6" s="12" t="s">
        <v>42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190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91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91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 t="shared" ref="G26:G36" si="0"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 t="shared" si="0"/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 t="shared" si="0"/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 t="shared" si="0"/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 t="shared" si="0"/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 t="shared" si="0"/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 t="shared" si="0"/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 t="shared" si="0"/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 t="shared" si="0"/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 t="shared" si="0"/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si="0"/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" customHeight="1" x14ac:dyDescent="0.6">
      <c r="A64" s="28" t="str">
        <f>F21</f>
        <v>D</v>
      </c>
      <c r="B64" s="28" t="str">
        <f>F22</f>
        <v>D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7" priority="1" operator="equal">
      <formula>"S"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"D"</formula>
    </cfRule>
  </conditionalFormatting>
  <dataValidations count="3">
    <dataValidation type="list" sqref="B11" xr:uid="{00000000-0002-0000-0600-000000000000}">
      <formula1>"상반기,하반기"</formula1>
    </dataValidation>
    <dataValidation type="list" allowBlank="1" sqref="D16:E20 E42:F56 E26:F36" xr:uid="{00000000-0002-0000-0600-000001000000}">
      <formula1>"S,A,B,C,D"</formula1>
    </dataValidation>
    <dataValidation type="list" allowBlank="1" sqref="D42:D56" xr:uid="{00000000-0002-0000-0600-000003000000}">
      <formula1>"O,X"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70"/>
  <sheetViews>
    <sheetView workbookViewId="0">
      <selection sqref="A1:H1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10" customWidth="1"/>
    <col min="5" max="6" width="13" customWidth="1"/>
    <col min="7" max="8" width="12" customWidth="1"/>
  </cols>
  <sheetData>
    <row r="1" spans="1:8" ht="30" customHeight="1" x14ac:dyDescent="0.6">
      <c r="A1" s="41" t="s">
        <v>191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43" t="s">
        <v>48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3" t="s">
        <v>49</v>
      </c>
      <c r="B4" s="31"/>
      <c r="C4" s="31"/>
      <c r="D4" s="31"/>
      <c r="E4" s="31"/>
      <c r="F4" s="31"/>
      <c r="G4" s="31"/>
      <c r="H4" s="31"/>
    </row>
    <row r="5" spans="1:8" ht="22.05" customHeight="1" x14ac:dyDescent="0.6">
      <c r="A5" s="10" t="s">
        <v>50</v>
      </c>
      <c r="B5" s="11"/>
      <c r="C5" s="10" t="s">
        <v>51</v>
      </c>
      <c r="D5" s="11"/>
      <c r="E5" s="10" t="s">
        <v>52</v>
      </c>
      <c r="F5" s="11"/>
      <c r="G5" s="10" t="s">
        <v>53</v>
      </c>
      <c r="H5" s="11"/>
    </row>
    <row r="6" spans="1:8" ht="22.05" customHeight="1" x14ac:dyDescent="0.6">
      <c r="A6" s="10" t="s">
        <v>54</v>
      </c>
      <c r="B6" s="11"/>
      <c r="C6" s="10" t="s">
        <v>55</v>
      </c>
      <c r="D6" s="12" t="s">
        <v>56</v>
      </c>
      <c r="E6" s="10" t="s">
        <v>23</v>
      </c>
      <c r="F6" s="12" t="s">
        <v>44</v>
      </c>
      <c r="G6" s="10" t="s">
        <v>24</v>
      </c>
      <c r="H6" s="12" t="s">
        <v>45</v>
      </c>
    </row>
    <row r="7" spans="1:8" ht="24" customHeight="1" x14ac:dyDescent="0.6">
      <c r="A7" s="33" t="s">
        <v>57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7" t="s">
        <v>58</v>
      </c>
      <c r="B8" s="7" t="s">
        <v>50</v>
      </c>
      <c r="C8" s="7" t="s">
        <v>51</v>
      </c>
      <c r="D8" s="7" t="s">
        <v>59</v>
      </c>
      <c r="E8" s="7" t="s">
        <v>53</v>
      </c>
      <c r="F8" s="39" t="s">
        <v>60</v>
      </c>
      <c r="G8" s="31"/>
      <c r="H8" s="31"/>
    </row>
    <row r="9" spans="1:8" ht="24" customHeight="1" x14ac:dyDescent="0.6">
      <c r="A9" s="13" t="s">
        <v>61</v>
      </c>
      <c r="B9" s="14"/>
      <c r="C9" s="14"/>
      <c r="D9" s="14"/>
      <c r="E9" s="14"/>
      <c r="F9" s="34"/>
      <c r="G9" s="31"/>
      <c r="H9" s="31"/>
    </row>
    <row r="10" spans="1:8" ht="24" customHeight="1" x14ac:dyDescent="0.6">
      <c r="A10" s="13" t="s">
        <v>62</v>
      </c>
      <c r="B10" s="14"/>
      <c r="C10" s="14"/>
      <c r="D10" s="14"/>
      <c r="E10" s="14"/>
      <c r="F10" s="34"/>
      <c r="G10" s="31"/>
      <c r="H10" s="31"/>
    </row>
    <row r="11" spans="1:8" ht="24" customHeight="1" x14ac:dyDescent="0.6">
      <c r="A11" s="13" t="s">
        <v>63</v>
      </c>
      <c r="B11" s="15" t="s">
        <v>64</v>
      </c>
      <c r="C11" s="13" t="s">
        <v>65</v>
      </c>
      <c r="D11" s="14"/>
    </row>
    <row r="13" spans="1:8" ht="26" customHeight="1" x14ac:dyDescent="0.6">
      <c r="A13" s="37" t="s">
        <v>66</v>
      </c>
      <c r="B13" s="31"/>
      <c r="C13" s="31"/>
      <c r="D13" s="31"/>
      <c r="E13" s="31"/>
      <c r="F13" s="31"/>
      <c r="G13" s="31"/>
      <c r="H13" s="31"/>
    </row>
    <row r="14" spans="1:8" ht="38" customHeight="1" x14ac:dyDescent="0.6">
      <c r="A14" s="16" t="s">
        <v>67</v>
      </c>
      <c r="B14" s="35" t="s">
        <v>192</v>
      </c>
      <c r="C14" s="31"/>
      <c r="D14" s="31"/>
      <c r="E14" s="31"/>
      <c r="F14" s="31"/>
      <c r="G14" s="31"/>
      <c r="H14" s="31"/>
    </row>
    <row r="15" spans="1:8" ht="28.05" customHeight="1" x14ac:dyDescent="0.6">
      <c r="A15" s="17" t="s">
        <v>69</v>
      </c>
      <c r="B15" s="17" t="s">
        <v>70</v>
      </c>
      <c r="C15" s="17" t="s">
        <v>71</v>
      </c>
      <c r="D15" s="17" t="s">
        <v>72</v>
      </c>
      <c r="E15" s="17" t="s">
        <v>73</v>
      </c>
      <c r="F15" s="17" t="s">
        <v>74</v>
      </c>
    </row>
    <row r="16" spans="1:8" ht="38" customHeight="1" x14ac:dyDescent="0.6">
      <c r="A16" s="16" t="s">
        <v>75</v>
      </c>
      <c r="B16" s="9" t="s">
        <v>76</v>
      </c>
      <c r="C16" s="18" t="s">
        <v>77</v>
      </c>
      <c r="D16" s="19"/>
      <c r="E16" s="19"/>
      <c r="F16" s="20" t="str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spans="1:8" ht="38" customHeight="1" x14ac:dyDescent="0.6">
      <c r="A17" s="16" t="s">
        <v>78</v>
      </c>
      <c r="B17" s="9" t="s">
        <v>79</v>
      </c>
      <c r="C17" s="18" t="s">
        <v>80</v>
      </c>
      <c r="D17" s="19"/>
      <c r="E17" s="19"/>
      <c r="F17" s="20" t="str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spans="1:8" ht="38" customHeight="1" x14ac:dyDescent="0.6">
      <c r="A18" s="16" t="s">
        <v>81</v>
      </c>
      <c r="B18" s="9" t="s">
        <v>82</v>
      </c>
      <c r="C18" s="18" t="s">
        <v>83</v>
      </c>
      <c r="D18" s="19"/>
      <c r="E18" s="19"/>
      <c r="F18" s="20" t="str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spans="1:8" ht="38" customHeight="1" x14ac:dyDescent="0.6">
      <c r="A19" s="16" t="s">
        <v>84</v>
      </c>
      <c r="B19" s="9" t="s">
        <v>85</v>
      </c>
      <c r="C19" s="18" t="s">
        <v>86</v>
      </c>
      <c r="D19" s="19"/>
      <c r="E19" s="19"/>
      <c r="F19" s="20" t="str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spans="1:8" ht="38" customHeight="1" x14ac:dyDescent="0.6">
      <c r="A20" s="16" t="s">
        <v>87</v>
      </c>
      <c r="B20" s="9" t="s">
        <v>88</v>
      </c>
      <c r="C20" s="18" t="s">
        <v>89</v>
      </c>
      <c r="D20" s="19"/>
      <c r="E20" s="19"/>
      <c r="F20" s="20" t="str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spans="1:8" ht="24" customHeight="1" x14ac:dyDescent="0.6">
      <c r="A21" s="40" t="s">
        <v>90</v>
      </c>
      <c r="B21" s="31"/>
      <c r="C21" s="31"/>
      <c r="D21" s="21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>0</v>
      </c>
      <c r="E21" s="22" t="s">
        <v>91</v>
      </c>
      <c r="F21" s="23" t="str">
        <f>IF(D21="","",IF(D21&gt;=4.5,"S",IF(D21&gt;=3.5,"A",IF(D21&gt;=2.5,"B",IF(D21&gt;=1.5,"C","D")))))</f>
        <v>D</v>
      </c>
    </row>
    <row r="22" spans="1:8" ht="24" customHeight="1" x14ac:dyDescent="0.6">
      <c r="A22" s="40" t="s">
        <v>92</v>
      </c>
      <c r="B22" s="31"/>
      <c r="C22" s="31"/>
      <c r="D22" s="21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>0</v>
      </c>
      <c r="E22" s="22" t="s">
        <v>91</v>
      </c>
      <c r="F22" s="23" t="str">
        <f>IF(D22="","",IF(D22&gt;=4.5,"S",IF(D22&gt;=3.5,"A",IF(D22&gt;=2.5,"B",IF(D22&gt;=1.5,"C","D")))))</f>
        <v>D</v>
      </c>
    </row>
    <row r="24" spans="1:8" ht="26" customHeight="1" x14ac:dyDescent="0.6">
      <c r="A24" s="44" t="s">
        <v>93</v>
      </c>
      <c r="B24" s="31"/>
      <c r="C24" s="31"/>
      <c r="D24" s="31"/>
      <c r="E24" s="31"/>
      <c r="F24" s="31"/>
      <c r="G24" s="31"/>
      <c r="H24" s="31"/>
    </row>
    <row r="25" spans="1:8" ht="28.05" customHeight="1" x14ac:dyDescent="0.6">
      <c r="A25" s="17" t="s">
        <v>69</v>
      </c>
      <c r="B25" s="17" t="s">
        <v>94</v>
      </c>
      <c r="C25" s="17" t="s">
        <v>95</v>
      </c>
      <c r="D25" s="17" t="s">
        <v>96</v>
      </c>
      <c r="E25" s="17" t="s">
        <v>72</v>
      </c>
      <c r="F25" s="17" t="s">
        <v>73</v>
      </c>
      <c r="G25" s="17" t="s">
        <v>74</v>
      </c>
    </row>
    <row r="26" spans="1:8" ht="24" customHeight="1" x14ac:dyDescent="0.6">
      <c r="A26" s="1" t="s">
        <v>97</v>
      </c>
      <c r="B26" s="1" t="s">
        <v>98</v>
      </c>
      <c r="C26" s="9" t="s">
        <v>99</v>
      </c>
      <c r="D26" s="24">
        <v>0.15</v>
      </c>
      <c r="E26" s="19"/>
      <c r="F26" s="19"/>
      <c r="G26" s="20" t="str">
        <f t="shared" ref="G26:G36" si="0">IFERROR(IF(AND(E26&lt;&gt;"",F26&lt;&gt;""),(IF(E26="S",5,IF(E26="A",4,IF(E26="B",3,IF(E26="C",2,IF(E26="D",1,0)))))+IF(F26="S",5,IF(F26="A",4,IF(F26="B",3,IF(F26="C",2,IF(F26="D",1,0))))))/2,IF(E26&lt;&gt;"",IF(E26="S",5,IF(E26="A",4,IF(E26="B",3,IF(E26="C",2,IF(E26="D",1,0))))),IF(F26&lt;&gt;"",IF(F26="S",5,IF(F26="A",4,IF(F26="B",3,IF(F26="C",2,IF(F26="D",1,0))))),""))),"")</f>
        <v/>
      </c>
    </row>
    <row r="27" spans="1:8" ht="24" customHeight="1" x14ac:dyDescent="0.6">
      <c r="A27" s="1" t="s">
        <v>100</v>
      </c>
      <c r="B27" s="1" t="s">
        <v>98</v>
      </c>
      <c r="C27" s="9" t="s">
        <v>101</v>
      </c>
      <c r="D27" s="24">
        <v>0.1</v>
      </c>
      <c r="E27" s="19"/>
      <c r="F27" s="19"/>
      <c r="G27" s="20" t="str">
        <f t="shared" si="0"/>
        <v/>
      </c>
    </row>
    <row r="28" spans="1:8" ht="24" customHeight="1" x14ac:dyDescent="0.6">
      <c r="A28" s="1" t="s">
        <v>102</v>
      </c>
      <c r="B28" s="1" t="s">
        <v>98</v>
      </c>
      <c r="C28" s="9" t="s">
        <v>103</v>
      </c>
      <c r="D28" s="24">
        <v>0.1</v>
      </c>
      <c r="E28" s="19"/>
      <c r="F28" s="19"/>
      <c r="G28" s="20" t="str">
        <f t="shared" si="0"/>
        <v/>
      </c>
    </row>
    <row r="29" spans="1:8" ht="24" customHeight="1" x14ac:dyDescent="0.6">
      <c r="A29" s="1" t="s">
        <v>104</v>
      </c>
      <c r="B29" s="1" t="s">
        <v>105</v>
      </c>
      <c r="C29" s="9" t="s">
        <v>106</v>
      </c>
      <c r="D29" s="24">
        <v>0.1</v>
      </c>
      <c r="E29" s="19"/>
      <c r="F29" s="19"/>
      <c r="G29" s="20" t="str">
        <f t="shared" si="0"/>
        <v/>
      </c>
    </row>
    <row r="30" spans="1:8" ht="24" customHeight="1" x14ac:dyDescent="0.6">
      <c r="A30" s="1" t="s">
        <v>107</v>
      </c>
      <c r="B30" s="1" t="s">
        <v>105</v>
      </c>
      <c r="C30" s="9" t="s">
        <v>108</v>
      </c>
      <c r="D30" s="24">
        <v>0.1</v>
      </c>
      <c r="E30" s="19"/>
      <c r="F30" s="19"/>
      <c r="G30" s="20" t="str">
        <f t="shared" si="0"/>
        <v/>
      </c>
    </row>
    <row r="31" spans="1:8" ht="24" customHeight="1" x14ac:dyDescent="0.6">
      <c r="A31" s="1" t="s">
        <v>109</v>
      </c>
      <c r="B31" s="1" t="s">
        <v>105</v>
      </c>
      <c r="C31" s="9" t="s">
        <v>110</v>
      </c>
      <c r="D31" s="24">
        <v>0.1</v>
      </c>
      <c r="E31" s="19"/>
      <c r="F31" s="19"/>
      <c r="G31" s="20" t="str">
        <f t="shared" si="0"/>
        <v/>
      </c>
    </row>
    <row r="32" spans="1:8" ht="24" customHeight="1" x14ac:dyDescent="0.6">
      <c r="A32" s="1" t="s">
        <v>111</v>
      </c>
      <c r="B32" s="1" t="s">
        <v>112</v>
      </c>
      <c r="C32" s="9" t="s">
        <v>113</v>
      </c>
      <c r="D32" s="24">
        <v>0.1</v>
      </c>
      <c r="E32" s="19"/>
      <c r="F32" s="19"/>
      <c r="G32" s="20" t="str">
        <f t="shared" si="0"/>
        <v/>
      </c>
    </row>
    <row r="33" spans="1:8" ht="24" customHeight="1" x14ac:dyDescent="0.6">
      <c r="A33" s="1" t="s">
        <v>114</v>
      </c>
      <c r="B33" s="1" t="s">
        <v>112</v>
      </c>
      <c r="C33" s="9" t="s">
        <v>115</v>
      </c>
      <c r="D33" s="24">
        <v>0.1</v>
      </c>
      <c r="E33" s="19"/>
      <c r="F33" s="19"/>
      <c r="G33" s="20" t="str">
        <f t="shared" si="0"/>
        <v/>
      </c>
    </row>
    <row r="34" spans="1:8" ht="24" customHeight="1" x14ac:dyDescent="0.6">
      <c r="A34" s="1" t="s">
        <v>116</v>
      </c>
      <c r="B34" s="1" t="s">
        <v>117</v>
      </c>
      <c r="C34" s="9" t="s">
        <v>118</v>
      </c>
      <c r="D34" s="24">
        <v>0.05</v>
      </c>
      <c r="E34" s="19"/>
      <c r="F34" s="19"/>
      <c r="G34" s="20" t="str">
        <f t="shared" si="0"/>
        <v/>
      </c>
    </row>
    <row r="35" spans="1:8" ht="24" customHeight="1" x14ac:dyDescent="0.6">
      <c r="A35" s="1" t="s">
        <v>119</v>
      </c>
      <c r="B35" s="1" t="s">
        <v>117</v>
      </c>
      <c r="C35" s="9" t="s">
        <v>120</v>
      </c>
      <c r="D35" s="24">
        <v>0.05</v>
      </c>
      <c r="E35" s="19"/>
      <c r="F35" s="19"/>
      <c r="G35" s="20" t="str">
        <f t="shared" si="0"/>
        <v/>
      </c>
    </row>
    <row r="36" spans="1:8" ht="24" customHeight="1" x14ac:dyDescent="0.6">
      <c r="A36" s="1" t="s">
        <v>121</v>
      </c>
      <c r="B36" s="1" t="s">
        <v>117</v>
      </c>
      <c r="C36" s="9" t="s">
        <v>122</v>
      </c>
      <c r="D36" s="24">
        <v>0.05</v>
      </c>
      <c r="E36" s="19"/>
      <c r="F36" s="19"/>
      <c r="G36" s="20" t="str">
        <f t="shared" si="0"/>
        <v/>
      </c>
    </row>
    <row r="37" spans="1:8" ht="24" customHeight="1" x14ac:dyDescent="0.6">
      <c r="A37" s="36" t="s">
        <v>123</v>
      </c>
      <c r="B37" s="31"/>
      <c r="C37" s="31"/>
      <c r="D37" s="31"/>
      <c r="E37" s="21">
        <f>IFERROR(0.15*IF(E26="S",5,IF(E26="A",4,IF(E26="B",3,IF(E26="C",2,IF(E26="D",1,0)))))+0.1*IF(E27="S",5,IF(E27="A",4,IF(E27="B",3,IF(E27="C",2,IF(E27="D",1,0)))))+0.1*IF(E28="S",5,IF(E28="A",4,IF(E28="B",3,IF(E28="C",2,IF(E28="D",1,0)))))+0.1*IF(E29="S",5,IF(E29="A",4,IF(E29="B",3,IF(E29="C",2,IF(E29="D",1,0)))))+0.1*IF(E30="S",5,IF(E30="A",4,IF(E30="B",3,IF(E30="C",2,IF(E30="D",1,0)))))+0.1*IF(E31="S",5,IF(E31="A",4,IF(E31="B",3,IF(E31="C",2,IF(E31="D",1,0)))))+0.1*IF(E32="S",5,IF(E32="A",4,IF(E32="B",3,IF(E32="C",2,IF(E32="D",1,0)))))+0.1*IF(E33="S",5,IF(E33="A",4,IF(E33="B",3,IF(E33="C",2,IF(E33="D",1,0)))))+0.05*IF(E34="S",5,IF(E34="A",4,IF(E34="B",3,IF(E34="C",2,IF(E34="D",1,0)))))+0.05*IF(E35="S",5,IF(E35="A",4,IF(E35="B",3,IF(E35="C",2,IF(E35="D",1,0)))))+0.05*IF(E36="S",5,IF(E36="A",4,IF(E36="B",3,IF(E36="C",2,IF(E36="D",1,0))))),"")</f>
        <v>0</v>
      </c>
      <c r="F37" s="23" t="str">
        <f>IF(E37="","",IF(E37&gt;=4.5,"S",IF(E37&gt;=3.5,"A",IF(E37&gt;=2.5,"B",IF(E37&gt;=1.5,"C","D")))))</f>
        <v>D</v>
      </c>
    </row>
    <row r="38" spans="1:8" ht="24" customHeight="1" x14ac:dyDescent="0.6">
      <c r="A38" s="36" t="s">
        <v>124</v>
      </c>
      <c r="B38" s="31"/>
      <c r="C38" s="31"/>
      <c r="D38" s="31"/>
      <c r="E38" s="21">
        <f>IFERROR(0.15*IF(F26="S",5,IF(F26="A",4,IF(F26="B",3,IF(F26="C",2,IF(F26="D",1,0)))))+0.1*IF(F27="S",5,IF(F27="A",4,IF(F27="B",3,IF(F27="C",2,IF(F27="D",1,0)))))+0.1*IF(F28="S",5,IF(F28="A",4,IF(F28="B",3,IF(F28="C",2,IF(F28="D",1,0)))))+0.1*IF(F29="S",5,IF(F29="A",4,IF(F29="B",3,IF(F29="C",2,IF(F29="D",1,0)))))+0.1*IF(F30="S",5,IF(F30="A",4,IF(F30="B",3,IF(F30="C",2,IF(F30="D",1,0)))))+0.1*IF(F31="S",5,IF(F31="A",4,IF(F31="B",3,IF(F31="C",2,IF(F31="D",1,0)))))+0.1*IF(F32="S",5,IF(F32="A",4,IF(F32="B",3,IF(F32="C",2,IF(F32="D",1,0)))))+0.1*IF(F33="S",5,IF(F33="A",4,IF(F33="B",3,IF(F33="C",2,IF(F33="D",1,0)))))+0.05*IF(F34="S",5,IF(F34="A",4,IF(F34="B",3,IF(F34="C",2,IF(F34="D",1,0)))))+0.05*IF(F35="S",5,IF(F35="A",4,IF(F35="B",3,IF(F35="C",2,IF(F35="D",1,0)))))+0.05*IF(F36="S",5,IF(F36="A",4,IF(F36="B",3,IF(F36="C",2,IF(F36="D",1,0))))),"")</f>
        <v>0</v>
      </c>
      <c r="F38" s="23" t="str">
        <f>IF(E38="","",IF(E38&gt;=4.5,"S",IF(E38&gt;=3.5,"A",IF(E38&gt;=2.5,"B",IF(E38&gt;=1.5,"C","D")))))</f>
        <v>D</v>
      </c>
    </row>
    <row r="40" spans="1:8" ht="26" customHeight="1" x14ac:dyDescent="0.6">
      <c r="A40" s="38" t="s">
        <v>125</v>
      </c>
      <c r="B40" s="31"/>
      <c r="C40" s="31"/>
      <c r="D40" s="31"/>
      <c r="E40" s="31"/>
      <c r="F40" s="31"/>
      <c r="G40" s="31"/>
      <c r="H40" s="31"/>
    </row>
    <row r="41" spans="1:8" ht="28.05" customHeight="1" x14ac:dyDescent="0.6">
      <c r="A41" s="17" t="s">
        <v>69</v>
      </c>
      <c r="B41" s="17" t="s">
        <v>126</v>
      </c>
      <c r="C41" s="17" t="s">
        <v>127</v>
      </c>
      <c r="D41" s="17" t="s">
        <v>128</v>
      </c>
      <c r="E41" s="17" t="s">
        <v>72</v>
      </c>
      <c r="F41" s="17" t="s">
        <v>73</v>
      </c>
      <c r="G41" s="17" t="s">
        <v>74</v>
      </c>
    </row>
    <row r="42" spans="1:8" ht="22.05" customHeight="1" x14ac:dyDescent="0.6">
      <c r="A42" s="22" t="s">
        <v>129</v>
      </c>
      <c r="B42" s="25" t="s">
        <v>130</v>
      </c>
      <c r="C42" s="26" t="s">
        <v>131</v>
      </c>
      <c r="D42" s="19"/>
      <c r="E42" s="19"/>
      <c r="F42" s="19"/>
      <c r="G42" s="20" t="str">
        <f t="shared" ref="G42:G56" si="1"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spans="1:8" ht="22.05" customHeight="1" x14ac:dyDescent="0.6">
      <c r="A43" s="22" t="s">
        <v>132</v>
      </c>
      <c r="B43" s="25" t="s">
        <v>130</v>
      </c>
      <c r="C43" s="26" t="s">
        <v>133</v>
      </c>
      <c r="D43" s="19"/>
      <c r="E43" s="19"/>
      <c r="F43" s="19"/>
      <c r="G43" s="20" t="str">
        <f t="shared" si="1"/>
        <v/>
      </c>
    </row>
    <row r="44" spans="1:8" ht="22.05" customHeight="1" x14ac:dyDescent="0.6">
      <c r="A44" s="22" t="s">
        <v>134</v>
      </c>
      <c r="B44" s="25" t="s">
        <v>130</v>
      </c>
      <c r="C44" s="26" t="s">
        <v>135</v>
      </c>
      <c r="D44" s="19"/>
      <c r="E44" s="19"/>
      <c r="F44" s="19"/>
      <c r="G44" s="20" t="str">
        <f t="shared" si="1"/>
        <v/>
      </c>
    </row>
    <row r="45" spans="1:8" ht="22.05" customHeight="1" x14ac:dyDescent="0.6">
      <c r="A45" s="22" t="s">
        <v>136</v>
      </c>
      <c r="B45" s="25" t="s">
        <v>137</v>
      </c>
      <c r="C45" s="26" t="s">
        <v>138</v>
      </c>
      <c r="D45" s="19"/>
      <c r="E45" s="19"/>
      <c r="F45" s="19"/>
      <c r="G45" s="20" t="str">
        <f t="shared" si="1"/>
        <v/>
      </c>
    </row>
    <row r="46" spans="1:8" ht="22.05" customHeight="1" x14ac:dyDescent="0.6">
      <c r="A46" s="22" t="s">
        <v>139</v>
      </c>
      <c r="B46" s="25" t="s">
        <v>137</v>
      </c>
      <c r="C46" s="26" t="s">
        <v>140</v>
      </c>
      <c r="D46" s="19"/>
      <c r="E46" s="19"/>
      <c r="F46" s="19"/>
      <c r="G46" s="20" t="str">
        <f t="shared" si="1"/>
        <v/>
      </c>
    </row>
    <row r="47" spans="1:8" ht="22.05" customHeight="1" x14ac:dyDescent="0.6">
      <c r="A47" s="22" t="s">
        <v>141</v>
      </c>
      <c r="B47" s="25" t="s">
        <v>142</v>
      </c>
      <c r="C47" s="26" t="s">
        <v>143</v>
      </c>
      <c r="D47" s="19"/>
      <c r="E47" s="19"/>
      <c r="F47" s="19"/>
      <c r="G47" s="20" t="str">
        <f t="shared" si="1"/>
        <v/>
      </c>
    </row>
    <row r="48" spans="1:8" ht="22.05" customHeight="1" x14ac:dyDescent="0.6">
      <c r="A48" s="22" t="s">
        <v>144</v>
      </c>
      <c r="B48" s="25" t="s">
        <v>145</v>
      </c>
      <c r="C48" s="26" t="s">
        <v>146</v>
      </c>
      <c r="D48" s="19"/>
      <c r="E48" s="19"/>
      <c r="F48" s="19"/>
      <c r="G48" s="20" t="str">
        <f t="shared" si="1"/>
        <v/>
      </c>
    </row>
    <row r="49" spans="1:7" ht="22.05" customHeight="1" x14ac:dyDescent="0.6">
      <c r="A49" s="22" t="s">
        <v>147</v>
      </c>
      <c r="B49" s="25" t="s">
        <v>148</v>
      </c>
      <c r="C49" s="26" t="s">
        <v>149</v>
      </c>
      <c r="D49" s="19"/>
      <c r="E49" s="19"/>
      <c r="F49" s="19"/>
      <c r="G49" s="20" t="str">
        <f t="shared" si="1"/>
        <v/>
      </c>
    </row>
    <row r="50" spans="1:7" ht="22.05" customHeight="1" x14ac:dyDescent="0.6">
      <c r="A50" s="22" t="s">
        <v>150</v>
      </c>
      <c r="B50" s="25" t="s">
        <v>148</v>
      </c>
      <c r="C50" s="26" t="s">
        <v>151</v>
      </c>
      <c r="D50" s="19"/>
      <c r="E50" s="19"/>
      <c r="F50" s="19"/>
      <c r="G50" s="20" t="str">
        <f t="shared" si="1"/>
        <v/>
      </c>
    </row>
    <row r="51" spans="1:7" ht="22.05" customHeight="1" x14ac:dyDescent="0.6">
      <c r="A51" s="22" t="s">
        <v>152</v>
      </c>
      <c r="B51" s="25" t="s">
        <v>148</v>
      </c>
      <c r="C51" s="26" t="s">
        <v>153</v>
      </c>
      <c r="D51" s="19"/>
      <c r="E51" s="19"/>
      <c r="F51" s="19"/>
      <c r="G51" s="20" t="str">
        <f t="shared" si="1"/>
        <v/>
      </c>
    </row>
    <row r="52" spans="1:7" ht="22.05" customHeight="1" x14ac:dyDescent="0.6">
      <c r="A52" s="22" t="s">
        <v>154</v>
      </c>
      <c r="B52" s="25" t="s">
        <v>155</v>
      </c>
      <c r="C52" s="26" t="s">
        <v>156</v>
      </c>
      <c r="D52" s="19"/>
      <c r="E52" s="19"/>
      <c r="F52" s="19"/>
      <c r="G52" s="20" t="str">
        <f t="shared" si="1"/>
        <v/>
      </c>
    </row>
    <row r="53" spans="1:7" ht="22.05" customHeight="1" x14ac:dyDescent="0.6">
      <c r="A53" s="22" t="s">
        <v>157</v>
      </c>
      <c r="B53" s="25" t="s">
        <v>155</v>
      </c>
      <c r="C53" s="26" t="s">
        <v>158</v>
      </c>
      <c r="D53" s="19"/>
      <c r="E53" s="19"/>
      <c r="F53" s="19"/>
      <c r="G53" s="20" t="str">
        <f t="shared" si="1"/>
        <v/>
      </c>
    </row>
    <row r="54" spans="1:7" ht="22.05" customHeight="1" x14ac:dyDescent="0.6">
      <c r="A54" s="22" t="s">
        <v>159</v>
      </c>
      <c r="B54" s="25" t="s">
        <v>155</v>
      </c>
      <c r="C54" s="26" t="s">
        <v>160</v>
      </c>
      <c r="D54" s="19"/>
      <c r="E54" s="19"/>
      <c r="F54" s="19"/>
      <c r="G54" s="20" t="str">
        <f t="shared" si="1"/>
        <v/>
      </c>
    </row>
    <row r="55" spans="1:7" ht="22.05" customHeight="1" x14ac:dyDescent="0.6">
      <c r="A55" s="22" t="s">
        <v>161</v>
      </c>
      <c r="B55" s="25" t="s">
        <v>162</v>
      </c>
      <c r="C55" s="26" t="s">
        <v>163</v>
      </c>
      <c r="D55" s="19"/>
      <c r="E55" s="19"/>
      <c r="F55" s="19"/>
      <c r="G55" s="20" t="str">
        <f t="shared" si="1"/>
        <v/>
      </c>
    </row>
    <row r="56" spans="1:7" ht="22.05" customHeight="1" x14ac:dyDescent="0.6">
      <c r="A56" s="22" t="s">
        <v>164</v>
      </c>
      <c r="B56" s="25" t="s">
        <v>162</v>
      </c>
      <c r="C56" s="26" t="s">
        <v>165</v>
      </c>
      <c r="D56" s="19"/>
      <c r="E56" s="19"/>
      <c r="F56" s="19"/>
      <c r="G56" s="20" t="str">
        <f t="shared" si="1"/>
        <v/>
      </c>
    </row>
    <row r="58" spans="1:7" ht="24" customHeight="1" x14ac:dyDescent="0.6">
      <c r="A58" s="42" t="s">
        <v>166</v>
      </c>
      <c r="B58" s="31"/>
      <c r="C58" s="31"/>
      <c r="D58" s="31"/>
      <c r="E58" s="21" t="str">
        <f>IFERROR(SUMPRODUCT((D42:D56="O")*IFERROR(IF(E42:E56="S",5,IF(E42:E56="A",4,IF(E42:E56="B",3,IF(E42:E56="C",2,IF(E42:E56="D",1,0))))),0))/COUNTIF(D42:D56,"O"),"")</f>
        <v/>
      </c>
      <c r="F58" s="23" t="str">
        <f>IF(E58="","",IF(E58&gt;=4.5,"S",IF(E58&gt;=3.5,"A",IF(E58&gt;=2.5,"B",IF(E58&gt;=1.5,"C","D")))))</f>
        <v/>
      </c>
    </row>
    <row r="59" spans="1:7" ht="24" customHeight="1" x14ac:dyDescent="0.6">
      <c r="A59" s="42" t="s">
        <v>167</v>
      </c>
      <c r="B59" s="31"/>
      <c r="C59" s="31"/>
      <c r="D59" s="31"/>
      <c r="E59" s="21" t="str">
        <f>IFERROR(SUMPRODUCT((D42:D56="O")*IFERROR(IF(F42:F56="S",5,IF(F42:F56="A",4,IF(F42:F56="B",3,IF(F42:F56="C",2,IF(F42:F56="D",1,0))))),0))/COUNTIF(D42:D56,"O"),"")</f>
        <v/>
      </c>
      <c r="F59" s="23" t="str">
        <f>IF(E59="","",IF(E59&gt;=4.5,"S",IF(E59&gt;=3.5,"A",IF(E59&gt;=2.5,"B",IF(E59&gt;=1.5,"C","D")))))</f>
        <v/>
      </c>
    </row>
    <row r="62" spans="1:7" ht="32" customHeight="1" x14ac:dyDescent="0.6">
      <c r="A62" s="45" t="s">
        <v>168</v>
      </c>
      <c r="B62" s="31"/>
      <c r="C62" s="31"/>
      <c r="D62" s="31"/>
      <c r="E62" s="31"/>
      <c r="F62" s="31"/>
      <c r="G62" s="31"/>
    </row>
    <row r="63" spans="1:7" ht="28.05" customHeight="1" x14ac:dyDescent="0.6">
      <c r="A63" s="27" t="s">
        <v>169</v>
      </c>
      <c r="B63" s="27" t="s">
        <v>170</v>
      </c>
      <c r="C63" s="27" t="s">
        <v>171</v>
      </c>
      <c r="D63" s="27" t="s">
        <v>172</v>
      </c>
      <c r="E63" s="27" t="s">
        <v>173</v>
      </c>
      <c r="F63" s="27" t="s">
        <v>174</v>
      </c>
      <c r="G63" s="27" t="s">
        <v>175</v>
      </c>
    </row>
    <row r="64" spans="1:7" ht="36" customHeight="1" x14ac:dyDescent="0.6">
      <c r="A64" s="28" t="str">
        <f>F21</f>
        <v>D</v>
      </c>
      <c r="B64" s="28" t="str">
        <f>F22</f>
        <v>D</v>
      </c>
      <c r="C64" s="28" t="str">
        <f>F37</f>
        <v>D</v>
      </c>
      <c r="D64" s="28" t="str">
        <f>F38</f>
        <v>D</v>
      </c>
      <c r="E64" s="28" t="str">
        <f>F58</f>
        <v/>
      </c>
      <c r="F64" s="28" t="str">
        <f>F59</f>
        <v/>
      </c>
      <c r="G64" s="29"/>
    </row>
    <row r="65" spans="1:8" ht="26" customHeight="1" x14ac:dyDescent="0.6">
      <c r="A65" s="32" t="s">
        <v>176</v>
      </c>
      <c r="B65" s="31"/>
      <c r="C65" s="31"/>
      <c r="D65" s="31"/>
      <c r="E65" s="31"/>
      <c r="F65" s="31"/>
      <c r="G65" s="31"/>
    </row>
    <row r="67" spans="1:8" ht="24" customHeight="1" x14ac:dyDescent="0.6">
      <c r="A67" s="33" t="s">
        <v>177</v>
      </c>
      <c r="B67" s="31"/>
      <c r="C67" s="31"/>
      <c r="D67" s="31"/>
      <c r="E67" s="31"/>
      <c r="F67" s="31"/>
      <c r="G67" s="31"/>
      <c r="H67" s="31"/>
    </row>
    <row r="68" spans="1:8" ht="40.049999999999997" customHeight="1" x14ac:dyDescent="0.6">
      <c r="A68" s="13" t="s">
        <v>178</v>
      </c>
      <c r="B68" s="30"/>
      <c r="C68" s="31"/>
      <c r="D68" s="31"/>
      <c r="E68" s="31"/>
      <c r="F68" s="31"/>
      <c r="G68" s="31"/>
      <c r="H68" s="31"/>
    </row>
    <row r="69" spans="1:8" ht="40.049999999999997" customHeight="1" x14ac:dyDescent="0.6">
      <c r="A69" s="13" t="s">
        <v>179</v>
      </c>
      <c r="B69" s="30"/>
      <c r="C69" s="31"/>
      <c r="D69" s="31"/>
      <c r="E69" s="31"/>
      <c r="F69" s="31"/>
      <c r="G69" s="31"/>
      <c r="H69" s="31"/>
    </row>
    <row r="70" spans="1:8" ht="40.049999999999997" customHeight="1" x14ac:dyDescent="0.6">
      <c r="A70" s="13" t="s">
        <v>180</v>
      </c>
      <c r="B70" s="30"/>
      <c r="C70" s="31"/>
      <c r="D70" s="31"/>
      <c r="E70" s="31"/>
      <c r="F70" s="31"/>
      <c r="G70" s="31"/>
      <c r="H70" s="31"/>
    </row>
  </sheetData>
  <mergeCells count="23">
    <mergeCell ref="A1:H1"/>
    <mergeCell ref="A58:D58"/>
    <mergeCell ref="A7:H7"/>
    <mergeCell ref="A22:C22"/>
    <mergeCell ref="F9:H9"/>
    <mergeCell ref="A2:H2"/>
    <mergeCell ref="A24:H24"/>
    <mergeCell ref="A38:D38"/>
    <mergeCell ref="B70:H70"/>
    <mergeCell ref="A65:G65"/>
    <mergeCell ref="A4:H4"/>
    <mergeCell ref="F10:H10"/>
    <mergeCell ref="B14:H14"/>
    <mergeCell ref="A37:D37"/>
    <mergeCell ref="B69:H69"/>
    <mergeCell ref="A13:H13"/>
    <mergeCell ref="A40:H40"/>
    <mergeCell ref="F8:H8"/>
    <mergeCell ref="A21:C21"/>
    <mergeCell ref="A67:H67"/>
    <mergeCell ref="B68:H68"/>
    <mergeCell ref="A62:G62"/>
    <mergeCell ref="A59:D59"/>
  </mergeCells>
  <phoneticPr fontId="12" type="noConversion"/>
  <conditionalFormatting sqref="A64:G64">
    <cfRule type="cellIs" dxfId="3" priority="1" operator="equal">
      <formula>"S"</formula>
    </cfRule>
    <cfRule type="cellIs" dxfId="2" priority="2" operator="equal">
      <formula>"A"</formula>
    </cfRule>
    <cfRule type="cellIs" dxfId="1" priority="3" operator="equal">
      <formula>"C"</formula>
    </cfRule>
    <cfRule type="cellIs" dxfId="0" priority="4" operator="equal">
      <formula>"D"</formula>
    </cfRule>
  </conditionalFormatting>
  <dataValidations count="3">
    <dataValidation type="list" sqref="B11" xr:uid="{00000000-0002-0000-0700-000000000000}">
      <formula1>"상반기,하반기"</formula1>
    </dataValidation>
    <dataValidation type="list" allowBlank="1" sqref="D16:E20 E42:F56 E26:F36" xr:uid="{00000000-0002-0000-0700-000001000000}">
      <formula1>"S,A,B,C,D"</formula1>
    </dataValidation>
    <dataValidation type="list" allowBlank="1" sqref="D42:D56" xr:uid="{00000000-0002-0000-0700-000003000000}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00_작성안내</vt:lpstr>
      <vt:lpstr>양식_BIM컨설팅_G6</vt:lpstr>
      <vt:lpstr>양식_BIM컨설팅_G5-M</vt:lpstr>
      <vt:lpstr>양식_BIM컨설팅_G5-S</vt:lpstr>
      <vt:lpstr>양식_BIM컨설팅_G4</vt:lpstr>
      <vt:lpstr>양식_BIM컨설팅_G3</vt:lpstr>
      <vt:lpstr>양식_BIM컨설팅_G2</vt:lpstr>
      <vt:lpstr>양식_BIM컨설팅_G1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2026-05-13T04:46:25Z</dcterms:created>
  <dcterms:modified xsi:type="dcterms:W3CDTF">2026-05-13T05:08:30Z</dcterms:modified>
</cp:coreProperties>
</file>