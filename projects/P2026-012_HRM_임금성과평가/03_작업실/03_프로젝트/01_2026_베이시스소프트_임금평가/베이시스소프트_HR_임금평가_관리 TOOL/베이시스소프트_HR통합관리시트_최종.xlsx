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운영가이드" sheetId="1" state="visible" r:id="rId1"/>
    <sheet xmlns:r="http://schemas.openxmlformats.org/officeDocument/2006/relationships" name="00_운영현황판" sheetId="2" state="visible" r:id="rId2"/>
    <sheet xmlns:r="http://schemas.openxmlformats.org/officeDocument/2006/relationships" name="01_인적정보" sheetId="3" state="visible" r:id="rId3"/>
    <sheet xmlns:r="http://schemas.openxmlformats.org/officeDocument/2006/relationships" name="02_의사결정·종합결과" sheetId="4" state="visible" r:id="rId4"/>
    <sheet xmlns:r="http://schemas.openxmlformats.org/officeDocument/2006/relationships" name="03_전사업적평가" sheetId="5" state="visible" r:id="rId5"/>
    <sheet xmlns:r="http://schemas.openxmlformats.org/officeDocument/2006/relationships" name="04_역할평가" sheetId="6" state="visible" r:id="rId6"/>
    <sheet xmlns:r="http://schemas.openxmlformats.org/officeDocument/2006/relationships" name="05_공통역량평가" sheetId="7" state="visible" r:id="rId7"/>
    <sheet xmlns:r="http://schemas.openxmlformats.org/officeDocument/2006/relationships" name="06_직무역량평가" sheetId="8" state="visible" r:id="rId8"/>
    <sheet xmlns:r="http://schemas.openxmlformats.org/officeDocument/2006/relationships" name="07a_상반기입력" sheetId="9" state="visible" r:id="rId9"/>
    <sheet xmlns:r="http://schemas.openxmlformats.org/officeDocument/2006/relationships" name="07b_하반기입력" sheetId="10" state="visible" r:id="rId10"/>
    <sheet xmlns:r="http://schemas.openxmlformats.org/officeDocument/2006/relationships" name="08_종합평가" sheetId="11" state="visible" r:id="rId11"/>
    <sheet xmlns:r="http://schemas.openxmlformats.org/officeDocument/2006/relationships" name="09_보상연계" sheetId="12" state="visible" r:id="rId12"/>
    <sheet xmlns:r="http://schemas.openxmlformats.org/officeDocument/2006/relationships" name="10_성과급관리" sheetId="13" state="visible" r:id="rId13"/>
    <sheet xmlns:r="http://schemas.openxmlformats.org/officeDocument/2006/relationships" name="11_페이밴드검증" sheetId="14" state="visible" r:id="rId14"/>
    <sheet xmlns:r="http://schemas.openxmlformats.org/officeDocument/2006/relationships" name="12_시뮬레이션" sheetId="15" state="visible" r:id="rId15"/>
    <sheet xmlns:r="http://schemas.openxmlformats.org/officeDocument/2006/relationships" name="13_직무역할DB" sheetId="16" state="visible" r:id="rId16"/>
    <sheet xmlns:r="http://schemas.openxmlformats.org/officeDocument/2006/relationships" name="14_직무책무DB" sheetId="17" state="visible" r:id="rId17"/>
    <sheet xmlns:r="http://schemas.openxmlformats.org/officeDocument/2006/relationships" name="15_직원별책무매핑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;-#,##0;-"/>
  </numFmts>
  <fonts count="17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0"/>
    </font>
    <font>
      <name val="맑은 고딕"/>
      <b val="1"/>
      <color rgb="00FFFFFF"/>
      <sz val="12"/>
    </font>
    <font>
      <name val="맑은 고딕"/>
      <color rgb="00000000"/>
      <sz val="11"/>
    </font>
    <font>
      <name val="맑은 고딕"/>
      <b val="1"/>
      <color rgb="00000000"/>
      <sz val="11"/>
    </font>
    <font>
      <name val="맑은 고딕"/>
      <b val="1"/>
      <color rgb="00FFFFFF"/>
      <sz val="11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color rgb="00B0B0B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b val="1"/>
      <color rgb="00000000"/>
      <sz val="12"/>
    </font>
    <font>
      <name val="맑은 고딕"/>
      <b val="1"/>
      <color rgb="00FFFFFF"/>
      <sz val="9"/>
    </font>
    <font>
      <name val="맑은 고딕"/>
      <b val="1"/>
      <color rgb="00000000"/>
      <sz val="14"/>
    </font>
    <font>
      <name val="맑은 고딕"/>
      <b val="1"/>
      <color rgb="00FFFFFF"/>
      <sz val="16"/>
    </font>
    <font>
      <name val="맑은 고딕"/>
      <b val="1"/>
      <color rgb="00FFFFFF"/>
      <sz val="13"/>
    </font>
  </fonts>
  <fills count="2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C6E0B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FFFFF"/>
      </patternFill>
    </fill>
    <fill>
      <patternFill patternType="solid">
        <fgColor rgb="00548135"/>
      </patternFill>
    </fill>
    <fill>
      <patternFill patternType="solid">
        <fgColor rgb="00C65911"/>
      </patternFill>
    </fill>
    <fill>
      <patternFill patternType="solid">
        <fgColor rgb="00595959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D9D9D9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/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9" fontId="4" fillId="6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2" fontId="4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 wrapText="1"/>
    </xf>
    <xf numFmtId="164" fontId="5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 wrapText="1"/>
    </xf>
    <xf numFmtId="3" fontId="5" fillId="5" borderId="1" applyAlignment="1" pivotButton="0" quotePrefix="0" xfId="0">
      <alignment horizontal="right" vertical="center" wrapText="1"/>
    </xf>
    <xf numFmtId="0" fontId="5" fillId="12" borderId="1" applyAlignment="1" pivotButton="0" quotePrefix="0" xfId="0">
      <alignment horizontal="right" vertical="center" wrapText="1"/>
    </xf>
    <xf numFmtId="3" fontId="5" fillId="6" borderId="1" applyAlignment="1" pivotButton="0" quotePrefix="0" xfId="0">
      <alignment horizontal="right" vertical="center" wrapText="1"/>
    </xf>
    <xf numFmtId="165" fontId="5" fillId="6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6" borderId="1" applyAlignment="1" pivotButton="0" quotePrefix="0" xfId="0">
      <alignment horizontal="right" vertical="center" wrapText="1"/>
    </xf>
    <xf numFmtId="0" fontId="12" fillId="6" borderId="1" applyAlignment="1" pivotButton="0" quotePrefix="0" xfId="0">
      <alignment horizontal="right" vertical="center" wrapText="1"/>
    </xf>
    <xf numFmtId="3" fontId="12" fillId="6" borderId="1" applyAlignment="1" pivotButton="0" quotePrefix="0" xfId="0">
      <alignment horizontal="right" vertical="center" wrapText="1"/>
    </xf>
    <xf numFmtId="164" fontId="12" fillId="6" borderId="1" applyAlignment="1" pivotButton="0" quotePrefix="0" xfId="0">
      <alignment horizontal="right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0" borderId="1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left" vertical="center" wrapText="1"/>
    </xf>
    <xf numFmtId="9" fontId="5" fillId="5" borderId="1" applyAlignment="1" pivotButton="0" quotePrefix="0" xfId="0">
      <alignment horizontal="center" vertical="center" wrapText="1"/>
    </xf>
    <xf numFmtId="9" fontId="5" fillId="6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2" fillId="1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9" borderId="1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dxfs count="5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12" customWidth="1" min="4" max="4"/>
    <col width="4" customWidth="1" min="5" max="5"/>
    <col width="16" customWidth="1" min="6" max="6"/>
    <col width="18" customWidth="1" min="7" max="7"/>
    <col width="12" customWidth="1" min="8" max="8"/>
  </cols>
  <sheetData>
    <row r="1" ht="36" customHeight="1">
      <c r="A1" s="82" t="inlineStr">
        <is>
          <t>베이시스소프트 HR 통합관리 시스템 - 운영 가이드</t>
        </is>
      </c>
      <c r="B1" s="18" t="n"/>
      <c r="C1" s="18" t="n"/>
      <c r="D1" s="18" t="n"/>
      <c r="E1" s="18" t="n"/>
      <c r="F1" s="18" t="n"/>
      <c r="G1" s="18" t="n"/>
      <c r="H1" s="19" t="n"/>
      <c r="I1" s="78" t="n"/>
      <c r="J1" s="78" t="n"/>
      <c r="K1" s="78" t="n"/>
      <c r="L1" s="78" t="n"/>
      <c r="M1" s="78" t="n"/>
      <c r="N1" s="78" t="n"/>
    </row>
    <row r="2" ht="22" customHeight="1">
      <c r="A2" s="33" t="inlineStr">
        <is>
          <t>1년 2회 평가(상·하반기) → 등급 결정 → 임금 조정 → 페이밴드 검증의 End-to-End 운영 도구</t>
        </is>
      </c>
      <c r="B2" s="18" t="n"/>
      <c r="C2" s="18" t="n"/>
      <c r="D2" s="18" t="n"/>
      <c r="E2" s="18" t="n"/>
      <c r="F2" s="18" t="n"/>
      <c r="G2" s="18" t="n"/>
      <c r="H2" s="19" t="n"/>
      <c r="I2" s="78" t="n"/>
      <c r="J2" s="78" t="n"/>
      <c r="K2" s="78" t="n"/>
      <c r="L2" s="78" t="n"/>
      <c r="M2" s="78" t="n"/>
      <c r="N2" s="78" t="n"/>
    </row>
    <row r="3">
      <c r="A3" s="78" t="n"/>
      <c r="B3" s="78" t="n"/>
      <c r="C3" s="78" t="n"/>
      <c r="D3" s="78" t="n"/>
      <c r="E3" s="78" t="n"/>
      <c r="F3" s="78" t="n"/>
      <c r="G3" s="78" t="n"/>
      <c r="H3" s="78" t="n"/>
      <c r="I3" s="78" t="n"/>
      <c r="J3" s="78" t="n"/>
      <c r="K3" s="78" t="n"/>
      <c r="L3" s="78" t="n"/>
      <c r="M3" s="78" t="n"/>
      <c r="N3" s="78" t="n"/>
    </row>
    <row r="4" ht="26" customHeight="1">
      <c r="A4" s="83" t="inlineStr">
        <is>
          <t>■ 우리가 하려는 일 (핵심 의사결정 4단계)</t>
        </is>
      </c>
      <c r="B4" s="18" t="n"/>
      <c r="C4" s="18" t="n"/>
      <c r="D4" s="18" t="n"/>
      <c r="E4" s="18" t="n"/>
      <c r="F4" s="18" t="n"/>
      <c r="G4" s="18" t="n"/>
      <c r="H4" s="19" t="n"/>
      <c r="I4" s="78" t="n"/>
      <c r="J4" s="78" t="n"/>
      <c r="K4" s="78" t="n"/>
      <c r="L4" s="78" t="n"/>
      <c r="M4" s="78" t="n"/>
      <c r="N4" s="78" t="n"/>
    </row>
    <row r="5" ht="26" customHeight="1">
      <c r="A5" s="14" t="inlineStr">
        <is>
          <t>단계</t>
        </is>
      </c>
      <c r="B5" s="14" t="inlineStr">
        <is>
          <t>핵심 작업</t>
        </is>
      </c>
      <c r="C5" s="14" t="inlineStr">
        <is>
          <t>의사결정</t>
        </is>
      </c>
      <c r="D5" s="14" t="inlineStr">
        <is>
          <t>주요 내용</t>
        </is>
      </c>
      <c r="E5" s="18" t="n"/>
      <c r="F5" s="18" t="n"/>
      <c r="G5" s="18" t="n"/>
      <c r="H5" s="19" t="n"/>
      <c r="I5" s="78" t="n"/>
      <c r="J5" s="78" t="n"/>
      <c r="K5" s="78" t="n"/>
      <c r="L5" s="78" t="n"/>
      <c r="M5" s="78" t="n"/>
      <c r="N5" s="78" t="n"/>
    </row>
    <row r="6" ht="38" customHeight="1">
      <c r="A6" s="84" t="inlineStr">
        <is>
          <t>STEP 1</t>
        </is>
      </c>
      <c r="B6" s="27" t="inlineStr">
        <is>
          <t>평가 실시</t>
        </is>
      </c>
      <c r="C6" s="77" t="inlineStr">
        <is>
          <t>연 2회(상반기·하반기) 개인별 3축 평가</t>
        </is>
      </c>
      <c r="D6" s="85" t="inlineStr">
        <is>
          <t>역할평가 + 공통역량평가 + 직무역량평가</t>
        </is>
      </c>
      <c r="E6" s="18" t="n"/>
      <c r="F6" s="18" t="n"/>
      <c r="G6" s="18" t="n"/>
      <c r="H6" s="19" t="n"/>
      <c r="I6" s="78" t="n"/>
      <c r="J6" s="78" t="n"/>
      <c r="K6" s="78" t="n"/>
      <c r="L6" s="78" t="n"/>
      <c r="M6" s="78" t="n"/>
      <c r="N6" s="78" t="n"/>
    </row>
    <row r="7" ht="38" customHeight="1">
      <c r="A7" s="84" t="inlineStr">
        <is>
          <t>STEP 2</t>
        </is>
      </c>
      <c r="B7" s="27" t="inlineStr">
        <is>
          <t>등급 결정</t>
        </is>
      </c>
      <c r="C7" s="77" t="inlineStr">
        <is>
          <t>회사 전체 KPI + 개인 평가 결과 종합</t>
        </is>
      </c>
      <c r="D7" s="85" t="inlineStr">
        <is>
          <t>3축 가중통합 → 최종 등급(S/A/B/C/D) 산출</t>
        </is>
      </c>
      <c r="E7" s="18" t="n"/>
      <c r="F7" s="18" t="n"/>
      <c r="G7" s="18" t="n"/>
      <c r="H7" s="19" t="n"/>
      <c r="I7" s="78" t="n"/>
      <c r="J7" s="78" t="n"/>
      <c r="K7" s="78" t="n"/>
      <c r="L7" s="78" t="n"/>
      <c r="M7" s="78" t="n"/>
      <c r="N7" s="78" t="n"/>
    </row>
    <row r="8" ht="38" customHeight="1">
      <c r="A8" s="84" t="inlineStr">
        <is>
          <t>STEP 3</t>
        </is>
      </c>
      <c r="B8" s="27" t="inlineStr">
        <is>
          <t>임금 조정</t>
        </is>
      </c>
      <c r="C8" s="77" t="inlineStr">
        <is>
          <t>평가 등급에 따라 차년도 기본연봉 인상</t>
        </is>
      </c>
      <c r="D8" s="85" t="inlineStr">
        <is>
          <t>S 6% / A 5% / B 4% / C 3% / D 2% (+ 승진 가산)</t>
        </is>
      </c>
      <c r="E8" s="18" t="n"/>
      <c r="F8" s="18" t="n"/>
      <c r="G8" s="18" t="n"/>
      <c r="H8" s="19" t="n"/>
      <c r="I8" s="78" t="n"/>
      <c r="J8" s="78" t="n"/>
      <c r="K8" s="78" t="n"/>
      <c r="L8" s="78" t="n"/>
      <c r="M8" s="78" t="n"/>
      <c r="N8" s="78" t="n"/>
    </row>
    <row r="9" ht="38" customHeight="1">
      <c r="A9" s="84" t="inlineStr">
        <is>
          <t>STEP 4</t>
        </is>
      </c>
      <c r="B9" s="27" t="inlineStr">
        <is>
          <t>페이밴드 관리</t>
        </is>
      </c>
      <c r="C9" s="77" t="inlineStr">
        <is>
          <t>전체 임직원 임금이 역할등급별 범위 내 유지</t>
        </is>
      </c>
      <c r="D9" s="85" t="inlineStr">
        <is>
          <t>Min/Mid/Max 검증 → 이탈자 조정 권고</t>
        </is>
      </c>
      <c r="E9" s="18" t="n"/>
      <c r="F9" s="18" t="n"/>
      <c r="G9" s="18" t="n"/>
      <c r="H9" s="19" t="n"/>
      <c r="I9" s="78" t="n"/>
      <c r="J9" s="78" t="n"/>
      <c r="K9" s="78" t="n"/>
      <c r="L9" s="78" t="n"/>
      <c r="M9" s="78" t="n"/>
      <c r="N9" s="78" t="n"/>
    </row>
    <row r="10">
      <c r="A10" s="78" t="n"/>
      <c r="B10" s="78" t="n"/>
      <c r="C10" s="78" t="n"/>
      <c r="D10" s="78" t="n"/>
      <c r="E10" s="78" t="n"/>
      <c r="F10" s="78" t="n"/>
      <c r="G10" s="78" t="n"/>
      <c r="H10" s="78" t="n"/>
      <c r="I10" s="78" t="n"/>
      <c r="J10" s="78" t="n"/>
      <c r="K10" s="78" t="n"/>
      <c r="L10" s="78" t="n"/>
      <c r="M10" s="78" t="n"/>
      <c r="N10" s="78" t="n"/>
    </row>
    <row r="11">
      <c r="A11" s="78" t="n"/>
      <c r="B11" s="78" t="n"/>
      <c r="C11" s="78" t="n"/>
      <c r="D11" s="78" t="n"/>
      <c r="E11" s="78" t="n"/>
      <c r="F11" s="78" t="n"/>
      <c r="G11" s="78" t="n"/>
      <c r="H11" s="78" t="n"/>
      <c r="I11" s="78" t="n"/>
      <c r="J11" s="78" t="n"/>
      <c r="K11" s="78" t="n"/>
      <c r="L11" s="78" t="n"/>
      <c r="M11" s="78" t="n"/>
      <c r="N11" s="78" t="n"/>
    </row>
    <row r="12" ht="26" customHeight="1">
      <c r="A12" s="83" t="inlineStr">
        <is>
          <t>■ 우리가 가진 도구 (산출물)</t>
        </is>
      </c>
      <c r="B12" s="18" t="n"/>
      <c r="C12" s="18" t="n"/>
      <c r="D12" s="18" t="n"/>
      <c r="E12" s="18" t="n"/>
      <c r="F12" s="18" t="n"/>
      <c r="G12" s="18" t="n"/>
      <c r="H12" s="19" t="n"/>
      <c r="I12" s="78" t="n"/>
      <c r="J12" s="78" t="n"/>
      <c r="K12" s="78" t="n"/>
      <c r="L12" s="78" t="n"/>
      <c r="M12" s="78" t="n"/>
      <c r="N12" s="78" t="n"/>
    </row>
    <row r="13" ht="26" customHeight="1">
      <c r="A13" s="14" t="inlineStr">
        <is>
          <t>도구</t>
        </is>
      </c>
      <c r="B13" s="14" t="inlineStr">
        <is>
          <t>파일/시트</t>
        </is>
      </c>
      <c r="C13" s="18" t="n"/>
      <c r="D13" s="19" t="n"/>
      <c r="E13" s="14" t="inlineStr">
        <is>
          <t>용도·운영 주체</t>
        </is>
      </c>
      <c r="F13" s="18" t="n"/>
      <c r="G13" s="18" t="n"/>
      <c r="H13" s="19" t="n"/>
      <c r="I13" s="78" t="n"/>
      <c r="J13" s="78" t="n"/>
      <c r="K13" s="78" t="n"/>
      <c r="L13" s="78" t="n"/>
      <c r="M13" s="78" t="n"/>
      <c r="N13" s="78" t="n"/>
    </row>
    <row r="14" ht="40" customHeight="1">
      <c r="A14" s="86" t="inlineStr">
        <is>
          <t>통합 관리 시트</t>
        </is>
      </c>
      <c r="B14" s="8" t="inlineStr">
        <is>
          <t>본 파일 (HR 통합관리시스템 v5.xlsx)</t>
        </is>
      </c>
      <c r="C14" s="18" t="n"/>
      <c r="D14" s="19" t="n"/>
      <c r="E14" s="77" t="inlineStr">
        <is>
          <t>HR 담당자가 모든 평가 결과를 모아 종합 등급·인상률·페이밴드를 산출. 본 파일.</t>
        </is>
      </c>
      <c r="F14" s="18" t="n"/>
      <c r="G14" s="18" t="n"/>
      <c r="H14" s="19" t="n"/>
      <c r="I14" s="78" t="n"/>
      <c r="J14" s="78" t="n"/>
      <c r="K14" s="78" t="n"/>
      <c r="L14" s="78" t="n"/>
      <c r="M14" s="78" t="n"/>
      <c r="N14" s="78" t="n"/>
    </row>
    <row r="15" ht="40" customHeight="1">
      <c r="A15" s="86" t="inlineStr">
        <is>
          <t>직무별 평가지</t>
        </is>
      </c>
      <c r="B15" s="8" t="inlineStr">
        <is>
          <t>평가지_2026_v2/평가지_{부서}_2026_v2.xlsx (부서별 6종)</t>
        </is>
      </c>
      <c r="C15" s="18" t="n"/>
      <c r="D15" s="19" t="n"/>
      <c r="E15" s="77" t="inlineStr">
        <is>
          <t>부서장(1·2차 평가자)이 작성. HR이 배포·회수 후 [복사용 행]을 통합시트에 옮김.</t>
        </is>
      </c>
      <c r="F15" s="18" t="n"/>
      <c r="G15" s="18" t="n"/>
      <c r="H15" s="19" t="n"/>
      <c r="I15" s="78" t="n"/>
      <c r="J15" s="78" t="n"/>
      <c r="K15" s="78" t="n"/>
      <c r="L15" s="78" t="n"/>
      <c r="M15" s="78" t="n"/>
      <c r="N15" s="78" t="n"/>
    </row>
    <row r="16">
      <c r="A16" s="78" t="n"/>
      <c r="B16" s="78" t="n"/>
      <c r="C16" s="78" t="n"/>
      <c r="D16" s="78" t="n"/>
      <c r="E16" s="78" t="n"/>
      <c r="F16" s="78" t="n"/>
      <c r="G16" s="78" t="n"/>
      <c r="H16" s="78" t="n"/>
      <c r="I16" s="78" t="n"/>
      <c r="J16" s="78" t="n"/>
      <c r="K16" s="78" t="n"/>
      <c r="L16" s="78" t="n"/>
      <c r="M16" s="78" t="n"/>
      <c r="N16" s="78" t="n"/>
    </row>
    <row r="17" ht="26" customHeight="1">
      <c r="A17" s="83" t="inlineStr">
        <is>
          <t>■ HR 담당자 운영 흐름 (한 평가 사이클)</t>
        </is>
      </c>
      <c r="B17" s="18" t="n"/>
      <c r="C17" s="18" t="n"/>
      <c r="D17" s="18" t="n"/>
      <c r="E17" s="18" t="n"/>
      <c r="F17" s="18" t="n"/>
      <c r="G17" s="18" t="n"/>
      <c r="H17" s="19" t="n"/>
      <c r="I17" s="78" t="n"/>
      <c r="J17" s="78" t="n"/>
      <c r="K17" s="78" t="n"/>
      <c r="L17" s="78" t="n"/>
      <c r="M17" s="78" t="n"/>
      <c r="N17" s="78" t="n"/>
    </row>
    <row r="18" ht="26" customHeight="1">
      <c r="A18" s="14" t="inlineStr">
        <is>
          <t>단계</t>
        </is>
      </c>
      <c r="B18" s="14" t="inlineStr">
        <is>
          <t>내용</t>
        </is>
      </c>
      <c r="C18" s="18" t="n"/>
      <c r="D18" s="18" t="n"/>
      <c r="E18" s="18" t="n"/>
      <c r="F18" s="18" t="n"/>
      <c r="G18" s="18" t="n"/>
      <c r="H18" s="19" t="n"/>
      <c r="I18" s="78" t="n"/>
      <c r="J18" s="78" t="n"/>
      <c r="K18" s="78" t="n"/>
      <c r="L18" s="78" t="n"/>
      <c r="M18" s="78" t="n"/>
      <c r="N18" s="78" t="n"/>
    </row>
    <row r="19" ht="36" customHeight="1">
      <c r="A19" s="86" t="inlineStr">
        <is>
          <t>① 준비</t>
        </is>
      </c>
      <c r="B19" s="77" t="inlineStr">
        <is>
          <t>01_인적정보 확인 + 15_직원별책무매핑에서 직원별 메인 책무 O/X 선택</t>
        </is>
      </c>
      <c r="C19" s="18" t="n"/>
      <c r="D19" s="18" t="n"/>
      <c r="E19" s="18" t="n"/>
      <c r="F19" s="18" t="n"/>
      <c r="G19" s="18" t="n"/>
      <c r="H19" s="19" t="n"/>
      <c r="I19" s="78" t="n"/>
      <c r="J19" s="78" t="n"/>
      <c r="K19" s="78" t="n"/>
      <c r="L19" s="78" t="n"/>
      <c r="M19" s="78" t="n"/>
      <c r="N19" s="78" t="n"/>
    </row>
    <row r="20" ht="36" customHeight="1">
      <c r="A20" s="86" t="inlineStr">
        <is>
          <t>② 배포</t>
        </is>
      </c>
      <c r="B20" s="77" t="inlineStr">
        <is>
          <t>평가지_{부서}_2026_v2.xlsx 6개 파일을 각 부서장에게 배포 (이메일/공유폴더)</t>
        </is>
      </c>
      <c r="C20" s="18" t="n"/>
      <c r="D20" s="18" t="n"/>
      <c r="E20" s="18" t="n"/>
      <c r="F20" s="18" t="n"/>
      <c r="G20" s="18" t="n"/>
      <c r="H20" s="19" t="n"/>
      <c r="I20" s="78" t="n"/>
      <c r="J20" s="78" t="n"/>
      <c r="K20" s="78" t="n"/>
      <c r="L20" s="78" t="n"/>
      <c r="M20" s="78" t="n"/>
      <c r="N20" s="78" t="n"/>
    </row>
    <row r="21" ht="36" customHeight="1">
      <c r="A21" s="86" t="inlineStr">
        <is>
          <t>③ 평가</t>
        </is>
      </c>
      <c r="B21" s="77" t="inlineStr">
        <is>
          <t>부서장(1·2차 평가자)이 각자 등급(S/A/B/C/D) 입력 → 시트가 가중평균·등급 자동 산출</t>
        </is>
      </c>
      <c r="C21" s="18" t="n"/>
      <c r="D21" s="18" t="n"/>
      <c r="E21" s="18" t="n"/>
      <c r="F21" s="18" t="n"/>
      <c r="G21" s="18" t="n"/>
      <c r="H21" s="19" t="n"/>
      <c r="I21" s="78" t="n"/>
      <c r="J21" s="78" t="n"/>
      <c r="K21" s="78" t="n"/>
      <c r="L21" s="78" t="n"/>
      <c r="M21" s="78" t="n"/>
      <c r="N21" s="78" t="n"/>
    </row>
    <row r="22" ht="36" customHeight="1">
      <c r="A22" s="86" t="inlineStr">
        <is>
          <t>④ 회수</t>
        </is>
      </c>
      <c r="B22" s="77" t="inlineStr">
        <is>
          <t>평가지 회수 (보통 평가 마감 후 1주일 내)</t>
        </is>
      </c>
      <c r="C22" s="18" t="n"/>
      <c r="D22" s="18" t="n"/>
      <c r="E22" s="18" t="n"/>
      <c r="F22" s="18" t="n"/>
      <c r="G22" s="18" t="n"/>
      <c r="H22" s="19" t="n"/>
      <c r="I22" s="78" t="n"/>
      <c r="J22" s="78" t="n"/>
      <c r="K22" s="78" t="n"/>
      <c r="L22" s="78" t="n"/>
      <c r="M22" s="78" t="n"/>
      <c r="N22" s="78" t="n"/>
    </row>
    <row r="23" ht="36" customHeight="1">
      <c r="A23" s="86" t="inlineStr">
        <is>
          <t>⑤ 입력</t>
        </is>
      </c>
      <c r="B23" s="77" t="inlineStr">
        <is>
          <t>각 평가지 직원 시트 하단 [복사용 입력 행] A~U 21개 셀 통째 복사 → 본 파일 07a/07b의 해당 사번 행 G~AA에 [값 붙여넣기]</t>
        </is>
      </c>
      <c r="C23" s="18" t="n"/>
      <c r="D23" s="18" t="n"/>
      <c r="E23" s="18" t="n"/>
      <c r="F23" s="18" t="n"/>
      <c r="G23" s="18" t="n"/>
      <c r="H23" s="19" t="n"/>
      <c r="I23" s="78" t="n"/>
      <c r="J23" s="78" t="n"/>
      <c r="K23" s="78" t="n"/>
      <c r="L23" s="78" t="n"/>
      <c r="M23" s="78" t="n"/>
      <c r="N23" s="78" t="n"/>
    </row>
    <row r="24" ht="36" customHeight="1">
      <c r="A24" s="86" t="inlineStr">
        <is>
          <t>⑥ 점검</t>
        </is>
      </c>
      <c r="B24" s="77" t="inlineStr">
        <is>
          <t>00_운영현황판에서 누락·이상 알림 확인 → 보완</t>
        </is>
      </c>
      <c r="C24" s="18" t="n"/>
      <c r="D24" s="18" t="n"/>
      <c r="E24" s="18" t="n"/>
      <c r="F24" s="18" t="n"/>
      <c r="G24" s="18" t="n"/>
      <c r="H24" s="19" t="n"/>
      <c r="I24" s="78" t="n"/>
      <c r="J24" s="78" t="n"/>
      <c r="K24" s="78" t="n"/>
      <c r="L24" s="78" t="n"/>
      <c r="M24" s="78" t="n"/>
      <c r="N24" s="78" t="n"/>
    </row>
    <row r="25" ht="36" customHeight="1">
      <c r="A25" s="86" t="inlineStr">
        <is>
          <t>⑦ 결과 확인</t>
        </is>
      </c>
      <c r="B25" s="77" t="inlineStr">
        <is>
          <t>08_종합평가 (최종등급) / 09_보상연계 (인상률·신규연봉) / 10_성과급관리 / 11_페이밴드검증 / 12_시뮬레이션</t>
        </is>
      </c>
      <c r="C25" s="18" t="n"/>
      <c r="D25" s="18" t="n"/>
      <c r="E25" s="18" t="n"/>
      <c r="F25" s="18" t="n"/>
      <c r="G25" s="18" t="n"/>
      <c r="H25" s="19" t="n"/>
      <c r="I25" s="78" t="n"/>
      <c r="J25" s="78" t="n"/>
      <c r="K25" s="78" t="n"/>
      <c r="L25" s="78" t="n"/>
      <c r="M25" s="78" t="n"/>
      <c r="N25" s="78" t="n"/>
    </row>
    <row r="26">
      <c r="A26" s="78" t="n"/>
      <c r="B26" s="78" t="n"/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</row>
    <row r="27" ht="26" customHeight="1">
      <c r="A27" s="83" t="inlineStr">
        <is>
          <t>■ 본 파일 시트 역할 (18개)</t>
        </is>
      </c>
      <c r="B27" s="18" t="n"/>
      <c r="C27" s="18" t="n"/>
      <c r="D27" s="18" t="n"/>
      <c r="E27" s="18" t="n"/>
      <c r="F27" s="18" t="n"/>
      <c r="G27" s="18" t="n"/>
      <c r="H27" s="19" t="n"/>
      <c r="I27" s="78" t="n"/>
      <c r="J27" s="78" t="n"/>
      <c r="K27" s="78" t="n"/>
      <c r="L27" s="78" t="n"/>
      <c r="M27" s="78" t="n"/>
      <c r="N27" s="78" t="n"/>
    </row>
    <row r="28" ht="26" customHeight="1">
      <c r="A28" s="14" t="inlineStr">
        <is>
          <t>시트</t>
        </is>
      </c>
      <c r="B28" s="14" t="inlineStr">
        <is>
          <t>역할</t>
        </is>
      </c>
      <c r="C28" s="18" t="n"/>
      <c r="D28" s="18" t="n"/>
      <c r="E28" s="18" t="n"/>
      <c r="F28" s="19" t="n"/>
      <c r="G28" s="14" t="inlineStr">
        <is>
          <t>유형</t>
        </is>
      </c>
      <c r="H28" s="19" t="n"/>
      <c r="I28" s="78" t="n"/>
      <c r="J28" s="78" t="n"/>
      <c r="K28" s="78" t="n"/>
      <c r="L28" s="78" t="n"/>
      <c r="M28" s="78" t="n"/>
      <c r="N28" s="78" t="n"/>
    </row>
    <row r="29" ht="24" customHeight="1">
      <c r="A29" s="15" t="inlineStr">
        <is>
          <t>00_운영가이드</t>
        </is>
      </c>
      <c r="B29" s="77" t="inlineStr">
        <is>
          <t>본 시트 - 운영 흐름·시트 안내</t>
        </is>
      </c>
      <c r="C29" s="18" t="n"/>
      <c r="D29" s="18" t="n"/>
      <c r="E29" s="18" t="n"/>
      <c r="F29" s="19" t="n"/>
      <c r="G29" s="37" t="inlineStr">
        <is>
          <t>안내</t>
        </is>
      </c>
      <c r="H29" s="19" t="n"/>
      <c r="I29" s="78" t="n"/>
      <c r="J29" s="78" t="n"/>
      <c r="K29" s="78" t="n"/>
      <c r="L29" s="78" t="n"/>
      <c r="M29" s="78" t="n"/>
      <c r="N29" s="78" t="n"/>
    </row>
    <row r="30" ht="24" customHeight="1">
      <c r="A30" s="15" t="inlineStr">
        <is>
          <t>00_운영현황판</t>
        </is>
      </c>
      <c r="B30" s="77" t="inlineStr">
        <is>
          <t>평가 진행률·이상 알림·등급 분포 한눈에</t>
        </is>
      </c>
      <c r="C30" s="18" t="n"/>
      <c r="D30" s="18" t="n"/>
      <c r="E30" s="18" t="n"/>
      <c r="F30" s="19" t="n"/>
      <c r="G30" s="87" t="inlineStr">
        <is>
          <t>대시보드</t>
        </is>
      </c>
      <c r="H30" s="19" t="n"/>
      <c r="I30" s="78" t="n"/>
      <c r="J30" s="78" t="n"/>
      <c r="K30" s="78" t="n"/>
      <c r="L30" s="78" t="n"/>
      <c r="M30" s="78" t="n"/>
      <c r="N30" s="78" t="n"/>
    </row>
    <row r="31" ht="24" customHeight="1">
      <c r="A31" s="15" t="inlineStr">
        <is>
          <t>01_인적정보</t>
        </is>
      </c>
      <c r="B31" s="77" t="inlineStr">
        <is>
          <t>직원 마스터(34명). 사번·역할등급 입력</t>
        </is>
      </c>
      <c r="C31" s="18" t="n"/>
      <c r="D31" s="18" t="n"/>
      <c r="E31" s="18" t="n"/>
      <c r="F31" s="19" t="n"/>
      <c r="G31" s="88" t="inlineStr">
        <is>
          <t>HR 입력</t>
        </is>
      </c>
      <c r="H31" s="19" t="n"/>
      <c r="I31" s="78" t="n"/>
      <c r="J31" s="78" t="n"/>
      <c r="K31" s="78" t="n"/>
      <c r="L31" s="78" t="n"/>
      <c r="M31" s="78" t="n"/>
      <c r="N31" s="78" t="n"/>
    </row>
    <row r="32" ht="24" customHeight="1">
      <c r="A32" s="15" t="inlineStr">
        <is>
          <t>02_의사결정·종합결과</t>
        </is>
      </c>
      <c r="B32" s="77" t="inlineStr">
        <is>
          <t>가중치·인상률·페이밴드·평가자 비중 설정</t>
        </is>
      </c>
      <c r="C32" s="18" t="n"/>
      <c r="D32" s="18" t="n"/>
      <c r="E32" s="18" t="n"/>
      <c r="F32" s="19" t="n"/>
      <c r="G32" s="88" t="inlineStr">
        <is>
          <t>HR 입력</t>
        </is>
      </c>
      <c r="H32" s="19" t="n"/>
      <c r="I32" s="78" t="n"/>
      <c r="J32" s="78" t="n"/>
      <c r="K32" s="78" t="n"/>
      <c r="L32" s="78" t="n"/>
      <c r="M32" s="78" t="n"/>
      <c r="N32" s="78" t="n"/>
    </row>
    <row r="33" ht="24" customHeight="1">
      <c r="A33" s="15" t="inlineStr">
        <is>
          <t>03_전사업적평가</t>
        </is>
      </c>
      <c r="B33" s="77" t="inlineStr">
        <is>
          <t>전사 KPI 실적 입력 → 성과급 재원 가산</t>
        </is>
      </c>
      <c r="C33" s="18" t="n"/>
      <c r="D33" s="18" t="n"/>
      <c r="E33" s="18" t="n"/>
      <c r="F33" s="19" t="n"/>
      <c r="G33" s="88" t="inlineStr">
        <is>
          <t>HR 입력</t>
        </is>
      </c>
      <c r="H33" s="19" t="n"/>
      <c r="I33" s="78" t="n"/>
      <c r="J33" s="78" t="n"/>
      <c r="K33" s="78" t="n"/>
      <c r="L33" s="78" t="n"/>
      <c r="M33" s="78" t="n"/>
      <c r="N33" s="78" t="n"/>
    </row>
    <row r="34" ht="24" customHeight="1">
      <c r="A34" s="15" t="inlineStr">
        <is>
          <t>04_역할평가</t>
        </is>
      </c>
      <c r="B34" s="77" t="inlineStr">
        <is>
          <t>자동 산출 (07a/07b 입력값 기반)</t>
        </is>
      </c>
      <c r="C34" s="18" t="n"/>
      <c r="D34" s="18" t="n"/>
      <c r="E34" s="18" t="n"/>
      <c r="F34" s="19" t="n"/>
      <c r="G34" s="39" t="inlineStr">
        <is>
          <t>자동</t>
        </is>
      </c>
      <c r="H34" s="19" t="n"/>
      <c r="I34" s="78" t="n"/>
      <c r="J34" s="78" t="n"/>
      <c r="K34" s="78" t="n"/>
      <c r="L34" s="78" t="n"/>
      <c r="M34" s="78" t="n"/>
      <c r="N34" s="78" t="n"/>
    </row>
    <row r="35" ht="24" customHeight="1">
      <c r="A35" s="15" t="inlineStr">
        <is>
          <t>05_공통역량평가</t>
        </is>
      </c>
      <c r="B35" s="77" t="inlineStr">
        <is>
          <t>자동 산출 (11개 역량 가중합산)</t>
        </is>
      </c>
      <c r="C35" s="18" t="n"/>
      <c r="D35" s="18" t="n"/>
      <c r="E35" s="18" t="n"/>
      <c r="F35" s="19" t="n"/>
      <c r="G35" s="39" t="inlineStr">
        <is>
          <t>자동</t>
        </is>
      </c>
      <c r="H35" s="19" t="n"/>
      <c r="I35" s="78" t="n"/>
      <c r="J35" s="78" t="n"/>
      <c r="K35" s="78" t="n"/>
      <c r="L35" s="78" t="n"/>
      <c r="M35" s="78" t="n"/>
      <c r="N35" s="78" t="n"/>
    </row>
    <row r="36" ht="24" customHeight="1">
      <c r="A36" s="15" t="inlineStr">
        <is>
          <t>06_직무역량평가</t>
        </is>
      </c>
      <c r="B36" s="77" t="inlineStr">
        <is>
          <t>자동 산출 (개인별 메인 책무 평균)</t>
        </is>
      </c>
      <c r="C36" s="18" t="n"/>
      <c r="D36" s="18" t="n"/>
      <c r="E36" s="18" t="n"/>
      <c r="F36" s="19" t="n"/>
      <c r="G36" s="39" t="inlineStr">
        <is>
          <t>자동</t>
        </is>
      </c>
      <c r="H36" s="19" t="n"/>
      <c r="I36" s="78" t="n"/>
      <c r="J36" s="78" t="n"/>
      <c r="K36" s="78" t="n"/>
      <c r="L36" s="78" t="n"/>
      <c r="M36" s="78" t="n"/>
      <c r="N36" s="78" t="n"/>
    </row>
    <row r="37" ht="24" customHeight="1">
      <c r="A37" s="15" t="inlineStr">
        <is>
          <t>07a_상반기입력</t>
        </is>
      </c>
      <c r="B37" s="77" t="inlineStr">
        <is>
          <t>부서별 평가지의 [복사용 행]을 여기 G~AA에 붙여넣기</t>
        </is>
      </c>
      <c r="C37" s="18" t="n"/>
      <c r="D37" s="18" t="n"/>
      <c r="E37" s="18" t="n"/>
      <c r="F37" s="19" t="n"/>
      <c r="G37" s="89" t="inlineStr">
        <is>
          <t>HR 입력 (핵심)</t>
        </is>
      </c>
      <c r="H37" s="19" t="n"/>
      <c r="I37" s="78" t="n"/>
      <c r="J37" s="78" t="n"/>
      <c r="K37" s="78" t="n"/>
      <c r="L37" s="78" t="n"/>
      <c r="M37" s="78" t="n"/>
      <c r="N37" s="78" t="n"/>
    </row>
    <row r="38" ht="24" customHeight="1">
      <c r="A38" s="15" t="inlineStr">
        <is>
          <t>07b_하반기입력</t>
        </is>
      </c>
      <c r="B38" s="77" t="inlineStr">
        <is>
          <t>하반기 동일 구조</t>
        </is>
      </c>
      <c r="C38" s="18" t="n"/>
      <c r="D38" s="18" t="n"/>
      <c r="E38" s="18" t="n"/>
      <c r="F38" s="19" t="n"/>
      <c r="G38" s="89" t="inlineStr">
        <is>
          <t>HR 입력 (핵심)</t>
        </is>
      </c>
      <c r="H38" s="19" t="n"/>
      <c r="I38" s="78" t="n"/>
      <c r="J38" s="78" t="n"/>
      <c r="K38" s="78" t="n"/>
      <c r="L38" s="78" t="n"/>
      <c r="M38" s="78" t="n"/>
      <c r="N38" s="78" t="n"/>
    </row>
    <row r="39" ht="24" customHeight="1">
      <c r="A39" s="15" t="inlineStr">
        <is>
          <t>08_종합평가</t>
        </is>
      </c>
      <c r="B39" s="77" t="inlineStr">
        <is>
          <t>3축 가중통합 → 최종 등급</t>
        </is>
      </c>
      <c r="C39" s="18" t="n"/>
      <c r="D39" s="18" t="n"/>
      <c r="E39" s="18" t="n"/>
      <c r="F39" s="19" t="n"/>
      <c r="G39" s="39" t="inlineStr">
        <is>
          <t>자동</t>
        </is>
      </c>
      <c r="H39" s="19" t="n"/>
      <c r="I39" s="78" t="n"/>
      <c r="J39" s="78" t="n"/>
      <c r="K39" s="78" t="n"/>
      <c r="L39" s="78" t="n"/>
      <c r="M39" s="78" t="n"/>
      <c r="N39" s="78" t="n"/>
    </row>
    <row r="40" ht="24" customHeight="1">
      <c r="A40" s="15" t="inlineStr">
        <is>
          <t>09_보상연계</t>
        </is>
      </c>
      <c r="B40" s="77" t="inlineStr">
        <is>
          <t>등급 → 인상률 → 차년도 연봉 자동 산출</t>
        </is>
      </c>
      <c r="C40" s="18" t="n"/>
      <c r="D40" s="18" t="n"/>
      <c r="E40" s="18" t="n"/>
      <c r="F40" s="19" t="n"/>
      <c r="G40" s="39" t="inlineStr">
        <is>
          <t>자동</t>
        </is>
      </c>
      <c r="H40" s="19" t="n"/>
      <c r="I40" s="78" t="n"/>
      <c r="J40" s="78" t="n"/>
      <c r="K40" s="78" t="n"/>
      <c r="L40" s="78" t="n"/>
      <c r="M40" s="78" t="n"/>
      <c r="N40" s="78" t="n"/>
    </row>
    <row r="41" ht="24" customHeight="1">
      <c r="A41" s="15" t="inlineStr">
        <is>
          <t>10_성과급관리</t>
        </is>
      </c>
      <c r="B41" s="77" t="inlineStr">
        <is>
          <t>등급별 성과급 + 전사 KPI 가산</t>
        </is>
      </c>
      <c r="C41" s="18" t="n"/>
      <c r="D41" s="18" t="n"/>
      <c r="E41" s="18" t="n"/>
      <c r="F41" s="19" t="n"/>
      <c r="G41" s="39" t="inlineStr">
        <is>
          <t>자동</t>
        </is>
      </c>
      <c r="H41" s="19" t="n"/>
      <c r="I41" s="78" t="n"/>
      <c r="J41" s="78" t="n"/>
      <c r="K41" s="78" t="n"/>
      <c r="L41" s="78" t="n"/>
      <c r="M41" s="78" t="n"/>
      <c r="N41" s="78" t="n"/>
    </row>
    <row r="42" ht="24" customHeight="1">
      <c r="A42" s="15" t="inlineStr">
        <is>
          <t>11_페이밴드검증</t>
        </is>
      </c>
      <c r="B42" s="77" t="inlineStr">
        <is>
          <t>이탈자 명단·조정 권고액 자동</t>
        </is>
      </c>
      <c r="C42" s="18" t="n"/>
      <c r="D42" s="18" t="n"/>
      <c r="E42" s="18" t="n"/>
      <c r="F42" s="19" t="n"/>
      <c r="G42" s="39" t="inlineStr">
        <is>
          <t>자동</t>
        </is>
      </c>
      <c r="H42" s="19" t="n"/>
      <c r="I42" s="78" t="n"/>
      <c r="J42" s="78" t="n"/>
      <c r="K42" s="78" t="n"/>
      <c r="L42" s="78" t="n"/>
      <c r="M42" s="78" t="n"/>
      <c r="N42" s="78" t="n"/>
    </row>
    <row r="43" ht="24" customHeight="1">
      <c r="A43" s="15" t="inlineStr">
        <is>
          <t>12_시뮬레이션</t>
        </is>
      </c>
      <c r="B43" s="77" t="inlineStr">
        <is>
          <t>End-to-End 결과 요약 + 부서별 평균</t>
        </is>
      </c>
      <c r="C43" s="18" t="n"/>
      <c r="D43" s="18" t="n"/>
      <c r="E43" s="18" t="n"/>
      <c r="F43" s="19" t="n"/>
      <c r="G43" s="39" t="inlineStr">
        <is>
          <t>자동</t>
        </is>
      </c>
      <c r="H43" s="19" t="n"/>
      <c r="I43" s="78" t="n"/>
      <c r="J43" s="78" t="n"/>
      <c r="K43" s="78" t="n"/>
      <c r="L43" s="78" t="n"/>
      <c r="M43" s="78" t="n"/>
      <c r="N43" s="78" t="n"/>
    </row>
    <row r="44" ht="24" customHeight="1">
      <c r="A44" s="15" t="inlineStr">
        <is>
          <t>13_직무역할DB</t>
        </is>
      </c>
      <c r="B44" s="77" t="inlineStr">
        <is>
          <t>직무×역할등급 정의 (참조용)</t>
        </is>
      </c>
      <c r="C44" s="18" t="n"/>
      <c r="D44" s="18" t="n"/>
      <c r="E44" s="18" t="n"/>
      <c r="F44" s="19" t="n"/>
      <c r="G44" s="90" t="inlineStr">
        <is>
          <t>DB</t>
        </is>
      </c>
      <c r="H44" s="19" t="n"/>
      <c r="I44" s="78" t="n"/>
      <c r="J44" s="78" t="n"/>
      <c r="K44" s="78" t="n"/>
      <c r="L44" s="78" t="n"/>
      <c r="M44" s="78" t="n"/>
      <c r="N44" s="78" t="n"/>
    </row>
    <row r="45" ht="24" customHeight="1">
      <c r="A45" s="15" t="inlineStr">
        <is>
          <t>14_직무책무DB</t>
        </is>
      </c>
      <c r="B45" s="77" t="inlineStr">
        <is>
          <t>직무별 책무 카탈로그 (참조용)</t>
        </is>
      </c>
      <c r="C45" s="18" t="n"/>
      <c r="D45" s="18" t="n"/>
      <c r="E45" s="18" t="n"/>
      <c r="F45" s="19" t="n"/>
      <c r="G45" s="90" t="inlineStr">
        <is>
          <t>DB</t>
        </is>
      </c>
      <c r="H45" s="19" t="n"/>
      <c r="I45" s="78" t="n"/>
      <c r="J45" s="78" t="n"/>
      <c r="K45" s="78" t="n"/>
      <c r="L45" s="78" t="n"/>
      <c r="M45" s="78" t="n"/>
      <c r="N45" s="78" t="n"/>
    </row>
    <row r="46" ht="24" customHeight="1">
      <c r="A46" s="15" t="inlineStr">
        <is>
          <t>15_직원별책무매핑</t>
        </is>
      </c>
      <c r="B46" s="77" t="inlineStr">
        <is>
          <t>직원별 메인 책무 O/X 선택</t>
        </is>
      </c>
      <c r="C46" s="18" t="n"/>
      <c r="D46" s="18" t="n"/>
      <c r="E46" s="18" t="n"/>
      <c r="F46" s="19" t="n"/>
      <c r="G46" s="88" t="inlineStr">
        <is>
          <t>HR 입력</t>
        </is>
      </c>
      <c r="H46" s="19" t="n"/>
      <c r="I46" s="78" t="n"/>
      <c r="J46" s="78" t="n"/>
      <c r="K46" s="78" t="n"/>
      <c r="L46" s="78" t="n"/>
      <c r="M46" s="78" t="n"/>
      <c r="N46" s="78" t="n"/>
    </row>
    <row r="47">
      <c r="A47" s="78" t="n"/>
      <c r="B47" s="78" t="n"/>
      <c r="C47" s="78" t="n"/>
      <c r="D47" s="78" t="n"/>
      <c r="E47" s="78" t="n"/>
      <c r="F47" s="78" t="n"/>
      <c r="G47" s="78" t="n"/>
      <c r="H47" s="78" t="n"/>
      <c r="I47" s="78" t="n"/>
      <c r="J47" s="78" t="n"/>
      <c r="K47" s="78" t="n"/>
      <c r="L47" s="78" t="n"/>
      <c r="M47" s="78" t="n"/>
      <c r="N47" s="78" t="n"/>
    </row>
    <row r="48" ht="26" customHeight="1">
      <c r="A48" s="83" t="inlineStr">
        <is>
          <t>■ 색상 범례</t>
        </is>
      </c>
      <c r="B48" s="18" t="n"/>
      <c r="C48" s="18" t="n"/>
      <c r="D48" s="18" t="n"/>
      <c r="E48" s="18" t="n"/>
      <c r="F48" s="18" t="n"/>
      <c r="G48" s="18" t="n"/>
      <c r="H48" s="19" t="n"/>
      <c r="I48" s="78" t="n"/>
      <c r="J48" s="78" t="n"/>
      <c r="K48" s="78" t="n"/>
      <c r="L48" s="78" t="n"/>
      <c r="M48" s="78" t="n"/>
      <c r="N48" s="78" t="n"/>
    </row>
    <row r="49" ht="22" customHeight="1">
      <c r="A49" s="4" t="inlineStr"/>
      <c r="B49" s="5" t="inlineStr">
        <is>
          <t>노란셀</t>
        </is>
      </c>
      <c r="C49" s="77" t="inlineStr">
        <is>
          <t>HR이 직접 입력</t>
        </is>
      </c>
      <c r="D49" s="19" t="n"/>
      <c r="E49" s="7" t="inlineStr"/>
      <c r="F49" s="5" t="inlineStr">
        <is>
          <t>연두셀</t>
        </is>
      </c>
      <c r="G49" s="77" t="inlineStr">
        <is>
          <t>자동 계산 - 수정 금지</t>
        </is>
      </c>
      <c r="H49" s="19" t="n"/>
      <c r="I49" s="78" t="n"/>
      <c r="J49" s="78" t="n"/>
      <c r="K49" s="78" t="n"/>
      <c r="L49" s="78" t="n"/>
      <c r="M49" s="78" t="n"/>
      <c r="N49" s="78" t="n"/>
    </row>
    <row r="50" ht="22" customHeight="1">
      <c r="A50" s="8" t="inlineStr"/>
      <c r="B50" s="5" t="inlineStr">
        <is>
          <t>회색셀</t>
        </is>
      </c>
      <c r="C50" s="77" t="inlineStr">
        <is>
          <t>참고 라벨</t>
        </is>
      </c>
      <c r="D50" s="19" t="n"/>
      <c r="E50" s="12" t="inlineStr"/>
      <c r="F50" s="5" t="inlineStr">
        <is>
          <t>주황셀</t>
        </is>
      </c>
      <c r="G50" s="77" t="inlineStr">
        <is>
          <t>안내·중요 표시</t>
        </is>
      </c>
      <c r="H50" s="19" t="n"/>
      <c r="I50" s="78" t="n"/>
      <c r="J50" s="78" t="n"/>
      <c r="K50" s="78" t="n"/>
      <c r="L50" s="78" t="n"/>
      <c r="M50" s="78" t="n"/>
      <c r="N50" s="78" t="n"/>
    </row>
    <row r="51" ht="22" customHeight="1">
      <c r="A51" s="11" t="inlineStr"/>
      <c r="B51" s="5" t="inlineStr">
        <is>
          <t>S/A 등급</t>
        </is>
      </c>
      <c r="C51" s="77" t="inlineStr">
        <is>
          <t>탁월·우수</t>
        </is>
      </c>
      <c r="D51" s="19" t="n"/>
      <c r="E51" s="13" t="inlineStr"/>
      <c r="F51" s="5" t="inlineStr">
        <is>
          <t>D 등급/이탈</t>
        </is>
      </c>
      <c r="G51" s="77" t="inlineStr">
        <is>
          <t>즉시 조치</t>
        </is>
      </c>
      <c r="H51" s="19" t="n"/>
      <c r="I51" s="78" t="n"/>
      <c r="J51" s="78" t="n"/>
      <c r="K51" s="78" t="n"/>
      <c r="L51" s="78" t="n"/>
      <c r="M51" s="78" t="n"/>
      <c r="N51" s="78" t="n"/>
    </row>
    <row r="52">
      <c r="A52" s="78" t="n"/>
      <c r="B52" s="78" t="n"/>
      <c r="C52" s="78" t="n"/>
      <c r="D52" s="78" t="n"/>
      <c r="E52" s="78" t="n"/>
      <c r="F52" s="78" t="n"/>
      <c r="G52" s="78" t="n"/>
      <c r="H52" s="78" t="n"/>
      <c r="I52" s="78" t="n"/>
      <c r="J52" s="78" t="n"/>
      <c r="K52" s="78" t="n"/>
      <c r="L52" s="78" t="n"/>
      <c r="M52" s="78" t="n"/>
      <c r="N52" s="78" t="n"/>
    </row>
    <row r="53">
      <c r="A53" s="78" t="n"/>
      <c r="B53" s="78" t="n"/>
      <c r="C53" s="78" t="n"/>
      <c r="D53" s="78" t="n"/>
      <c r="E53" s="78" t="n"/>
      <c r="F53" s="78" t="n"/>
      <c r="G53" s="78" t="n"/>
      <c r="H53" s="78" t="n"/>
      <c r="I53" s="78" t="n"/>
      <c r="J53" s="78" t="n"/>
      <c r="K53" s="78" t="n"/>
      <c r="L53" s="78" t="n"/>
      <c r="M53" s="78" t="n"/>
      <c r="N53" s="78" t="n"/>
    </row>
    <row r="54">
      <c r="A54" s="78" t="n"/>
      <c r="B54" s="78" t="n"/>
      <c r="C54" s="78" t="n"/>
      <c r="D54" s="78" t="n"/>
      <c r="E54" s="78" t="n"/>
      <c r="F54" s="78" t="n"/>
      <c r="G54" s="78" t="n"/>
      <c r="H54" s="78" t="n"/>
      <c r="I54" s="78" t="n"/>
      <c r="J54" s="78" t="n"/>
      <c r="K54" s="78" t="n"/>
      <c r="L54" s="78" t="n"/>
      <c r="M54" s="78" t="n"/>
      <c r="N54" s="78" t="n"/>
    </row>
    <row r="55">
      <c r="A55" s="78" t="n"/>
      <c r="B55" s="78" t="n"/>
      <c r="C55" s="78" t="n"/>
      <c r="D55" s="78" t="n"/>
      <c r="E55" s="78" t="n"/>
      <c r="F55" s="78" t="n"/>
      <c r="G55" s="78" t="n"/>
      <c r="H55" s="78" t="n"/>
      <c r="I55" s="78" t="n"/>
      <c r="J55" s="78" t="n"/>
      <c r="K55" s="78" t="n"/>
      <c r="L55" s="78" t="n"/>
      <c r="M55" s="78" t="n"/>
      <c r="N55" s="78" t="n"/>
    </row>
    <row r="56">
      <c r="A56" s="78" t="n"/>
      <c r="B56" s="78" t="n"/>
      <c r="C56" s="78" t="n"/>
      <c r="D56" s="78" t="n"/>
      <c r="E56" s="78" t="n"/>
      <c r="F56" s="78" t="n"/>
      <c r="G56" s="78" t="n"/>
      <c r="H56" s="78" t="n"/>
      <c r="I56" s="78" t="n"/>
      <c r="J56" s="78" t="n"/>
      <c r="K56" s="78" t="n"/>
      <c r="L56" s="78" t="n"/>
      <c r="M56" s="78" t="n"/>
      <c r="N56" s="78" t="n"/>
    </row>
    <row r="57">
      <c r="A57" s="78" t="n"/>
      <c r="B57" s="78" t="n"/>
      <c r="C57" s="78" t="n"/>
      <c r="D57" s="78" t="n"/>
      <c r="E57" s="78" t="n"/>
      <c r="F57" s="78" t="n"/>
      <c r="G57" s="78" t="n"/>
      <c r="H57" s="78" t="n"/>
      <c r="I57" s="78" t="n"/>
      <c r="J57" s="78" t="n"/>
      <c r="K57" s="78" t="n"/>
      <c r="L57" s="78" t="n"/>
      <c r="M57" s="78" t="n"/>
      <c r="N57" s="78" t="n"/>
    </row>
    <row r="58">
      <c r="A58" s="78" t="n"/>
      <c r="B58" s="78" t="n"/>
      <c r="C58" s="78" t="n"/>
      <c r="D58" s="78" t="n"/>
      <c r="E58" s="78" t="n"/>
      <c r="F58" s="78" t="n"/>
      <c r="G58" s="78" t="n"/>
      <c r="H58" s="78" t="n"/>
      <c r="I58" s="78" t="n"/>
      <c r="J58" s="78" t="n"/>
      <c r="K58" s="78" t="n"/>
      <c r="L58" s="78" t="n"/>
      <c r="M58" s="78" t="n"/>
      <c r="N58" s="78" t="n"/>
    </row>
    <row r="59">
      <c r="A59" s="78" t="n"/>
      <c r="B59" s="78" t="n"/>
      <c r="C59" s="78" t="n"/>
      <c r="D59" s="78" t="n"/>
      <c r="E59" s="78" t="n"/>
      <c r="F59" s="78" t="n"/>
      <c r="G59" s="78" t="n"/>
      <c r="H59" s="78" t="n"/>
      <c r="I59" s="78" t="n"/>
      <c r="J59" s="78" t="n"/>
      <c r="K59" s="78" t="n"/>
      <c r="L59" s="78" t="n"/>
      <c r="M59" s="78" t="n"/>
      <c r="N59" s="78" t="n"/>
    </row>
    <row r="60">
      <c r="A60" s="78" t="n"/>
      <c r="B60" s="78" t="n"/>
      <c r="C60" s="78" t="n"/>
      <c r="D60" s="78" t="n"/>
      <c r="E60" s="78" t="n"/>
      <c r="F60" s="78" t="n"/>
      <c r="G60" s="78" t="n"/>
      <c r="H60" s="78" t="n"/>
      <c r="I60" s="78" t="n"/>
      <c r="J60" s="78" t="n"/>
      <c r="K60" s="78" t="n"/>
      <c r="L60" s="78" t="n"/>
      <c r="M60" s="78" t="n"/>
      <c r="N60" s="78" t="n"/>
    </row>
    <row r="61">
      <c r="A61" s="78" t="n"/>
      <c r="B61" s="78" t="n"/>
      <c r="C61" s="78" t="n"/>
      <c r="D61" s="78" t="n"/>
      <c r="E61" s="78" t="n"/>
      <c r="F61" s="78" t="n"/>
      <c r="G61" s="78" t="n"/>
      <c r="H61" s="78" t="n"/>
      <c r="I61" s="78" t="n"/>
      <c r="J61" s="78" t="n"/>
      <c r="K61" s="78" t="n"/>
      <c r="L61" s="78" t="n"/>
      <c r="M61" s="78" t="n"/>
      <c r="N61" s="78" t="n"/>
    </row>
    <row r="62">
      <c r="A62" s="78" t="n"/>
      <c r="B62" s="78" t="n"/>
      <c r="C62" s="78" t="n"/>
      <c r="D62" s="78" t="n"/>
      <c r="E62" s="78" t="n"/>
      <c r="F62" s="78" t="n"/>
      <c r="G62" s="78" t="n"/>
      <c r="H62" s="78" t="n"/>
      <c r="I62" s="78" t="n"/>
      <c r="J62" s="78" t="n"/>
      <c r="K62" s="78" t="n"/>
      <c r="L62" s="78" t="n"/>
      <c r="M62" s="78" t="n"/>
      <c r="N62" s="78" t="n"/>
    </row>
    <row r="63">
      <c r="A63" s="78" t="n"/>
      <c r="B63" s="78" t="n"/>
      <c r="C63" s="78" t="n"/>
      <c r="D63" s="78" t="n"/>
      <c r="E63" s="78" t="n"/>
      <c r="F63" s="78" t="n"/>
      <c r="G63" s="78" t="n"/>
      <c r="H63" s="78" t="n"/>
      <c r="I63" s="78" t="n"/>
      <c r="J63" s="78" t="n"/>
      <c r="K63" s="78" t="n"/>
      <c r="L63" s="78" t="n"/>
      <c r="M63" s="78" t="n"/>
      <c r="N63" s="78" t="n"/>
    </row>
    <row r="64">
      <c r="A64" s="78" t="n"/>
      <c r="B64" s="78" t="n"/>
      <c r="C64" s="78" t="n"/>
      <c r="D64" s="78" t="n"/>
      <c r="E64" s="78" t="n"/>
      <c r="F64" s="78" t="n"/>
      <c r="G64" s="78" t="n"/>
      <c r="H64" s="78" t="n"/>
      <c r="I64" s="78" t="n"/>
      <c r="J64" s="78" t="n"/>
      <c r="K64" s="78" t="n"/>
      <c r="L64" s="78" t="n"/>
      <c r="M64" s="78" t="n"/>
      <c r="N64" s="78" t="n"/>
    </row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1" ht="28" customHeight="1">
      <c r="A81" s="2" t="inlineStr">
        <is>
          <t>본 시스템은 베이시스소프트의 임금·평가 운영을 위해 설계되었습니다. 사용 중 의문 사항은 컨설팅 담당자 또는 시앤피컨설팅 이석주 컨설턴트에게 문의해 주세요.</t>
        </is>
      </c>
    </row>
  </sheetData>
  <mergeCells count="71">
    <mergeCell ref="A48:H48"/>
    <mergeCell ref="G43:H43"/>
    <mergeCell ref="B14:D14"/>
    <mergeCell ref="G42:H42"/>
    <mergeCell ref="B24:H24"/>
    <mergeCell ref="B13:D13"/>
    <mergeCell ref="B31:F31"/>
    <mergeCell ref="B46:F46"/>
    <mergeCell ref="G36:H36"/>
    <mergeCell ref="A1:H1"/>
    <mergeCell ref="B20:H20"/>
    <mergeCell ref="G39:H39"/>
    <mergeCell ref="B43:F43"/>
    <mergeCell ref="B39:F39"/>
    <mergeCell ref="D6:H6"/>
    <mergeCell ref="G38:H38"/>
    <mergeCell ref="B42:F42"/>
    <mergeCell ref="C50:D50"/>
    <mergeCell ref="G37:H37"/>
    <mergeCell ref="G28:H28"/>
    <mergeCell ref="B25:H25"/>
    <mergeCell ref="B15:D15"/>
    <mergeCell ref="A27:H27"/>
    <mergeCell ref="B44:F44"/>
    <mergeCell ref="G49:H49"/>
    <mergeCell ref="E14:H14"/>
    <mergeCell ref="G34:H34"/>
    <mergeCell ref="D7:H7"/>
    <mergeCell ref="A12:H12"/>
    <mergeCell ref="B22:H22"/>
    <mergeCell ref="B18:H18"/>
    <mergeCell ref="B29:F29"/>
    <mergeCell ref="B34:F34"/>
    <mergeCell ref="B38:F38"/>
    <mergeCell ref="B21:H21"/>
    <mergeCell ref="B28:F28"/>
    <mergeCell ref="A2:H2"/>
    <mergeCell ref="G33:H33"/>
    <mergeCell ref="C51:D51"/>
    <mergeCell ref="B37:F37"/>
    <mergeCell ref="G30:H30"/>
    <mergeCell ref="G45:H45"/>
    <mergeCell ref="B40:F40"/>
    <mergeCell ref="B32:F32"/>
    <mergeCell ref="D9:H9"/>
    <mergeCell ref="E13:H13"/>
    <mergeCell ref="B30:F30"/>
    <mergeCell ref="G35:H35"/>
    <mergeCell ref="A17:H17"/>
    <mergeCell ref="B23:H23"/>
    <mergeCell ref="G51:H51"/>
    <mergeCell ref="D8:H8"/>
    <mergeCell ref="G29:H29"/>
    <mergeCell ref="A4:H4"/>
    <mergeCell ref="A81:H81"/>
    <mergeCell ref="G32:H32"/>
    <mergeCell ref="B33:F33"/>
    <mergeCell ref="G41:H41"/>
    <mergeCell ref="D5:H5"/>
    <mergeCell ref="B45:F45"/>
    <mergeCell ref="E15:H15"/>
    <mergeCell ref="G44:H44"/>
    <mergeCell ref="G50:H50"/>
    <mergeCell ref="B36:F36"/>
    <mergeCell ref="G40:H40"/>
    <mergeCell ref="G31:H31"/>
    <mergeCell ref="B19:H19"/>
    <mergeCell ref="G46:H46"/>
    <mergeCell ref="B41:F41"/>
    <mergeCell ref="C49:D49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8" customHeight="1">
      <c r="A1" s="1" t="inlineStr">
        <is>
          <t>★ HR 운영 현황판 (모든 평가 진행 상황 한눈에)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9" t="n"/>
    </row>
    <row r="2">
      <c r="A2" s="2" t="inlineStr">
        <is>
          <t>이 시트가 평가 사이클의 컨트롤 타워. 여기서 진행률·이상신호 확인 후 각 시트로 진입.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</row>
    <row r="3" ht="24" customHeight="1">
      <c r="A3" s="89" t="inlineStr">
        <is>
          <t>✻ 이 시트는 평가 사이클이 진행되는 동안 매일 가장 먼저 확인하는 페이지입니다. 진행률·이상 알림으로 현재 상태를 즉시 파악하세요.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9" t="n"/>
    </row>
    <row r="4">
      <c r="A4" s="3" t="inlineStr">
        <is>
          <t>■ 평가 진행 현황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9" t="n"/>
    </row>
    <row r="5">
      <c r="A5" s="14" t="inlineStr">
        <is>
          <t>지표</t>
        </is>
      </c>
      <c r="B5" s="14" t="inlineStr">
        <is>
          <t>상반기 진행</t>
        </is>
      </c>
      <c r="C5" s="14" t="inlineStr">
        <is>
          <t>하반기 진행</t>
        </is>
      </c>
      <c r="D5" s="14" t="inlineStr">
        <is>
          <t>상태</t>
        </is>
      </c>
    </row>
    <row r="6">
      <c r="A6" s="5" t="inlineStr">
        <is>
          <t>총 직원수</t>
        </is>
      </c>
      <c r="B6" s="20">
        <f>COUNTA('01_인적정보'!C6:C65)</f>
        <v/>
      </c>
      <c r="C6" s="20">
        <f>B6</f>
        <v/>
      </c>
      <c r="D6" s="21">
        <f>IF(B$6=0,"",IF(B6&gt;=B$6,"✓ 완료",IF(B6&gt;0,"진행중","미시작")))</f>
        <v/>
      </c>
    </row>
    <row r="7">
      <c r="A7" s="5" t="inlineStr">
        <is>
          <t>역할평가 입력완료</t>
        </is>
      </c>
      <c r="B7" s="20">
        <f>COUNTA('07a_상반기입력'!L6:L39)</f>
        <v/>
      </c>
      <c r="C7" s="20">
        <f>COUNTA('07b_하반기입력'!L6:L39)</f>
        <v/>
      </c>
      <c r="D7" s="21">
        <f>IF(B$6=0,"",IF(B7&gt;=B$6,"✓ 완료",IF(B7&gt;0,"진행중","미시작")))</f>
        <v/>
      </c>
    </row>
    <row r="8">
      <c r="A8" s="5" t="inlineStr">
        <is>
          <t>공통역량 입력완료</t>
        </is>
      </c>
      <c r="B8" s="20">
        <f>COUNTA('07a_상반기입력'!N6:N39)</f>
        <v/>
      </c>
      <c r="C8" s="20">
        <f>COUNTA('07b_하반기입력'!N6:N39)</f>
        <v/>
      </c>
      <c r="D8" s="21">
        <f>IF(B$6=0,"",IF(B8&gt;=B$6,"✓ 완료",IF(B8&gt;0,"진행중","미시작")))</f>
        <v/>
      </c>
    </row>
    <row r="9">
      <c r="A9" s="5" t="inlineStr">
        <is>
          <t>직무역량 입력완료</t>
        </is>
      </c>
      <c r="B9" s="20">
        <f>COUNTA('07a_상반기입력'!Y6:Y39)</f>
        <v/>
      </c>
      <c r="C9" s="20">
        <f>COUNTA('07b_하반기입력'!Y6:Y39)</f>
        <v/>
      </c>
      <c r="D9" s="21">
        <f>IF(B$6=0,"",IF(B9&gt;=B$6,"✓ 완료",IF(B9&gt;0,"진행중","미시작")))</f>
        <v/>
      </c>
    </row>
    <row r="10">
      <c r="A10" s="5" t="inlineStr">
        <is>
          <t>종합평가 산출완료</t>
        </is>
      </c>
      <c r="B10" s="20">
        <f>COUNTA('08_종합평가'!U6:U39)</f>
        <v/>
      </c>
      <c r="C10" s="20">
        <f>B10</f>
        <v/>
      </c>
      <c r="D10" s="21">
        <f>IF(B$6=0,"",IF(B10&gt;=B$6,"✓ 완료",IF(B10&gt;0,"진행중","미시작")))</f>
        <v/>
      </c>
    </row>
    <row r="11"/>
    <row r="12">
      <c r="A12" s="3" t="inlineStr">
        <is>
          <t>■ 이상 알림 (자동 점검)</t>
        </is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19" t="n"/>
    </row>
    <row r="13">
      <c r="A13" s="5" t="inlineStr">
        <is>
          <t>가중치 합계 검증 (G6~G1)</t>
        </is>
      </c>
      <c r="B13" s="7">
        <f>IF(SUMPRODUCT(('02_의사결정·종합결과'!E16:E22&lt;&gt;1)*1)&gt;0,"✗ 가중치 합계 ≠ 100% 행 존재","✓ 모든 가중치 OK")</f>
        <v/>
      </c>
      <c r="C13" s="18" t="n"/>
      <c r="D13" s="18" t="n"/>
      <c r="E13" s="18" t="n"/>
      <c r="F13" s="18" t="n"/>
      <c r="G13" s="18" t="n"/>
      <c r="H13" s="18" t="n"/>
      <c r="I13" s="19" t="n"/>
    </row>
    <row r="14">
      <c r="A14" s="5" t="inlineStr">
        <is>
          <t>상반기 등급 누락자 수</t>
        </is>
      </c>
      <c r="B14" s="7">
        <f>COUNTA('01_인적정보'!B6:B39) - COUNTA('07a_상반기입력'!L6:L39)</f>
        <v/>
      </c>
      <c r="C14" s="18" t="n"/>
      <c r="D14" s="18" t="n"/>
      <c r="E14" s="18" t="n"/>
      <c r="F14" s="18" t="n"/>
      <c r="G14" s="18" t="n"/>
      <c r="H14" s="18" t="n"/>
      <c r="I14" s="19" t="n"/>
    </row>
    <row r="15">
      <c r="A15" s="5" t="inlineStr">
        <is>
          <t>하반기 등급 누락자 수</t>
        </is>
      </c>
      <c r="B15" s="7">
        <f>COUNTA('01_인적정보'!B6:B39) - COUNTA('07b_하반기입력'!L6:L39)</f>
        <v/>
      </c>
      <c r="C15" s="18" t="n"/>
      <c r="D15" s="18" t="n"/>
      <c r="E15" s="18" t="n"/>
      <c r="F15" s="18" t="n"/>
      <c r="G15" s="18" t="n"/>
      <c r="H15" s="18" t="n"/>
      <c r="I15" s="19" t="n"/>
    </row>
    <row r="16">
      <c r="A16" s="5" t="inlineStr">
        <is>
          <t>페이밴드 이탈자 수</t>
        </is>
      </c>
      <c r="B16" s="7">
        <f>SUMPRODUCT(('09_보상연계'!O6:O39&lt;'09_보상연계'!L6:L39)+('09_보상연계'!O6:O39&gt;'09_보상연계'!M6:M39))</f>
        <v/>
      </c>
      <c r="C16" s="18" t="n"/>
      <c r="D16" s="18" t="n"/>
      <c r="E16" s="18" t="n"/>
      <c r="F16" s="18" t="n"/>
      <c r="G16" s="18" t="n"/>
      <c r="H16" s="18" t="n"/>
      <c r="I16" s="19" t="n"/>
    </row>
    <row r="17">
      <c r="A17" s="5" t="inlineStr">
        <is>
          <t>페이밴드 검증 시트의 이탈자 (참조)</t>
        </is>
      </c>
      <c r="B17" s="7">
        <f>SUM('11_페이밴드검증'!H6:H12)</f>
        <v/>
      </c>
      <c r="C17" s="18" t="n"/>
      <c r="D17" s="18" t="n"/>
      <c r="E17" s="18" t="n"/>
      <c r="F17" s="18" t="n"/>
      <c r="G17" s="18" t="n"/>
      <c r="H17" s="18" t="n"/>
      <c r="I17" s="19" t="n"/>
    </row>
    <row r="18"/>
    <row r="19">
      <c r="A19" s="3" t="inlineStr">
        <is>
          <t>■ 평가 등급 분포 (전사 종합)</t>
        </is>
      </c>
      <c r="B19" s="18" t="n"/>
      <c r="C19" s="18" t="n"/>
      <c r="D19" s="18" t="n"/>
      <c r="E19" s="18" t="n"/>
      <c r="F19" s="18" t="n"/>
      <c r="G19" s="18" t="n"/>
      <c r="H19" s="18" t="n"/>
      <c r="I19" s="18" t="n"/>
      <c r="J19" s="19" t="n"/>
    </row>
    <row r="20">
      <c r="A20" s="14" t="inlineStr">
        <is>
          <t>등급</t>
        </is>
      </c>
      <c r="B20" s="14" t="inlineStr">
        <is>
          <t>S</t>
        </is>
      </c>
      <c r="C20" s="14" t="inlineStr">
        <is>
          <t>A</t>
        </is>
      </c>
      <c r="D20" s="14" t="inlineStr">
        <is>
          <t>B</t>
        </is>
      </c>
      <c r="E20" s="14" t="inlineStr">
        <is>
          <t>C</t>
        </is>
      </c>
      <c r="F20" s="14" t="inlineStr">
        <is>
          <t>D</t>
        </is>
      </c>
    </row>
    <row r="21">
      <c r="A21" s="5" t="inlineStr">
        <is>
          <t>인원수</t>
        </is>
      </c>
      <c r="B21" s="20">
        <f>COUNTIF('08_종합평가'!U6:U39,"S")</f>
        <v/>
      </c>
      <c r="C21" s="20">
        <f>COUNTIF('08_종합평가'!U6:U39,"A")</f>
        <v/>
      </c>
      <c r="D21" s="20">
        <f>COUNTIF('08_종합평가'!U6:U39,"B")</f>
        <v/>
      </c>
      <c r="E21" s="20">
        <f>COUNTIF('08_종합평가'!U6:U39,"C")</f>
        <v/>
      </c>
      <c r="F21" s="20">
        <f>COUNTIF('08_종합평가'!U6:U39,"D")</f>
        <v/>
      </c>
    </row>
    <row r="22"/>
    <row r="23"/>
    <row r="24">
      <c r="A24" s="3" t="inlineStr">
        <is>
          <t>■ 오늘 해야 할 일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9" t="n"/>
    </row>
    <row r="25">
      <c r="A25" s="8" t="inlineStr">
        <is>
          <t>1) 01_인적정보에서 직원 명단·역할등급(G5-M/G5-S 포함) 확인</t>
        </is>
      </c>
      <c r="B25" s="18" t="n"/>
      <c r="C25" s="18" t="n"/>
      <c r="D25" s="18" t="n"/>
      <c r="E25" s="18" t="n"/>
      <c r="F25" s="18" t="n"/>
      <c r="G25" s="18" t="n"/>
      <c r="H25" s="18" t="n"/>
      <c r="I25" s="18" t="n"/>
      <c r="J25" s="19" t="n"/>
    </row>
    <row r="26">
      <c r="A26" s="8" t="inlineStr">
        <is>
          <t>2) 15_직원별책무매핑에서 직원별 메인 책무 선택 (신규 - 평가 시작 전 필수)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9" t="n"/>
    </row>
    <row r="27">
      <c r="A27" s="8" t="inlineStr">
        <is>
          <t>3) 부서별 평가지 6종 배포 (평가자에게 이메일/공유폴더 전달)</t>
        </is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9" t="n"/>
    </row>
    <row r="28">
      <c r="A28" s="8" t="inlineStr">
        <is>
          <t>4) 평가지 회수 후 07a/07b 상·하반기 입력 시트에 등급 입력</t>
        </is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9" t="n"/>
    </row>
    <row r="29">
      <c r="A29" s="8" t="inlineStr">
        <is>
          <t>5) 본 시트에서 진행률·이상알림 확인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9" t="n"/>
    </row>
    <row r="30">
      <c r="A30" s="8" t="inlineStr">
        <is>
          <t>6) 모두 완료 시 08~12 산출 시트에서 결과 확인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9" t="n"/>
    </row>
    <row r="31"/>
    <row r="32"/>
    <row r="33"/>
    <row r="34"/>
  </sheetData>
  <mergeCells count="18">
    <mergeCell ref="B13:I13"/>
    <mergeCell ref="A1:J1"/>
    <mergeCell ref="B15:I15"/>
    <mergeCell ref="A27:J27"/>
    <mergeCell ref="B16:I16"/>
    <mergeCell ref="A3:J3"/>
    <mergeCell ref="A30:J30"/>
    <mergeCell ref="A12:J12"/>
    <mergeCell ref="A4:J4"/>
    <mergeCell ref="B14:I14"/>
    <mergeCell ref="A26:J26"/>
    <mergeCell ref="A24:J24"/>
    <mergeCell ref="A2:J2"/>
    <mergeCell ref="A29:J29"/>
    <mergeCell ref="A19:J19"/>
    <mergeCell ref="A28:J28"/>
    <mergeCell ref="A25:J25"/>
    <mergeCell ref="B17:I17"/>
  </mergeCells>
  <conditionalFormatting sqref="D6:D10">
    <cfRule type="cellIs" priority="1" operator="equal" dxfId="0">
      <formula>"미시작"</formula>
    </cfRule>
    <cfRule type="cellIs" priority="2" operator="equal" dxfId="1">
      <formula>"진행중"</formula>
    </cfRule>
    <cfRule type="cellIs" priority="3" operator="equal" dxfId="2">
      <formula>"✓ 완료"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N50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0" customWidth="1" min="7" max="7"/>
    <col width="8" customWidth="1" min="8" max="8"/>
    <col width="12" customWidth="1" min="9" max="9"/>
    <col width="9" customWidth="1" min="10" max="10"/>
    <col width="13" customWidth="1" min="11" max="11"/>
    <col width="11" customWidth="1" min="12" max="12"/>
    <col width="22" customWidth="1" min="13" max="13"/>
    <col width="10" customWidth="1" min="14" max="14"/>
  </cols>
  <sheetData>
    <row r="1" ht="30" customHeight="1">
      <c r="A1" s="1" t="inlineStr">
        <is>
          <t>임직원 명부 마스터 (Master)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9" t="n"/>
    </row>
    <row r="2" ht="22" customHeight="1">
      <c r="A2" s="2" t="inlineStr">
        <is>
          <t>사번을 키로 모든 시트를 연결. 노란셀만 직접 수정. ★ G5는 M(부서장)/S(스페셜리스트)로 분리되어 있습니다.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9" t="n"/>
    </row>
    <row r="5" ht="32" customHeight="1">
      <c r="A5" s="22" t="inlineStr">
        <is>
          <t>No.</t>
        </is>
      </c>
      <c r="B5" s="22" t="inlineStr">
        <is>
          <t>사번</t>
        </is>
      </c>
      <c r="C5" s="22" t="inlineStr">
        <is>
          <t>성명</t>
        </is>
      </c>
      <c r="D5" s="22" t="inlineStr">
        <is>
          <t>직군</t>
        </is>
      </c>
      <c r="E5" s="22" t="inlineStr">
        <is>
          <t>직무</t>
        </is>
      </c>
      <c r="F5" s="22" t="inlineStr">
        <is>
          <t>부서</t>
        </is>
      </c>
      <c r="G5" s="22" t="inlineStr">
        <is>
          <t>기존직급</t>
        </is>
      </c>
      <c r="H5" s="22" t="inlineStr">
        <is>
          <t>역할등급</t>
        </is>
      </c>
      <c r="I5" s="22" t="inlineStr">
        <is>
          <t>입사일</t>
        </is>
      </c>
      <c r="J5" s="22" t="inlineStr">
        <is>
          <t>근속연수</t>
        </is>
      </c>
      <c r="K5" s="22" t="inlineStr">
        <is>
          <t>기존연봉</t>
        </is>
      </c>
      <c r="L5" s="22" t="inlineStr">
        <is>
          <t>주요 책무 수</t>
        </is>
      </c>
      <c r="M5" s="22" t="inlineStr">
        <is>
          <t>조회키(직무_등급)</t>
        </is>
      </c>
      <c r="N5" s="22" t="inlineStr">
        <is>
          <t>비고</t>
        </is>
      </c>
    </row>
    <row r="6" ht="22" customHeight="1">
      <c r="A6" s="17" t="n">
        <v>1</v>
      </c>
      <c r="B6" s="23" t="inlineStr">
        <is>
          <t>BSS-001</t>
        </is>
      </c>
      <c r="C6" s="4" t="inlineStr">
        <is>
          <t>이화형</t>
        </is>
      </c>
      <c r="D6" s="4" t="inlineStr">
        <is>
          <t>영업</t>
        </is>
      </c>
      <c r="E6" s="4" t="inlineStr">
        <is>
          <t>프로젝트영업</t>
        </is>
      </c>
      <c r="F6" s="4" t="inlineStr">
        <is>
          <t>스마트사업부</t>
        </is>
      </c>
      <c r="G6" s="23" t="inlineStr">
        <is>
          <t>전무</t>
        </is>
      </c>
      <c r="H6" s="24" t="inlineStr">
        <is>
          <t>G6</t>
        </is>
      </c>
      <c r="I6" s="23" t="inlineStr">
        <is>
          <t>2014-01-08</t>
        </is>
      </c>
      <c r="J6" s="20">
        <f>IFERROR(ROUND((TODAY()-DATEVALUE(I6))/365,1),"")</f>
        <v/>
      </c>
      <c r="K6" s="25" t="n">
        <v>72500000</v>
      </c>
      <c r="L6" s="20">
        <f>IFERROR(INDEX('15_직원별책무매핑'!$E:$E,MATCH(B6,'15_직원별책무매핑'!$B:$B,0)),0)</f>
        <v/>
      </c>
      <c r="M6" s="7">
        <f>E6&amp;"_"&amp;H6</f>
        <v/>
      </c>
      <c r="N6" s="4" t="inlineStr"/>
    </row>
    <row r="7" ht="22" customHeight="1">
      <c r="A7" s="17" t="n">
        <v>2</v>
      </c>
      <c r="B7" s="23" t="inlineStr">
        <is>
          <t>BSS-002</t>
        </is>
      </c>
      <c r="C7" s="4" t="inlineStr">
        <is>
          <t>강전용</t>
        </is>
      </c>
      <c r="D7" s="4" t="inlineStr">
        <is>
          <t>연구&amp;개발</t>
        </is>
      </c>
      <c r="E7" s="4" t="inlineStr">
        <is>
          <t>연구개발(R&amp;D)</t>
        </is>
      </c>
      <c r="F7" s="4" t="inlineStr">
        <is>
          <t>R&amp;D본부</t>
        </is>
      </c>
      <c r="G7" s="23" t="inlineStr">
        <is>
          <t>상무</t>
        </is>
      </c>
      <c r="H7" s="24" t="inlineStr">
        <is>
          <t>G6</t>
        </is>
      </c>
      <c r="I7" s="23" t="inlineStr">
        <is>
          <t>2014-02-15</t>
        </is>
      </c>
      <c r="J7" s="20">
        <f>IFERROR(ROUND((TODAY()-DATEVALUE(I7))/365,1),"")</f>
        <v/>
      </c>
      <c r="K7" s="25" t="n">
        <v>68870000</v>
      </c>
      <c r="L7" s="20">
        <f>IFERROR(INDEX('15_직원별책무매핑'!$E:$E,MATCH(B7,'15_직원별책무매핑'!$B:$B,0)),0)</f>
        <v/>
      </c>
      <c r="M7" s="7">
        <f>E7&amp;"_"&amp;H7</f>
        <v/>
      </c>
      <c r="N7" s="4" t="inlineStr"/>
    </row>
    <row r="8" ht="22" customHeight="1">
      <c r="A8" s="17" t="n">
        <v>3</v>
      </c>
      <c r="B8" s="23" t="inlineStr">
        <is>
          <t>BSS-003</t>
        </is>
      </c>
      <c r="C8" s="4" t="inlineStr">
        <is>
          <t>김현민</t>
        </is>
      </c>
      <c r="D8" s="4" t="inlineStr">
        <is>
          <t>설계</t>
        </is>
      </c>
      <c r="E8" s="4" t="inlineStr">
        <is>
          <t>BIM컨설팅</t>
        </is>
      </c>
      <c r="F8" s="4" t="inlineStr">
        <is>
          <t>컨설팅본부</t>
        </is>
      </c>
      <c r="G8" s="23" t="inlineStr">
        <is>
          <t>상무</t>
        </is>
      </c>
      <c r="H8" s="24" t="inlineStr">
        <is>
          <t>G6</t>
        </is>
      </c>
      <c r="I8" s="23" t="inlineStr">
        <is>
          <t>2014-03-22</t>
        </is>
      </c>
      <c r="J8" s="20">
        <f>IFERROR(ROUND((TODAY()-DATEVALUE(I8))/365,1),"")</f>
        <v/>
      </c>
      <c r="K8" s="25" t="n">
        <v>67500000</v>
      </c>
      <c r="L8" s="20">
        <f>IFERROR(INDEX('15_직원별책무매핑'!$E:$E,MATCH(B8,'15_직원별책무매핑'!$B:$B,0)),0)</f>
        <v/>
      </c>
      <c r="M8" s="7">
        <f>E8&amp;"_"&amp;H8</f>
        <v/>
      </c>
      <c r="N8" s="4" t="inlineStr"/>
    </row>
    <row r="9" ht="22" customHeight="1">
      <c r="A9" s="17" t="n">
        <v>4</v>
      </c>
      <c r="B9" s="23" t="inlineStr">
        <is>
          <t>BSS-004</t>
        </is>
      </c>
      <c r="C9" s="4" t="inlineStr">
        <is>
          <t>이일곤</t>
        </is>
      </c>
      <c r="D9" s="4" t="inlineStr">
        <is>
          <t>경영관리</t>
        </is>
      </c>
      <c r="E9" s="4" t="inlineStr">
        <is>
          <t>경영전략기획</t>
        </is>
      </c>
      <c r="F9" s="4" t="inlineStr">
        <is>
          <t>경영전략실</t>
        </is>
      </c>
      <c r="G9" s="23" t="inlineStr">
        <is>
          <t>이사</t>
        </is>
      </c>
      <c r="H9" s="24" t="inlineStr">
        <is>
          <t>G6</t>
        </is>
      </c>
      <c r="I9" s="23" t="inlineStr">
        <is>
          <t>2014-04-01</t>
        </is>
      </c>
      <c r="J9" s="20">
        <f>IFERROR(ROUND((TODAY()-DATEVALUE(I9))/365,1),"")</f>
        <v/>
      </c>
      <c r="K9" s="25" t="n">
        <v>64530000</v>
      </c>
      <c r="L9" s="20">
        <f>IFERROR(INDEX('15_직원별책무매핑'!$E:$E,MATCH(B9,'15_직원별책무매핑'!$B:$B,0)),0)</f>
        <v/>
      </c>
      <c r="M9" s="7">
        <f>E9&amp;"_"&amp;H9</f>
        <v/>
      </c>
      <c r="N9" s="4" t="inlineStr"/>
    </row>
    <row r="10" ht="22" customHeight="1">
      <c r="A10" s="17" t="n">
        <v>5</v>
      </c>
      <c r="B10" s="23" t="inlineStr">
        <is>
          <t>BSS-005</t>
        </is>
      </c>
      <c r="C10" s="4" t="inlineStr">
        <is>
          <t>송헌영</t>
        </is>
      </c>
      <c r="D10" s="4" t="inlineStr">
        <is>
          <t>경영관리</t>
        </is>
      </c>
      <c r="E10" s="4" t="inlineStr">
        <is>
          <t>경영전략기획</t>
        </is>
      </c>
      <c r="F10" s="4" t="inlineStr">
        <is>
          <t>경영전략실</t>
        </is>
      </c>
      <c r="G10" s="23" t="inlineStr">
        <is>
          <t>이사</t>
        </is>
      </c>
      <c r="H10" s="24" t="inlineStr">
        <is>
          <t>G6</t>
        </is>
      </c>
      <c r="I10" s="23" t="inlineStr">
        <is>
          <t>2015-05-08</t>
        </is>
      </c>
      <c r="J10" s="20">
        <f>IFERROR(ROUND((TODAY()-DATEVALUE(I10))/365,1),"")</f>
        <v/>
      </c>
      <c r="K10" s="25" t="n">
        <v>65180000</v>
      </c>
      <c r="L10" s="20">
        <f>IFERROR(INDEX('15_직원별책무매핑'!$E:$E,MATCH(B10,'15_직원별책무매핑'!$B:$B,0)),0)</f>
        <v/>
      </c>
      <c r="M10" s="7">
        <f>E10&amp;"_"&amp;H10</f>
        <v/>
      </c>
      <c r="N10" s="4" t="inlineStr"/>
    </row>
    <row r="11" ht="22" customHeight="1">
      <c r="A11" s="17" t="n">
        <v>6</v>
      </c>
      <c r="B11" s="23" t="inlineStr">
        <is>
          <t>BSS-006</t>
        </is>
      </c>
      <c r="C11" s="4" t="inlineStr">
        <is>
          <t>이재용</t>
        </is>
      </c>
      <c r="D11" s="4" t="inlineStr">
        <is>
          <t>경영관리</t>
        </is>
      </c>
      <c r="E11" s="4" t="inlineStr">
        <is>
          <t>경영전략기획</t>
        </is>
      </c>
      <c r="F11" s="4" t="inlineStr">
        <is>
          <t>경영전략실</t>
        </is>
      </c>
      <c r="G11" s="23" t="inlineStr">
        <is>
          <t>이사</t>
        </is>
      </c>
      <c r="H11" s="24" t="inlineStr">
        <is>
          <t>G6</t>
        </is>
      </c>
      <c r="I11" s="23" t="inlineStr">
        <is>
          <t>2015-06-15</t>
        </is>
      </c>
      <c r="J11" s="20">
        <f>IFERROR(ROUND((TODAY()-DATEVALUE(I11))/365,1),"")</f>
        <v/>
      </c>
      <c r="K11" s="25" t="n">
        <v>62000000</v>
      </c>
      <c r="L11" s="20">
        <f>IFERROR(INDEX('15_직원별책무매핑'!$E:$E,MATCH(B11,'15_직원별책무매핑'!$B:$B,0)),0)</f>
        <v/>
      </c>
      <c r="M11" s="7">
        <f>E11&amp;"_"&amp;H11</f>
        <v/>
      </c>
      <c r="N11" s="4" t="inlineStr"/>
    </row>
    <row r="12" ht="22" customHeight="1">
      <c r="A12" s="17" t="n">
        <v>7</v>
      </c>
      <c r="B12" s="23" t="inlineStr">
        <is>
          <t>BSS-007</t>
        </is>
      </c>
      <c r="C12" s="4" t="inlineStr">
        <is>
          <t>이진행</t>
        </is>
      </c>
      <c r="D12" s="4" t="inlineStr">
        <is>
          <t>교육 및 기술지원</t>
        </is>
      </c>
      <c r="E12" s="4" t="inlineStr">
        <is>
          <t>교육</t>
        </is>
      </c>
      <c r="F12" s="4" t="inlineStr">
        <is>
          <t>솔루션본부</t>
        </is>
      </c>
      <c r="G12" s="23" t="inlineStr">
        <is>
          <t>부장</t>
        </is>
      </c>
      <c r="H12" s="24" t="inlineStr">
        <is>
          <t>G5-M</t>
        </is>
      </c>
      <c r="I12" s="23" t="inlineStr">
        <is>
          <t>2015-07-22</t>
        </is>
      </c>
      <c r="J12" s="20">
        <f>IFERROR(ROUND((TODAY()-DATEVALUE(I12))/365,1),"")</f>
        <v/>
      </c>
      <c r="K12" s="25" t="n">
        <v>59700000</v>
      </c>
      <c r="L12" s="20">
        <f>IFERROR(INDEX('15_직원별책무매핑'!$E:$E,MATCH(B12,'15_직원별책무매핑'!$B:$B,0)),0)</f>
        <v/>
      </c>
      <c r="M12" s="7">
        <f>E12&amp;"_"&amp;H12</f>
        <v/>
      </c>
      <c r="N12" s="4" t="inlineStr"/>
    </row>
    <row r="13" ht="22" customHeight="1">
      <c r="A13" s="17" t="n">
        <v>8</v>
      </c>
      <c r="B13" s="23" t="inlineStr">
        <is>
          <t>BSS-008</t>
        </is>
      </c>
      <c r="C13" s="4" t="inlineStr">
        <is>
          <t>김민수</t>
        </is>
      </c>
      <c r="D13" s="4" t="inlineStr">
        <is>
          <t>교육 및 기술지원</t>
        </is>
      </c>
      <c r="E13" s="4" t="inlineStr">
        <is>
          <t>기술지원</t>
        </is>
      </c>
      <c r="F13" s="4" t="inlineStr">
        <is>
          <t>솔루션본부</t>
        </is>
      </c>
      <c r="G13" s="23" t="inlineStr">
        <is>
          <t>부장</t>
        </is>
      </c>
      <c r="H13" s="24" t="inlineStr">
        <is>
          <t>G5-M</t>
        </is>
      </c>
      <c r="I13" s="23" t="inlineStr">
        <is>
          <t>2015-08-01</t>
        </is>
      </c>
      <c r="J13" s="20">
        <f>IFERROR(ROUND((TODAY()-DATEVALUE(I13))/365,1),"")</f>
        <v/>
      </c>
      <c r="K13" s="25" t="n">
        <v>59050000</v>
      </c>
      <c r="L13" s="20">
        <f>IFERROR(INDEX('15_직원별책무매핑'!$E:$E,MATCH(B13,'15_직원별책무매핑'!$B:$B,0)),0)</f>
        <v/>
      </c>
      <c r="M13" s="7">
        <f>E13&amp;"_"&amp;H13</f>
        <v/>
      </c>
      <c r="N13" s="4" t="inlineStr"/>
    </row>
    <row r="14" ht="22" customHeight="1">
      <c r="A14" s="17" t="n">
        <v>9</v>
      </c>
      <c r="B14" s="23" t="inlineStr">
        <is>
          <t>BSS-009</t>
        </is>
      </c>
      <c r="C14" s="4" t="inlineStr">
        <is>
          <t>박남식</t>
        </is>
      </c>
      <c r="D14" s="4" t="inlineStr">
        <is>
          <t>설계</t>
        </is>
      </c>
      <c r="E14" s="4" t="inlineStr">
        <is>
          <t>BIM컨설팅</t>
        </is>
      </c>
      <c r="F14" s="4" t="inlineStr">
        <is>
          <t>컨설팅본부</t>
        </is>
      </c>
      <c r="G14" s="23" t="inlineStr">
        <is>
          <t>부장</t>
        </is>
      </c>
      <c r="H14" s="24" t="inlineStr">
        <is>
          <t>G5-M</t>
        </is>
      </c>
      <c r="I14" s="23" t="inlineStr">
        <is>
          <t>2016-09-08</t>
        </is>
      </c>
      <c r="J14" s="20">
        <f>IFERROR(ROUND((TODAY()-DATEVALUE(I14))/365,1),"")</f>
        <v/>
      </c>
      <c r="K14" s="25" t="n">
        <v>59050000</v>
      </c>
      <c r="L14" s="20">
        <f>IFERROR(INDEX('15_직원별책무매핑'!$E:$E,MATCH(B14,'15_직원별책무매핑'!$B:$B,0)),0)</f>
        <v/>
      </c>
      <c r="M14" s="7">
        <f>E14&amp;"_"&amp;H14</f>
        <v/>
      </c>
      <c r="N14" s="4" t="inlineStr"/>
    </row>
    <row r="15" ht="22" customHeight="1">
      <c r="A15" s="17" t="n">
        <v>10</v>
      </c>
      <c r="B15" s="23" t="inlineStr">
        <is>
          <t>BSS-010</t>
        </is>
      </c>
      <c r="C15" s="4" t="inlineStr">
        <is>
          <t>신재민</t>
        </is>
      </c>
      <c r="D15" s="4" t="inlineStr">
        <is>
          <t>설계</t>
        </is>
      </c>
      <c r="E15" s="4" t="inlineStr">
        <is>
          <t>BIM컨설팅</t>
        </is>
      </c>
      <c r="F15" s="4" t="inlineStr">
        <is>
          <t>컨설팅본부</t>
        </is>
      </c>
      <c r="G15" s="23" t="inlineStr">
        <is>
          <t>부장</t>
        </is>
      </c>
      <c r="H15" s="24" t="inlineStr">
        <is>
          <t>G5-S</t>
        </is>
      </c>
      <c r="I15" s="23" t="inlineStr">
        <is>
          <t>2016-10-15</t>
        </is>
      </c>
      <c r="J15" s="20">
        <f>IFERROR(ROUND((TODAY()-DATEVALUE(I15))/365,1),"")</f>
        <v/>
      </c>
      <c r="K15" s="25" t="n">
        <v>59050000</v>
      </c>
      <c r="L15" s="20">
        <f>IFERROR(INDEX('15_직원별책무매핑'!$E:$E,MATCH(B15,'15_직원별책무매핑'!$B:$B,0)),0)</f>
        <v/>
      </c>
      <c r="M15" s="7">
        <f>E15&amp;"_"&amp;H15</f>
        <v/>
      </c>
      <c r="N15" s="4" t="inlineStr"/>
    </row>
    <row r="16" ht="22" customHeight="1">
      <c r="A16" s="17" t="n">
        <v>11</v>
      </c>
      <c r="B16" s="23" t="inlineStr">
        <is>
          <t>BSS-011</t>
        </is>
      </c>
      <c r="C16" s="4" t="inlineStr">
        <is>
          <t>마장엽</t>
        </is>
      </c>
      <c r="D16" s="4" t="inlineStr">
        <is>
          <t>설계</t>
        </is>
      </c>
      <c r="E16" s="4" t="inlineStr">
        <is>
          <t>BIM컨설팅</t>
        </is>
      </c>
      <c r="F16" s="4" t="inlineStr">
        <is>
          <t>컨설팅본부</t>
        </is>
      </c>
      <c r="G16" s="23" t="inlineStr">
        <is>
          <t>부장</t>
        </is>
      </c>
      <c r="H16" s="24" t="inlineStr">
        <is>
          <t>G5-S</t>
        </is>
      </c>
      <c r="I16" s="23" t="inlineStr">
        <is>
          <t>2016-11-22</t>
        </is>
      </c>
      <c r="J16" s="20">
        <f>IFERROR(ROUND((TODAY()-DATEVALUE(I16))/365,1),"")</f>
        <v/>
      </c>
      <c r="K16" s="25" t="n">
        <v>57760000</v>
      </c>
      <c r="L16" s="20">
        <f>IFERROR(INDEX('15_직원별책무매핑'!$E:$E,MATCH(B16,'15_직원별책무매핑'!$B:$B,0)),0)</f>
        <v/>
      </c>
      <c r="M16" s="7">
        <f>E16&amp;"_"&amp;H16</f>
        <v/>
      </c>
      <c r="N16" s="4" t="inlineStr"/>
    </row>
    <row r="17" ht="22" customHeight="1">
      <c r="A17" s="17" t="n">
        <v>12</v>
      </c>
      <c r="B17" s="23" t="inlineStr">
        <is>
          <t>BSS-012</t>
        </is>
      </c>
      <c r="C17" s="4" t="inlineStr">
        <is>
          <t>하은주</t>
        </is>
      </c>
      <c r="D17" s="4" t="inlineStr">
        <is>
          <t>경영관리</t>
        </is>
      </c>
      <c r="E17" s="4" t="inlineStr">
        <is>
          <t>경영전략기획</t>
        </is>
      </c>
      <c r="F17" s="4" t="inlineStr">
        <is>
          <t>마케팅팀</t>
        </is>
      </c>
      <c r="G17" s="23" t="inlineStr">
        <is>
          <t>부장</t>
        </is>
      </c>
      <c r="H17" s="24" t="inlineStr">
        <is>
          <t>G5-M</t>
        </is>
      </c>
      <c r="I17" s="23" t="inlineStr">
        <is>
          <t>2016-12-01</t>
        </is>
      </c>
      <c r="J17" s="20">
        <f>IFERROR(ROUND((TODAY()-DATEVALUE(I17))/365,1),"")</f>
        <v/>
      </c>
      <c r="K17" s="25" t="n">
        <v>57760000</v>
      </c>
      <c r="L17" s="20">
        <f>IFERROR(INDEX('15_직원별책무매핑'!$E:$E,MATCH(B17,'15_직원별책무매핑'!$B:$B,0)),0)</f>
        <v/>
      </c>
      <c r="M17" s="7">
        <f>E17&amp;"_"&amp;H17</f>
        <v/>
      </c>
      <c r="N17" s="4" t="inlineStr"/>
    </row>
    <row r="18" ht="22" customHeight="1">
      <c r="A18" s="17" t="n">
        <v>13</v>
      </c>
      <c r="B18" s="23" t="inlineStr">
        <is>
          <t>BSS-013</t>
        </is>
      </c>
      <c r="C18" s="4" t="inlineStr">
        <is>
          <t>홍사훈</t>
        </is>
      </c>
      <c r="D18" s="4" t="inlineStr">
        <is>
          <t>설계</t>
        </is>
      </c>
      <c r="E18" s="4" t="inlineStr">
        <is>
          <t>BIM컨설팅</t>
        </is>
      </c>
      <c r="F18" s="4" t="inlineStr">
        <is>
          <t>컨설팅본부</t>
        </is>
      </c>
      <c r="G18" s="23" t="inlineStr">
        <is>
          <t>부장</t>
        </is>
      </c>
      <c r="H18" s="24" t="inlineStr">
        <is>
          <t>G5-S</t>
        </is>
      </c>
      <c r="I18" s="23" t="inlineStr">
        <is>
          <t>2017-01-08</t>
        </is>
      </c>
      <c r="J18" s="20">
        <f>IFERROR(ROUND((TODAY()-DATEVALUE(I18))/365,1),"")</f>
        <v/>
      </c>
      <c r="K18" s="25" t="n">
        <v>58400000</v>
      </c>
      <c r="L18" s="20">
        <f>IFERROR(INDEX('15_직원별책무매핑'!$E:$E,MATCH(B18,'15_직원별책무매핑'!$B:$B,0)),0)</f>
        <v/>
      </c>
      <c r="M18" s="7">
        <f>E18&amp;"_"&amp;H18</f>
        <v/>
      </c>
      <c r="N18" s="4" t="inlineStr"/>
    </row>
    <row r="19" ht="22" customHeight="1">
      <c r="A19" s="17" t="n">
        <v>14</v>
      </c>
      <c r="B19" s="23" t="inlineStr">
        <is>
          <t>BSS-014</t>
        </is>
      </c>
      <c r="C19" s="4" t="inlineStr">
        <is>
          <t>유자영</t>
        </is>
      </c>
      <c r="D19" s="4" t="inlineStr">
        <is>
          <t>설계</t>
        </is>
      </c>
      <c r="E19" s="4" t="inlineStr">
        <is>
          <t>BIM컨설팅</t>
        </is>
      </c>
      <c r="F19" s="4" t="inlineStr">
        <is>
          <t>컨설팅본부</t>
        </is>
      </c>
      <c r="G19" s="23" t="inlineStr">
        <is>
          <t>부장</t>
        </is>
      </c>
      <c r="H19" s="24" t="inlineStr">
        <is>
          <t>G5-S</t>
        </is>
      </c>
      <c r="I19" s="23" t="inlineStr">
        <is>
          <t>2017-02-15</t>
        </is>
      </c>
      <c r="J19" s="20">
        <f>IFERROR(ROUND((TODAY()-DATEVALUE(I19))/365,1),"")</f>
        <v/>
      </c>
      <c r="K19" s="25" t="n">
        <v>56500000</v>
      </c>
      <c r="L19" s="20">
        <f>IFERROR(INDEX('15_직원별책무매핑'!$E:$E,MATCH(B19,'15_직원별책무매핑'!$B:$B,0)),0)</f>
        <v/>
      </c>
      <c r="M19" s="7">
        <f>E19&amp;"_"&amp;H19</f>
        <v/>
      </c>
      <c r="N19" s="4" t="inlineStr"/>
    </row>
    <row r="20" ht="22" customHeight="1">
      <c r="A20" s="17" t="n">
        <v>15</v>
      </c>
      <c r="B20" s="23" t="inlineStr">
        <is>
          <t>BSS-015</t>
        </is>
      </c>
      <c r="C20" s="4" t="inlineStr">
        <is>
          <t>민지선</t>
        </is>
      </c>
      <c r="D20" s="4" t="inlineStr">
        <is>
          <t>설계</t>
        </is>
      </c>
      <c r="E20" s="4" t="inlineStr">
        <is>
          <t>BIM컨설팅</t>
        </is>
      </c>
      <c r="F20" s="4" t="inlineStr">
        <is>
          <t>컨설팅본부</t>
        </is>
      </c>
      <c r="G20" s="23" t="inlineStr">
        <is>
          <t>차장</t>
        </is>
      </c>
      <c r="H20" s="24" t="inlineStr">
        <is>
          <t>G5-S</t>
        </is>
      </c>
      <c r="I20" s="23" t="inlineStr">
        <is>
          <t>2017-03-22</t>
        </is>
      </c>
      <c r="J20" s="20">
        <f>IFERROR(ROUND((TODAY()-DATEVALUE(I20))/365,1),"")</f>
        <v/>
      </c>
      <c r="K20" s="25" t="n">
        <v>53160000</v>
      </c>
      <c r="L20" s="20">
        <f>IFERROR(INDEX('15_직원별책무매핑'!$E:$E,MATCH(B20,'15_직원별책무매핑'!$B:$B,0)),0)</f>
        <v/>
      </c>
      <c r="M20" s="7">
        <f>E20&amp;"_"&amp;H20</f>
        <v/>
      </c>
      <c r="N20" s="4" t="inlineStr"/>
    </row>
    <row r="21" ht="22" customHeight="1">
      <c r="A21" s="17" t="n">
        <v>16</v>
      </c>
      <c r="B21" s="23" t="inlineStr">
        <is>
          <t>BSS-016</t>
        </is>
      </c>
      <c r="C21" s="4" t="inlineStr">
        <is>
          <t>장훈</t>
        </is>
      </c>
      <c r="D21" s="4" t="inlineStr">
        <is>
          <t>설계</t>
        </is>
      </c>
      <c r="E21" s="4" t="inlineStr">
        <is>
          <t>BIM컨설팅</t>
        </is>
      </c>
      <c r="F21" s="4" t="inlineStr">
        <is>
          <t>컨설팅본부</t>
        </is>
      </c>
      <c r="G21" s="23" t="inlineStr">
        <is>
          <t>차장</t>
        </is>
      </c>
      <c r="H21" s="24" t="inlineStr">
        <is>
          <t>G5-S</t>
        </is>
      </c>
      <c r="I21" s="23" t="inlineStr">
        <is>
          <t>2017-04-01</t>
        </is>
      </c>
      <c r="J21" s="20">
        <f>IFERROR(ROUND((TODAY()-DATEVALUE(I21))/365,1),"")</f>
        <v/>
      </c>
      <c r="K21" s="25" t="n">
        <v>53750000</v>
      </c>
      <c r="L21" s="20">
        <f>IFERROR(INDEX('15_직원별책무매핑'!$E:$E,MATCH(B21,'15_직원별책무매핑'!$B:$B,0)),0)</f>
        <v/>
      </c>
      <c r="M21" s="7">
        <f>E21&amp;"_"&amp;H21</f>
        <v/>
      </c>
      <c r="N21" s="4" t="inlineStr"/>
    </row>
    <row r="22" ht="22" customHeight="1">
      <c r="A22" s="17" t="n">
        <v>17</v>
      </c>
      <c r="B22" s="23" t="inlineStr">
        <is>
          <t>BSS-017</t>
        </is>
      </c>
      <c r="C22" s="4" t="inlineStr">
        <is>
          <t>김우람</t>
        </is>
      </c>
      <c r="D22" s="4" t="inlineStr">
        <is>
          <t>교육 및 기술지원</t>
        </is>
      </c>
      <c r="E22" s="4" t="inlineStr">
        <is>
          <t>교육</t>
        </is>
      </c>
      <c r="F22" s="4" t="inlineStr">
        <is>
          <t>솔루션본부</t>
        </is>
      </c>
      <c r="G22" s="23" t="inlineStr">
        <is>
          <t>과장</t>
        </is>
      </c>
      <c r="H22" s="24" t="inlineStr">
        <is>
          <t>G4</t>
        </is>
      </c>
      <c r="I22" s="23" t="inlineStr">
        <is>
          <t>2018-05-08</t>
        </is>
      </c>
      <c r="J22" s="20">
        <f>IFERROR(ROUND((TODAY()-DATEVALUE(I22))/365,1),"")</f>
        <v/>
      </c>
      <c r="K22" s="25" t="n">
        <v>49240000</v>
      </c>
      <c r="L22" s="20">
        <f>IFERROR(INDEX('15_직원별책무매핑'!$E:$E,MATCH(B22,'15_직원별책무매핑'!$B:$B,0)),0)</f>
        <v/>
      </c>
      <c r="M22" s="7">
        <f>E22&amp;"_"&amp;H22</f>
        <v/>
      </c>
      <c r="N22" s="4" t="inlineStr"/>
    </row>
    <row r="23" ht="22" customHeight="1">
      <c r="A23" s="17" t="n">
        <v>18</v>
      </c>
      <c r="B23" s="23" t="inlineStr">
        <is>
          <t>BSS-018</t>
        </is>
      </c>
      <c r="C23" s="4" t="inlineStr">
        <is>
          <t>조성준</t>
        </is>
      </c>
      <c r="D23" s="4" t="inlineStr">
        <is>
          <t>설계</t>
        </is>
      </c>
      <c r="E23" s="4" t="inlineStr">
        <is>
          <t>BIM컨설팅</t>
        </is>
      </c>
      <c r="F23" s="4" t="inlineStr">
        <is>
          <t>컨설팅본부</t>
        </is>
      </c>
      <c r="G23" s="23" t="inlineStr">
        <is>
          <t>과장</t>
        </is>
      </c>
      <c r="H23" s="24" t="inlineStr">
        <is>
          <t>G4</t>
        </is>
      </c>
      <c r="I23" s="23" t="inlineStr">
        <is>
          <t>2018-06-15</t>
        </is>
      </c>
      <c r="J23" s="20">
        <f>IFERROR(ROUND((TODAY()-DATEVALUE(I23))/365,1),"")</f>
        <v/>
      </c>
      <c r="K23" s="25" t="n">
        <v>48650000</v>
      </c>
      <c r="L23" s="20">
        <f>IFERROR(INDEX('15_직원별책무매핑'!$E:$E,MATCH(B23,'15_직원별책무매핑'!$B:$B,0)),0)</f>
        <v/>
      </c>
      <c r="M23" s="7">
        <f>E23&amp;"_"&amp;H23</f>
        <v/>
      </c>
      <c r="N23" s="4" t="inlineStr"/>
    </row>
    <row r="24" ht="22" customHeight="1">
      <c r="A24" s="17" t="n">
        <v>19</v>
      </c>
      <c r="B24" s="23" t="inlineStr">
        <is>
          <t>BSS-019</t>
        </is>
      </c>
      <c r="C24" s="4" t="inlineStr">
        <is>
          <t>구서현</t>
        </is>
      </c>
      <c r="D24" s="4" t="inlineStr">
        <is>
          <t>설계</t>
        </is>
      </c>
      <c r="E24" s="4" t="inlineStr">
        <is>
          <t>BIM컨설팅</t>
        </is>
      </c>
      <c r="F24" s="4" t="inlineStr">
        <is>
          <t>컨설팅본부</t>
        </is>
      </c>
      <c r="G24" s="23" t="inlineStr">
        <is>
          <t>과장</t>
        </is>
      </c>
      <c r="H24" s="24" t="inlineStr">
        <is>
          <t>G3</t>
        </is>
      </c>
      <c r="I24" s="23" t="inlineStr">
        <is>
          <t>2018-07-22</t>
        </is>
      </c>
      <c r="J24" s="20">
        <f>IFERROR(ROUND((TODAY()-DATEVALUE(I24))/365,1),"")</f>
        <v/>
      </c>
      <c r="K24" s="25" t="n">
        <v>47500000</v>
      </c>
      <c r="L24" s="20">
        <f>IFERROR(INDEX('15_직원별책무매핑'!$E:$E,MATCH(B24,'15_직원별책무매핑'!$B:$B,0)),0)</f>
        <v/>
      </c>
      <c r="M24" s="7">
        <f>E24&amp;"_"&amp;H24</f>
        <v/>
      </c>
      <c r="N24" s="4" t="inlineStr"/>
    </row>
    <row r="25" ht="22" customHeight="1">
      <c r="A25" s="17" t="n">
        <v>20</v>
      </c>
      <c r="B25" s="23" t="inlineStr">
        <is>
          <t>BSS-020</t>
        </is>
      </c>
      <c r="C25" s="4" t="inlineStr">
        <is>
          <t>박진용</t>
        </is>
      </c>
      <c r="D25" s="4" t="inlineStr">
        <is>
          <t>교육 및 기술지원</t>
        </is>
      </c>
      <c r="E25" s="4" t="inlineStr">
        <is>
          <t>기술지원</t>
        </is>
      </c>
      <c r="F25" s="4" t="inlineStr">
        <is>
          <t>솔루션본부</t>
        </is>
      </c>
      <c r="G25" s="23" t="inlineStr">
        <is>
          <t>대리</t>
        </is>
      </c>
      <c r="H25" s="24" t="inlineStr">
        <is>
          <t>G3</t>
        </is>
      </c>
      <c r="I25" s="23" t="inlineStr">
        <is>
          <t>2018-08-01</t>
        </is>
      </c>
      <c r="J25" s="20">
        <f>IFERROR(ROUND((TODAY()-DATEVALUE(I25))/365,1),"")</f>
        <v/>
      </c>
      <c r="K25" s="25" t="n">
        <v>43060000</v>
      </c>
      <c r="L25" s="20">
        <f>IFERROR(INDEX('15_직원별책무매핑'!$E:$E,MATCH(B25,'15_직원별책무매핑'!$B:$B,0)),0)</f>
        <v/>
      </c>
      <c r="M25" s="7">
        <f>E25&amp;"_"&amp;H25</f>
        <v/>
      </c>
      <c r="N25" s="4" t="inlineStr"/>
    </row>
    <row r="26" ht="22" customHeight="1">
      <c r="A26" s="17" t="n">
        <v>21</v>
      </c>
      <c r="B26" s="23" t="inlineStr">
        <is>
          <t>BSS-021</t>
        </is>
      </c>
      <c r="C26" s="4" t="inlineStr">
        <is>
          <t>김가연</t>
        </is>
      </c>
      <c r="D26" s="4" t="inlineStr">
        <is>
          <t>설계</t>
        </is>
      </c>
      <c r="E26" s="4" t="inlineStr">
        <is>
          <t>BIM컨설팅</t>
        </is>
      </c>
      <c r="F26" s="4" t="inlineStr">
        <is>
          <t>컨설팅본부</t>
        </is>
      </c>
      <c r="G26" s="23" t="inlineStr">
        <is>
          <t>대리</t>
        </is>
      </c>
      <c r="H26" s="24" t="inlineStr">
        <is>
          <t>G2</t>
        </is>
      </c>
      <c r="I26" s="23" t="inlineStr">
        <is>
          <t>2019-09-08</t>
        </is>
      </c>
      <c r="J26" s="20">
        <f>IFERROR(ROUND((TODAY()-DATEVALUE(I26))/365,1),"")</f>
        <v/>
      </c>
      <c r="K26" s="25" t="n">
        <v>42500000</v>
      </c>
      <c r="L26" s="20">
        <f>IFERROR(INDEX('15_직원별책무매핑'!$E:$E,MATCH(B26,'15_직원별책무매핑'!$B:$B,0)),0)</f>
        <v/>
      </c>
      <c r="M26" s="7">
        <f>E26&amp;"_"&amp;H26</f>
        <v/>
      </c>
      <c r="N26" s="4" t="inlineStr"/>
    </row>
    <row r="27" ht="22" customHeight="1">
      <c r="A27" s="17" t="n">
        <v>22</v>
      </c>
      <c r="B27" s="23" t="inlineStr">
        <is>
          <t>BSS-022</t>
        </is>
      </c>
      <c r="C27" s="4" t="inlineStr">
        <is>
          <t>한근수</t>
        </is>
      </c>
      <c r="D27" s="4" t="inlineStr">
        <is>
          <t>설계</t>
        </is>
      </c>
      <c r="E27" s="4" t="inlineStr">
        <is>
          <t>BIM컨설팅</t>
        </is>
      </c>
      <c r="F27" s="4" t="inlineStr">
        <is>
          <t>컨설팅본부</t>
        </is>
      </c>
      <c r="G27" s="23" t="inlineStr">
        <is>
          <t>대리</t>
        </is>
      </c>
      <c r="H27" s="24" t="inlineStr">
        <is>
          <t>G2</t>
        </is>
      </c>
      <c r="I27" s="23" t="inlineStr">
        <is>
          <t>2019-10-15</t>
        </is>
      </c>
      <c r="J27" s="20">
        <f>IFERROR(ROUND((TODAY()-DATEVALUE(I27))/365,1),"")</f>
        <v/>
      </c>
      <c r="K27" s="25" t="n">
        <v>42500000</v>
      </c>
      <c r="L27" s="20">
        <f>IFERROR(INDEX('15_직원별책무매핑'!$E:$E,MATCH(B27,'15_직원별책무매핑'!$B:$B,0)),0)</f>
        <v/>
      </c>
      <c r="M27" s="7">
        <f>E27&amp;"_"&amp;H27</f>
        <v/>
      </c>
      <c r="N27" s="4" t="inlineStr"/>
    </row>
    <row r="28" ht="22" customHeight="1">
      <c r="A28" s="17" t="n">
        <v>23</v>
      </c>
      <c r="B28" s="23" t="inlineStr">
        <is>
          <t>BSS-023</t>
        </is>
      </c>
      <c r="C28" s="4" t="inlineStr">
        <is>
          <t>김성민</t>
        </is>
      </c>
      <c r="D28" s="4" t="inlineStr">
        <is>
          <t>설계</t>
        </is>
      </c>
      <c r="E28" s="4" t="inlineStr">
        <is>
          <t>BIM컨설팅</t>
        </is>
      </c>
      <c r="F28" s="4" t="inlineStr">
        <is>
          <t>컨설팅본부</t>
        </is>
      </c>
      <c r="G28" s="23" t="inlineStr">
        <is>
          <t>대리</t>
        </is>
      </c>
      <c r="H28" s="24" t="inlineStr">
        <is>
          <t>G2</t>
        </is>
      </c>
      <c r="I28" s="23" t="inlineStr">
        <is>
          <t>2019-11-22</t>
        </is>
      </c>
      <c r="J28" s="20">
        <f>IFERROR(ROUND((TODAY()-DATEVALUE(I28))/365,1),"")</f>
        <v/>
      </c>
      <c r="K28" s="25" t="n">
        <v>42500000</v>
      </c>
      <c r="L28" s="20">
        <f>IFERROR(INDEX('15_직원별책무매핑'!$E:$E,MATCH(B28,'15_직원별책무매핑'!$B:$B,0)),0)</f>
        <v/>
      </c>
      <c r="M28" s="7">
        <f>E28&amp;"_"&amp;H28</f>
        <v/>
      </c>
      <c r="N28" s="4" t="inlineStr"/>
    </row>
    <row r="29" ht="22" customHeight="1">
      <c r="A29" s="17" t="n">
        <v>24</v>
      </c>
      <c r="B29" s="23" t="inlineStr">
        <is>
          <t>BSS-024</t>
        </is>
      </c>
      <c r="C29" s="4" t="inlineStr">
        <is>
          <t>고광우</t>
        </is>
      </c>
      <c r="D29" s="4" t="inlineStr">
        <is>
          <t>설계</t>
        </is>
      </c>
      <c r="E29" s="4" t="inlineStr">
        <is>
          <t>BIM컨설팅</t>
        </is>
      </c>
      <c r="F29" s="4" t="inlineStr">
        <is>
          <t>컨설팅본부</t>
        </is>
      </c>
      <c r="G29" s="23" t="inlineStr">
        <is>
          <t>대리</t>
        </is>
      </c>
      <c r="H29" s="24" t="inlineStr">
        <is>
          <t>G2</t>
        </is>
      </c>
      <c r="I29" s="23" t="inlineStr">
        <is>
          <t>2019-12-01</t>
        </is>
      </c>
      <c r="J29" s="20">
        <f>IFERROR(ROUND((TODAY()-DATEVALUE(I29))/365,1),"")</f>
        <v/>
      </c>
      <c r="K29" s="25" t="n">
        <v>42500000</v>
      </c>
      <c r="L29" s="20">
        <f>IFERROR(INDEX('15_직원별책무매핑'!$E:$E,MATCH(B29,'15_직원별책무매핑'!$B:$B,0)),0)</f>
        <v/>
      </c>
      <c r="M29" s="7">
        <f>E29&amp;"_"&amp;H29</f>
        <v/>
      </c>
      <c r="N29" s="4" t="inlineStr"/>
    </row>
    <row r="30" ht="22" customHeight="1">
      <c r="A30" s="17" t="n">
        <v>25</v>
      </c>
      <c r="B30" s="23" t="inlineStr">
        <is>
          <t>BSS-025</t>
        </is>
      </c>
      <c r="C30" s="4" t="inlineStr">
        <is>
          <t>김성수</t>
        </is>
      </c>
      <c r="D30" s="4" t="inlineStr">
        <is>
          <t>연구&amp;개발</t>
        </is>
      </c>
      <c r="E30" s="4" t="inlineStr">
        <is>
          <t>연구개발(R&amp;D)</t>
        </is>
      </c>
      <c r="F30" s="4" t="inlineStr">
        <is>
          <t>컨설팅본부</t>
        </is>
      </c>
      <c r="G30" s="23" t="inlineStr">
        <is>
          <t>대리</t>
        </is>
      </c>
      <c r="H30" s="24" t="inlineStr">
        <is>
          <t>G2</t>
        </is>
      </c>
      <c r="I30" s="23" t="inlineStr">
        <is>
          <t>2020-01-08</t>
        </is>
      </c>
      <c r="J30" s="20">
        <f>IFERROR(ROUND((TODAY()-DATEVALUE(I30))/365,1),"")</f>
        <v/>
      </c>
      <c r="K30" s="25" t="n">
        <v>42500000</v>
      </c>
      <c r="L30" s="20">
        <f>IFERROR(INDEX('15_직원별책무매핑'!$E:$E,MATCH(B30,'15_직원별책무매핑'!$B:$B,0)),0)</f>
        <v/>
      </c>
      <c r="M30" s="7">
        <f>E30&amp;"_"&amp;H30</f>
        <v/>
      </c>
      <c r="N30" s="4" t="inlineStr"/>
    </row>
    <row r="31" ht="22" customHeight="1">
      <c r="A31" s="17" t="n">
        <v>26</v>
      </c>
      <c r="B31" s="23" t="inlineStr">
        <is>
          <t>BSS-026</t>
        </is>
      </c>
      <c r="C31" s="4" t="inlineStr">
        <is>
          <t>박진희</t>
        </is>
      </c>
      <c r="D31" s="4" t="inlineStr">
        <is>
          <t>경영관리</t>
        </is>
      </c>
      <c r="E31" s="4" t="inlineStr">
        <is>
          <t>경영전략기획</t>
        </is>
      </c>
      <c r="F31" s="4" t="inlineStr">
        <is>
          <t>마케팅팀</t>
        </is>
      </c>
      <c r="G31" s="23" t="inlineStr">
        <is>
          <t>주임</t>
        </is>
      </c>
      <c r="H31" s="24" t="inlineStr">
        <is>
          <t>G1</t>
        </is>
      </c>
      <c r="I31" s="23" t="inlineStr">
        <is>
          <t>2020-02-15</t>
        </is>
      </c>
      <c r="J31" s="20">
        <f>IFERROR(ROUND((TODAY()-DATEVALUE(I31))/365,1),"")</f>
        <v/>
      </c>
      <c r="K31" s="25" t="n">
        <v>34935000</v>
      </c>
      <c r="L31" s="20">
        <f>IFERROR(INDEX('15_직원별책무매핑'!$E:$E,MATCH(B31,'15_직원별책무매핑'!$B:$B,0)),0)</f>
        <v/>
      </c>
      <c r="M31" s="7">
        <f>E31&amp;"_"&amp;H31</f>
        <v/>
      </c>
      <c r="N31" s="4" t="inlineStr"/>
    </row>
    <row r="32" ht="22" customHeight="1">
      <c r="A32" s="17" t="n">
        <v>27</v>
      </c>
      <c r="B32" s="23" t="inlineStr">
        <is>
          <t>BSS-027</t>
        </is>
      </c>
      <c r="C32" s="4" t="inlineStr">
        <is>
          <t>장은한</t>
        </is>
      </c>
      <c r="D32" s="4" t="inlineStr">
        <is>
          <t>교육 및 기술지원</t>
        </is>
      </c>
      <c r="E32" s="4" t="inlineStr">
        <is>
          <t>교육</t>
        </is>
      </c>
      <c r="F32" s="4" t="inlineStr">
        <is>
          <t>솔루션본부</t>
        </is>
      </c>
      <c r="G32" s="23" t="inlineStr">
        <is>
          <t>주임</t>
        </is>
      </c>
      <c r="H32" s="24" t="inlineStr">
        <is>
          <t>G2</t>
        </is>
      </c>
      <c r="I32" s="23" t="inlineStr">
        <is>
          <t>2020-03-22</t>
        </is>
      </c>
      <c r="J32" s="20">
        <f>IFERROR(ROUND((TODAY()-DATEVALUE(I32))/365,1),"")</f>
        <v/>
      </c>
      <c r="K32" s="25" t="n">
        <v>35000000</v>
      </c>
      <c r="L32" s="20">
        <f>IFERROR(INDEX('15_직원별책무매핑'!$E:$E,MATCH(B32,'15_직원별책무매핑'!$B:$B,0)),0)</f>
        <v/>
      </c>
      <c r="M32" s="7">
        <f>E32&amp;"_"&amp;H32</f>
        <v/>
      </c>
      <c r="N32" s="4" t="inlineStr"/>
    </row>
    <row r="33" ht="22" customHeight="1">
      <c r="A33" s="17" t="n">
        <v>28</v>
      </c>
      <c r="B33" s="23" t="inlineStr">
        <is>
          <t>BSS-028</t>
        </is>
      </c>
      <c r="C33" s="4" t="inlineStr">
        <is>
          <t>김현수</t>
        </is>
      </c>
      <c r="D33" s="4" t="inlineStr">
        <is>
          <t>설계</t>
        </is>
      </c>
      <c r="E33" s="4" t="inlineStr">
        <is>
          <t>BIM컨설팅</t>
        </is>
      </c>
      <c r="F33" s="4" t="inlineStr">
        <is>
          <t>컨설팅본부</t>
        </is>
      </c>
      <c r="G33" s="23" t="inlineStr">
        <is>
          <t>주임</t>
        </is>
      </c>
      <c r="H33" s="24" t="inlineStr">
        <is>
          <t>G1</t>
        </is>
      </c>
      <c r="I33" s="23" t="inlineStr">
        <is>
          <t>2020-04-01</t>
        </is>
      </c>
      <c r="J33" s="20">
        <f>IFERROR(ROUND((TODAY()-DATEVALUE(I33))/365,1),"")</f>
        <v/>
      </c>
      <c r="K33" s="25" t="n">
        <v>36000000</v>
      </c>
      <c r="L33" s="20">
        <f>IFERROR(INDEX('15_직원별책무매핑'!$E:$E,MATCH(B33,'15_직원별책무매핑'!$B:$B,0)),0)</f>
        <v/>
      </c>
      <c r="M33" s="7">
        <f>E33&amp;"_"&amp;H33</f>
        <v/>
      </c>
      <c r="N33" s="4" t="inlineStr"/>
    </row>
    <row r="34" ht="22" customHeight="1">
      <c r="A34" s="17" t="n">
        <v>29</v>
      </c>
      <c r="B34" s="23" t="inlineStr">
        <is>
          <t>BSS-029</t>
        </is>
      </c>
      <c r="C34" s="4" t="inlineStr">
        <is>
          <t>콜셍홍</t>
        </is>
      </c>
      <c r="D34" s="4" t="inlineStr">
        <is>
          <t>설계</t>
        </is>
      </c>
      <c r="E34" s="4" t="inlineStr">
        <is>
          <t>BIM컨설팅</t>
        </is>
      </c>
      <c r="F34" s="4" t="inlineStr">
        <is>
          <t>컨설팅본부</t>
        </is>
      </c>
      <c r="G34" s="23" t="inlineStr">
        <is>
          <t>주임</t>
        </is>
      </c>
      <c r="H34" s="24" t="inlineStr">
        <is>
          <t>G1</t>
        </is>
      </c>
      <c r="I34" s="23" t="inlineStr">
        <is>
          <t>2021-05-08</t>
        </is>
      </c>
      <c r="J34" s="20">
        <f>IFERROR(ROUND((TODAY()-DATEVALUE(I34))/365,1),"")</f>
        <v/>
      </c>
      <c r="K34" s="25" t="n">
        <v>36000000</v>
      </c>
      <c r="L34" s="20">
        <f>IFERROR(INDEX('15_직원별책무매핑'!$E:$E,MATCH(B34,'15_직원별책무매핑'!$B:$B,0)),0)</f>
        <v/>
      </c>
      <c r="M34" s="7">
        <f>E34&amp;"_"&amp;H34</f>
        <v/>
      </c>
      <c r="N34" s="4" t="inlineStr"/>
    </row>
    <row r="35" ht="22" customHeight="1">
      <c r="A35" s="17" t="n">
        <v>30</v>
      </c>
      <c r="B35" s="23" t="inlineStr">
        <is>
          <t>BSS-030</t>
        </is>
      </c>
      <c r="C35" s="4" t="inlineStr">
        <is>
          <t>안성진</t>
        </is>
      </c>
      <c r="D35" s="4" t="inlineStr">
        <is>
          <t>설계</t>
        </is>
      </c>
      <c r="E35" s="4" t="inlineStr">
        <is>
          <t>BIM컨설팅</t>
        </is>
      </c>
      <c r="F35" s="4" t="inlineStr">
        <is>
          <t>컨설팅본부</t>
        </is>
      </c>
      <c r="G35" s="23" t="inlineStr">
        <is>
          <t>주임</t>
        </is>
      </c>
      <c r="H35" s="24" t="inlineStr">
        <is>
          <t>G1</t>
        </is>
      </c>
      <c r="I35" s="23" t="inlineStr">
        <is>
          <t>2021-06-15</t>
        </is>
      </c>
      <c r="J35" s="20">
        <f>IFERROR(ROUND((TODAY()-DATEVALUE(I35))/365,1),"")</f>
        <v/>
      </c>
      <c r="K35" s="25" t="n">
        <v>36540000</v>
      </c>
      <c r="L35" s="20">
        <f>IFERROR(INDEX('15_직원별책무매핑'!$E:$E,MATCH(B35,'15_직원별책무매핑'!$B:$B,0)),0)</f>
        <v/>
      </c>
      <c r="M35" s="7">
        <f>E35&amp;"_"&amp;H35</f>
        <v/>
      </c>
      <c r="N35" s="4" t="inlineStr"/>
    </row>
    <row r="36" ht="22" customHeight="1">
      <c r="A36" s="17" t="n">
        <v>31</v>
      </c>
      <c r="B36" s="23" t="inlineStr">
        <is>
          <t>BSS-031</t>
        </is>
      </c>
      <c r="C36" s="4" t="inlineStr">
        <is>
          <t>이정일</t>
        </is>
      </c>
      <c r="D36" s="4" t="inlineStr">
        <is>
          <t>설계</t>
        </is>
      </c>
      <c r="E36" s="4" t="inlineStr">
        <is>
          <t>BIM컨설팅</t>
        </is>
      </c>
      <c r="F36" s="4" t="inlineStr">
        <is>
          <t>컨설팅본부</t>
        </is>
      </c>
      <c r="G36" s="23" t="inlineStr">
        <is>
          <t>주임</t>
        </is>
      </c>
      <c r="H36" s="24" t="inlineStr">
        <is>
          <t>G1</t>
        </is>
      </c>
      <c r="I36" s="23" t="inlineStr">
        <is>
          <t>2021-07-22</t>
        </is>
      </c>
      <c r="J36" s="20">
        <f>IFERROR(ROUND((TODAY()-DATEVALUE(I36))/365,1),"")</f>
        <v/>
      </c>
      <c r="K36" s="25" t="n">
        <v>37090000</v>
      </c>
      <c r="L36" s="20">
        <f>IFERROR(INDEX('15_직원별책무매핑'!$E:$E,MATCH(B36,'15_직원별책무매핑'!$B:$B,0)),0)</f>
        <v/>
      </c>
      <c r="M36" s="7">
        <f>E36&amp;"_"&amp;H36</f>
        <v/>
      </c>
      <c r="N36" s="4" t="inlineStr"/>
    </row>
    <row r="37" ht="22" customHeight="1">
      <c r="A37" s="17" t="n">
        <v>32</v>
      </c>
      <c r="B37" s="23" t="inlineStr">
        <is>
          <t>BSS-032</t>
        </is>
      </c>
      <c r="C37" s="4" t="inlineStr">
        <is>
          <t>안재성</t>
        </is>
      </c>
      <c r="D37" s="4" t="inlineStr">
        <is>
          <t>설계</t>
        </is>
      </c>
      <c r="E37" s="4" t="inlineStr">
        <is>
          <t>BIM컨설팅</t>
        </is>
      </c>
      <c r="F37" s="4" t="inlineStr">
        <is>
          <t>컨설팅본부</t>
        </is>
      </c>
      <c r="G37" s="23" t="inlineStr">
        <is>
          <t>사원</t>
        </is>
      </c>
      <c r="H37" s="24" t="inlineStr">
        <is>
          <t>G1</t>
        </is>
      </c>
      <c r="I37" s="23" t="inlineStr">
        <is>
          <t>2021-08-01</t>
        </is>
      </c>
      <c r="J37" s="20">
        <f>IFERROR(ROUND((TODAY()-DATEVALUE(I37))/365,1),"")</f>
        <v/>
      </c>
      <c r="K37" s="25" t="n">
        <v>32000000</v>
      </c>
      <c r="L37" s="20">
        <f>IFERROR(INDEX('15_직원별책무매핑'!$E:$E,MATCH(B37,'15_직원별책무매핑'!$B:$B,0)),0)</f>
        <v/>
      </c>
      <c r="M37" s="7">
        <f>E37&amp;"_"&amp;H37</f>
        <v/>
      </c>
      <c r="N37" s="4" t="inlineStr"/>
    </row>
    <row r="38" ht="22" customHeight="1">
      <c r="A38" s="17" t="n">
        <v>33</v>
      </c>
      <c r="B38" s="23" t="inlineStr">
        <is>
          <t>BSS-033</t>
        </is>
      </c>
      <c r="C38" s="4" t="inlineStr">
        <is>
          <t>유태석</t>
        </is>
      </c>
      <c r="D38" s="4" t="inlineStr">
        <is>
          <t>설계</t>
        </is>
      </c>
      <c r="E38" s="4" t="inlineStr">
        <is>
          <t>BIM컨설팅</t>
        </is>
      </c>
      <c r="F38" s="4" t="inlineStr">
        <is>
          <t>컨설팅본부</t>
        </is>
      </c>
      <c r="G38" s="23" t="inlineStr">
        <is>
          <t>사원</t>
        </is>
      </c>
      <c r="H38" s="24" t="inlineStr">
        <is>
          <t>G1</t>
        </is>
      </c>
      <c r="I38" s="23" t="inlineStr">
        <is>
          <t>2022-09-08</t>
        </is>
      </c>
      <c r="J38" s="20">
        <f>IFERROR(ROUND((TODAY()-DATEVALUE(I38))/365,1),"")</f>
        <v/>
      </c>
      <c r="K38" s="25" t="n">
        <v>32000000</v>
      </c>
      <c r="L38" s="20">
        <f>IFERROR(INDEX('15_직원별책무매핑'!$E:$E,MATCH(B38,'15_직원별책무매핑'!$B:$B,0)),0)</f>
        <v/>
      </c>
      <c r="M38" s="7">
        <f>E38&amp;"_"&amp;H38</f>
        <v/>
      </c>
      <c r="N38" s="4" t="inlineStr"/>
    </row>
    <row r="39" ht="22" customHeight="1">
      <c r="A39" s="17" t="n">
        <v>34</v>
      </c>
      <c r="B39" s="23" t="inlineStr">
        <is>
          <t>BSS-034</t>
        </is>
      </c>
      <c r="C39" s="4" t="inlineStr">
        <is>
          <t>엄보근</t>
        </is>
      </c>
      <c r="D39" s="4" t="inlineStr">
        <is>
          <t>설계</t>
        </is>
      </c>
      <c r="E39" s="4" t="inlineStr">
        <is>
          <t>BIM컨설팅</t>
        </is>
      </c>
      <c r="F39" s="4" t="inlineStr">
        <is>
          <t>컨설팅본부</t>
        </is>
      </c>
      <c r="G39" s="23" t="inlineStr">
        <is>
          <t>사원</t>
        </is>
      </c>
      <c r="H39" s="24" t="inlineStr">
        <is>
          <t>G1</t>
        </is>
      </c>
      <c r="I39" s="23" t="inlineStr">
        <is>
          <t>2022-10-15</t>
        </is>
      </c>
      <c r="J39" s="20">
        <f>IFERROR(ROUND((TODAY()-DATEVALUE(I39))/365,1),"")</f>
        <v/>
      </c>
      <c r="K39" s="25" t="n">
        <v>32000000</v>
      </c>
      <c r="L39" s="20">
        <f>IFERROR(INDEX('15_직원별책무매핑'!$E:$E,MATCH(B39,'15_직원별책무매핑'!$B:$B,0)),0)</f>
        <v/>
      </c>
      <c r="M39" s="7">
        <f>E39&amp;"_"&amp;H39</f>
        <v/>
      </c>
      <c r="N39" s="4" t="inlineStr"/>
    </row>
    <row r="40"/>
    <row r="41"/>
    <row r="42">
      <c r="A42" s="26" t="inlineStr">
        <is>
          <t>■ 자동 통계 (역할등급별/직군별/부서별)</t>
        </is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9" t="n"/>
    </row>
    <row r="43">
      <c r="A43" s="14" t="inlineStr">
        <is>
          <t>역할등급</t>
        </is>
      </c>
      <c r="B43" s="14" t="inlineStr">
        <is>
          <t>인원</t>
        </is>
      </c>
      <c r="L43">
        <f>IFERROR(INDEX('15_직원별책무매핑'!$E:$E,MATCH(B43,'15_직원별책무매핑'!$B:$B,0)),0)</f>
        <v/>
      </c>
    </row>
    <row r="44">
      <c r="A44" s="27" t="inlineStr">
        <is>
          <t>G6</t>
        </is>
      </c>
      <c r="B44" s="20">
        <f>COUNTIF(H6:H85,"G6")</f>
        <v/>
      </c>
      <c r="L44">
        <f>IFERROR(INDEX('15_직원별책무매핑'!$E:$E,MATCH(B44,'15_직원별책무매핑'!$B:$B,0)),0)</f>
        <v/>
      </c>
    </row>
    <row r="45">
      <c r="A45" s="27" t="inlineStr">
        <is>
          <t>G5-M</t>
        </is>
      </c>
      <c r="B45" s="20">
        <f>COUNTIF(H6:H85,"G5-M")</f>
        <v/>
      </c>
      <c r="L45">
        <f>IFERROR(INDEX('15_직원별책무매핑'!$E:$E,MATCH(B45,'15_직원별책무매핑'!$B:$B,0)),0)</f>
        <v/>
      </c>
    </row>
    <row r="46">
      <c r="A46" s="27" t="inlineStr">
        <is>
          <t>G5-S</t>
        </is>
      </c>
      <c r="B46" s="20">
        <f>COUNTIF(H6:H85,"G5-S")</f>
        <v/>
      </c>
      <c r="L46">
        <f>IFERROR(INDEX('15_직원별책무매핑'!$E:$E,MATCH(B46,'15_직원별책무매핑'!$B:$B,0)),0)</f>
        <v/>
      </c>
    </row>
    <row r="47">
      <c r="A47" s="27" t="inlineStr">
        <is>
          <t>G4</t>
        </is>
      </c>
      <c r="B47" s="20">
        <f>COUNTIF(H6:H85,"G4")</f>
        <v/>
      </c>
      <c r="L47">
        <f>IFERROR(INDEX('15_직원별책무매핑'!$E:$E,MATCH(B47,'15_직원별책무매핑'!$B:$B,0)),0)</f>
        <v/>
      </c>
    </row>
    <row r="48">
      <c r="A48" s="27" t="inlineStr">
        <is>
          <t>G3</t>
        </is>
      </c>
      <c r="B48" s="20">
        <f>COUNTIF(H6:H85,"G3")</f>
        <v/>
      </c>
      <c r="L48">
        <f>IFERROR(INDEX('15_직원별책무매핑'!$E:$E,MATCH(B48,'15_직원별책무매핑'!$B:$B,0)),0)</f>
        <v/>
      </c>
    </row>
    <row r="49">
      <c r="A49" s="27" t="inlineStr">
        <is>
          <t>G2</t>
        </is>
      </c>
      <c r="B49" s="20">
        <f>COUNTIF(H6:H85,"G2")</f>
        <v/>
      </c>
      <c r="L49">
        <f>IFERROR(INDEX('15_직원별책무매핑'!$E:$E,MATCH(B49,'15_직원별책무매핑'!$B:$B,0)),0)</f>
        <v/>
      </c>
    </row>
    <row r="50">
      <c r="A50" s="27" t="inlineStr">
        <is>
          <t>G1</t>
        </is>
      </c>
      <c r="B50" s="20">
        <f>COUNTIF(H6:H85,"G1")</f>
        <v/>
      </c>
    </row>
  </sheetData>
  <mergeCells count="3">
    <mergeCell ref="A42:N42"/>
    <mergeCell ref="A2:N2"/>
    <mergeCell ref="A1:N1"/>
  </mergeCells>
  <dataValidations count="1">
    <dataValidation sqref="H6:H85" showDropDown="0" showInputMessage="0" showErrorMessage="0" allowBlank="0" type="list">
      <formula1>"G6,G5-M,G5-S,G4,G3,G2,G1"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  <col width="10" customWidth="1" min="6" max="6"/>
    <col width="30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" t="inlineStr">
        <is>
          <t>HR 의사결정 컨피그 (가중치·인상률·페이밴드)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9" t="n"/>
    </row>
    <row r="2" ht="22" customHeight="1">
      <c r="A2" s="2" t="inlineStr">
        <is>
          <t>이 시트에서 가중치·인상률·페이밴드를 정의. 모든 산출 시트가 자동 참조합니다.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</row>
    <row r="4" ht="24" customHeight="1">
      <c r="A4" s="3" t="inlineStr">
        <is>
          <t>■ ① 평가 방식·반기 가중치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9" t="n"/>
    </row>
    <row r="5">
      <c r="A5" s="5" t="inlineStr">
        <is>
          <t>평가 척도</t>
        </is>
      </c>
      <c r="B5" s="23" t="inlineStr">
        <is>
          <t>5점</t>
        </is>
      </c>
      <c r="C5" s="6" t="inlineStr">
        <is>
          <t>5점 또는 100점 (전 시트 일괄 적용)</t>
        </is>
      </c>
      <c r="D5" s="18" t="n"/>
      <c r="E5" s="18" t="n"/>
      <c r="F5" s="18" t="n"/>
      <c r="G5" s="18" t="n"/>
      <c r="H5" s="18" t="n"/>
      <c r="I5" s="18" t="n"/>
      <c r="J5" s="19" t="n"/>
    </row>
    <row r="6">
      <c r="A6" s="5" t="inlineStr">
        <is>
          <t>평가 방식</t>
        </is>
      </c>
      <c r="B6" s="23" t="inlineStr">
        <is>
          <t>절대평가</t>
        </is>
      </c>
      <c r="C6" s="6" t="inlineStr">
        <is>
          <t>절대평가: 점수→등급 환산 / 상대평가: 분포 강제</t>
        </is>
      </c>
      <c r="D6" s="18" t="n"/>
      <c r="E6" s="18" t="n"/>
      <c r="F6" s="18" t="n"/>
      <c r="G6" s="18" t="n"/>
      <c r="H6" s="18" t="n"/>
      <c r="I6" s="18" t="n"/>
      <c r="J6" s="19" t="n"/>
    </row>
    <row r="7">
      <c r="A7" s="5" t="inlineStr">
        <is>
          <t>상반기 가중치</t>
        </is>
      </c>
      <c r="B7" s="28" t="n">
        <v>0.5</v>
      </c>
      <c r="C7" s="6" t="inlineStr">
        <is>
          <t>평가차수별 가중치</t>
        </is>
      </c>
      <c r="D7" s="18" t="n"/>
      <c r="E7" s="18" t="n"/>
      <c r="F7" s="18" t="n"/>
      <c r="G7" s="18" t="n"/>
      <c r="H7" s="18" t="n"/>
      <c r="I7" s="18" t="n"/>
      <c r="J7" s="19" t="n"/>
    </row>
    <row r="8">
      <c r="A8" s="5" t="inlineStr">
        <is>
          <t>하반기 가중치</t>
        </is>
      </c>
      <c r="B8" s="23">
        <f>1-B7</f>
        <v/>
      </c>
      <c r="C8" s="6" t="inlineStr">
        <is>
          <t>자동 계산</t>
        </is>
      </c>
      <c r="D8" s="18" t="n"/>
      <c r="E8" s="18" t="n"/>
      <c r="F8" s="18" t="n"/>
      <c r="G8" s="18" t="n"/>
      <c r="H8" s="18" t="n"/>
      <c r="I8" s="18" t="n"/>
      <c r="J8" s="19" t="n"/>
    </row>
    <row r="10" ht="24" customHeight="1">
      <c r="A10" s="5" t="inlineStr">
        <is>
          <t>강제분포 비중</t>
        </is>
      </c>
      <c r="B10" s="14" t="inlineStr">
        <is>
          <t>S</t>
        </is>
      </c>
      <c r="C10" s="14" t="inlineStr">
        <is>
          <t>A</t>
        </is>
      </c>
      <c r="D10" s="14" t="inlineStr">
        <is>
          <t>B</t>
        </is>
      </c>
      <c r="E10" s="14" t="inlineStr">
        <is>
          <t>C</t>
        </is>
      </c>
      <c r="F10" s="14" t="inlineStr">
        <is>
          <t>D</t>
        </is>
      </c>
    </row>
    <row r="11">
      <c r="B11" s="29" t="n">
        <v>0.1</v>
      </c>
      <c r="C11" s="29" t="n">
        <v>0.15</v>
      </c>
      <c r="D11" s="29" t="n">
        <v>0.5</v>
      </c>
      <c r="E11" s="29" t="n">
        <v>0.15</v>
      </c>
      <c r="F11" s="29" t="n">
        <v>0.1</v>
      </c>
    </row>
    <row r="14" ht="24" customHeight="1">
      <c r="A14" s="3" t="inlineStr">
        <is>
          <t>■ ② 직급별 3축 평가 가중치 (역할 + 공통역량 + 직무역량 = 100%) ★ G5-M/G5-S 분리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9" t="n"/>
    </row>
    <row r="15" ht="28" customHeight="1">
      <c r="A15" s="14" t="inlineStr">
        <is>
          <t>역할등급</t>
        </is>
      </c>
      <c r="B15" s="14" t="inlineStr">
        <is>
          <t>역할평가 W</t>
        </is>
      </c>
      <c r="C15" s="14" t="inlineStr">
        <is>
          <t>공통역량 W</t>
        </is>
      </c>
      <c r="D15" s="14" t="inlineStr">
        <is>
          <t>직무역량 W</t>
        </is>
      </c>
      <c r="E15" s="14" t="inlineStr">
        <is>
          <t>합계</t>
        </is>
      </c>
      <c r="F15" s="14" t="inlineStr">
        <is>
          <t>검증</t>
        </is>
      </c>
      <c r="G15" s="14" t="inlineStr">
        <is>
          <t>설계 의도</t>
        </is>
      </c>
    </row>
    <row r="16">
      <c r="A16" s="27" t="inlineStr">
        <is>
          <t>G6</t>
        </is>
      </c>
      <c r="B16" s="29" t="n">
        <v>0.4</v>
      </c>
      <c r="C16" s="29" t="n">
        <v>0.25</v>
      </c>
      <c r="D16" s="29" t="n">
        <v>0.35</v>
      </c>
      <c r="E16" s="30">
        <f>B16+C16+D16</f>
        <v/>
      </c>
      <c r="F16" s="20">
        <f>IF(E16=1,"✓ OK","✗ ≠100%")</f>
        <v/>
      </c>
      <c r="G16" s="6" t="inlineStr">
        <is>
          <t>경영성과 책임·전사 의사결정 중심</t>
        </is>
      </c>
      <c r="H16" s="18" t="n"/>
      <c r="I16" s="18" t="n"/>
      <c r="J16" s="19" t="n"/>
    </row>
    <row r="17">
      <c r="A17" s="27" t="inlineStr">
        <is>
          <t>G5-M</t>
        </is>
      </c>
      <c r="B17" s="29" t="n">
        <v>0.35</v>
      </c>
      <c r="C17" s="29" t="n">
        <v>0.3</v>
      </c>
      <c r="D17" s="29" t="n">
        <v>0.35</v>
      </c>
      <c r="E17" s="30">
        <f>B17+C17+D17</f>
        <v/>
      </c>
      <c r="F17" s="20">
        <f>IF(E17=1,"✓ OK","✗ ≠100%")</f>
        <v/>
      </c>
      <c r="G17" s="6" t="inlineStr">
        <is>
          <t>조직 관리·부서장 성과 책임</t>
        </is>
      </c>
      <c r="H17" s="18" t="n"/>
      <c r="I17" s="18" t="n"/>
      <c r="J17" s="19" t="n"/>
    </row>
    <row r="18">
      <c r="A18" s="27" t="inlineStr">
        <is>
          <t>G5-S</t>
        </is>
      </c>
      <c r="B18" s="29" t="n">
        <v>0.3</v>
      </c>
      <c r="C18" s="29" t="n">
        <v>0.3</v>
      </c>
      <c r="D18" s="29" t="n">
        <v>0.4</v>
      </c>
      <c r="E18" s="30">
        <f>B18+C18+D18</f>
        <v/>
      </c>
      <c r="F18" s="20">
        <f>IF(E18=1,"✓ OK","✗ ≠100%")</f>
        <v/>
      </c>
      <c r="G18" s="6" t="inlineStr">
        <is>
          <t>실무 스페셜리스트·전문성 강조</t>
        </is>
      </c>
      <c r="H18" s="18" t="n"/>
      <c r="I18" s="18" t="n"/>
      <c r="J18" s="19" t="n"/>
    </row>
    <row r="19">
      <c r="A19" s="27" t="inlineStr">
        <is>
          <t>G4</t>
        </is>
      </c>
      <c r="B19" s="29" t="n">
        <v>0.3</v>
      </c>
      <c r="C19" s="29" t="n">
        <v>0.3</v>
      </c>
      <c r="D19" s="29" t="n">
        <v>0.4</v>
      </c>
      <c r="E19" s="30">
        <f>B19+C19+D19</f>
        <v/>
      </c>
      <c r="F19" s="20">
        <f>IF(E19=1,"✓ OK","✗ ≠100%")</f>
        <v/>
      </c>
      <c r="G19" s="6" t="inlineStr">
        <is>
          <t>실무 책임자, 직무역량 강조</t>
        </is>
      </c>
      <c r="H19" s="18" t="n"/>
      <c r="I19" s="18" t="n"/>
      <c r="J19" s="19" t="n"/>
    </row>
    <row r="20">
      <c r="A20" s="27" t="inlineStr">
        <is>
          <t>G3</t>
        </is>
      </c>
      <c r="B20" s="29" t="n">
        <v>0.25</v>
      </c>
      <c r="C20" s="29" t="n">
        <v>0.3</v>
      </c>
      <c r="D20" s="29" t="n">
        <v>0.45</v>
      </c>
      <c r="E20" s="30">
        <f>B20+C20+D20</f>
        <v/>
      </c>
      <c r="F20" s="20">
        <f>IF(E20=1,"✓ OK","✗ ≠100%")</f>
        <v/>
      </c>
      <c r="G20" s="6" t="inlineStr">
        <is>
          <t>핵심 실무자, 직무 깊이 가중</t>
        </is>
      </c>
      <c r="H20" s="18" t="n"/>
      <c r="I20" s="18" t="n"/>
      <c r="J20" s="19" t="n"/>
    </row>
    <row r="21">
      <c r="A21" s="27" t="inlineStr">
        <is>
          <t>G2</t>
        </is>
      </c>
      <c r="B21" s="29" t="n">
        <v>0.2</v>
      </c>
      <c r="C21" s="29" t="n">
        <v>0.35</v>
      </c>
      <c r="D21" s="29" t="n">
        <v>0.45</v>
      </c>
      <c r="E21" s="30">
        <f>B21+C21+D21</f>
        <v/>
      </c>
      <c r="F21" s="20">
        <f>IF(E21=1,"✓ OK","✗ ≠100%")</f>
        <v/>
      </c>
      <c r="G21" s="6" t="inlineStr">
        <is>
          <t>실무자, 역량 개발 집중</t>
        </is>
      </c>
      <c r="H21" s="18" t="n"/>
      <c r="I21" s="18" t="n"/>
      <c r="J21" s="19" t="n"/>
    </row>
    <row r="22">
      <c r="A22" s="27" t="inlineStr">
        <is>
          <t>G1</t>
        </is>
      </c>
      <c r="B22" s="29" t="n">
        <v>0.15</v>
      </c>
      <c r="C22" s="29" t="n">
        <v>0.35</v>
      </c>
      <c r="D22" s="29" t="n">
        <v>0.5</v>
      </c>
      <c r="E22" s="30">
        <f>B22+C22+D22</f>
        <v/>
      </c>
      <c r="F22" s="20">
        <f>IF(E22=1,"✓ OK","✗ ≠100%")</f>
        <v/>
      </c>
      <c r="G22" s="6" t="inlineStr">
        <is>
          <t>신입·실무 보조, 기본기 학습</t>
        </is>
      </c>
      <c r="H22" s="18" t="n"/>
      <c r="I22" s="18" t="n"/>
      <c r="J22" s="19" t="n"/>
    </row>
    <row r="24" ht="24" customHeight="1">
      <c r="A24" s="3" t="inlineStr">
        <is>
          <t>■ ③ 평가 등급별 인상률·성과급률</t>
        </is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19" t="n"/>
    </row>
    <row r="25">
      <c r="A25" s="14" t="inlineStr">
        <is>
          <t>구분</t>
        </is>
      </c>
      <c r="B25" s="14" t="inlineStr">
        <is>
          <t>S</t>
        </is>
      </c>
      <c r="C25" s="14" t="inlineStr">
        <is>
          <t>A</t>
        </is>
      </c>
      <c r="D25" s="14" t="inlineStr">
        <is>
          <t>B</t>
        </is>
      </c>
      <c r="E25" s="14" t="inlineStr">
        <is>
          <t>C</t>
        </is>
      </c>
      <c r="F25" s="14" t="inlineStr">
        <is>
          <t>D</t>
        </is>
      </c>
      <c r="G25" s="14" t="inlineStr">
        <is>
          <t>비고</t>
        </is>
      </c>
    </row>
    <row r="26">
      <c r="A26" s="5" t="inlineStr">
        <is>
          <t>기본연봉 인상률</t>
        </is>
      </c>
      <c r="B26" s="31" t="n">
        <v>0.06</v>
      </c>
      <c r="C26" s="31" t="n">
        <v>0.05</v>
      </c>
      <c r="D26" s="31" t="n">
        <v>0.04</v>
      </c>
      <c r="E26" s="31" t="n">
        <v>0.03</v>
      </c>
      <c r="F26" s="31" t="n">
        <v>0.02</v>
      </c>
      <c r="G26" s="6" t="inlineStr">
        <is>
          <t>09_보상연계에 자동 반영</t>
        </is>
      </c>
    </row>
    <row r="27">
      <c r="A27" s="5" t="inlineStr">
        <is>
          <t>성과급 지급률</t>
        </is>
      </c>
      <c r="B27" s="29" t="n">
        <v>0.2</v>
      </c>
      <c r="C27" s="29" t="n">
        <v>0.15</v>
      </c>
      <c r="D27" s="29" t="n">
        <v>0.1</v>
      </c>
      <c r="E27" s="29" t="n">
        <v>0.05</v>
      </c>
      <c r="F27" s="29" t="n">
        <v>0</v>
      </c>
      <c r="G27" s="6" t="inlineStr">
        <is>
          <t>10_성과급관리에 자동 반영</t>
        </is>
      </c>
    </row>
    <row r="28">
      <c r="A28" s="5" t="inlineStr">
        <is>
          <t>승진 가산률</t>
        </is>
      </c>
      <c r="B28" s="31" t="n">
        <v>0.01</v>
      </c>
      <c r="C28" s="6" t="inlineStr">
        <is>
          <t>승진(역할등급 상승) 시 기본연봉 인상률에 가산</t>
        </is>
      </c>
      <c r="D28" s="18" t="n"/>
      <c r="E28" s="18" t="n"/>
      <c r="F28" s="19" t="n"/>
      <c r="G28" s="6" t="inlineStr">
        <is>
          <t>Y/N 선택 시 자동 적용</t>
        </is>
      </c>
    </row>
    <row r="30" ht="24" customHeight="1">
      <c r="A30" s="3" t="inlineStr">
        <is>
          <t>■ ④ 페이밴드 (역할등급별 기본연봉 범위)</t>
        </is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9" t="n"/>
    </row>
    <row r="31" ht="28" customHeight="1">
      <c r="A31" s="14" t="inlineStr">
        <is>
          <t>역할등급</t>
        </is>
      </c>
      <c r="B31" s="14" t="inlineStr">
        <is>
          <t>최소(Min)</t>
        </is>
      </c>
      <c r="C31" s="14" t="inlineStr">
        <is>
          <t>중위(Mid)</t>
        </is>
      </c>
      <c r="D31" s="14" t="inlineStr">
        <is>
          <t>최대(Max)</t>
        </is>
      </c>
      <c r="E31" s="14" t="inlineStr">
        <is>
          <t>Range Spread</t>
        </is>
      </c>
    </row>
    <row r="32">
      <c r="A32" s="27" t="inlineStr">
        <is>
          <t>G6</t>
        </is>
      </c>
      <c r="B32" s="25" t="n">
        <v>58000000</v>
      </c>
      <c r="C32" s="25" t="n">
        <v>69000000</v>
      </c>
      <c r="D32" s="25" t="n">
        <v>80000000</v>
      </c>
      <c r="E32" s="32">
        <f>(D32-B32)/B32</f>
        <v/>
      </c>
    </row>
    <row r="33">
      <c r="A33" s="27" t="inlineStr">
        <is>
          <t>G5-M</t>
        </is>
      </c>
      <c r="B33" s="25" t="n">
        <v>53000000</v>
      </c>
      <c r="C33" s="25" t="n">
        <v>63000000</v>
      </c>
      <c r="D33" s="25" t="n">
        <v>73000000</v>
      </c>
      <c r="E33" s="32">
        <f>(D33-B33)/B33</f>
        <v/>
      </c>
    </row>
    <row r="34">
      <c r="A34" s="27" t="inlineStr">
        <is>
          <t>G5-S</t>
        </is>
      </c>
      <c r="B34" s="25" t="n">
        <v>53000000</v>
      </c>
      <c r="C34" s="25" t="n">
        <v>63000000</v>
      </c>
      <c r="D34" s="25" t="n">
        <v>73000000</v>
      </c>
      <c r="E34" s="32">
        <f>(D34-B34)/B34</f>
        <v/>
      </c>
    </row>
    <row r="35">
      <c r="A35" s="27" t="inlineStr">
        <is>
          <t>G4</t>
        </is>
      </c>
      <c r="B35" s="25" t="n">
        <v>49000000</v>
      </c>
      <c r="C35" s="25" t="n">
        <v>57500000</v>
      </c>
      <c r="D35" s="25" t="n">
        <v>66000000</v>
      </c>
      <c r="E35" s="32">
        <f>(D35-B35)/B35</f>
        <v/>
      </c>
    </row>
    <row r="36">
      <c r="A36" s="27" t="inlineStr">
        <is>
          <t>G3</t>
        </is>
      </c>
      <c r="B36" s="25" t="n">
        <v>42000000</v>
      </c>
      <c r="C36" s="25" t="n">
        <v>49500000</v>
      </c>
      <c r="D36" s="25" t="n">
        <v>57000000</v>
      </c>
      <c r="E36" s="32">
        <f>(D36-B36)/B36</f>
        <v/>
      </c>
    </row>
    <row r="37">
      <c r="A37" s="27" t="inlineStr">
        <is>
          <t>G2</t>
        </is>
      </c>
      <c r="B37" s="25" t="n">
        <v>36000000</v>
      </c>
      <c r="C37" s="25" t="n">
        <v>42500000</v>
      </c>
      <c r="D37" s="25" t="n">
        <v>49000000</v>
      </c>
      <c r="E37" s="32">
        <f>(D37-B37)/B37</f>
        <v/>
      </c>
    </row>
    <row r="38">
      <c r="A38" s="27" t="inlineStr">
        <is>
          <t>G1</t>
        </is>
      </c>
      <c r="B38" s="25" t="n">
        <v>33000000</v>
      </c>
      <c r="C38" s="25" t="n">
        <v>38500000</v>
      </c>
      <c r="D38" s="25" t="n">
        <v>44000000</v>
      </c>
      <c r="E38" s="32">
        <f>(D38-B38)/B38</f>
        <v/>
      </c>
    </row>
    <row r="40" ht="24" customHeight="1">
      <c r="A40" s="3" t="inlineStr">
        <is>
          <t>■ ⑤ 공통역량별 가중치 (11개 역량)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9" t="n"/>
    </row>
    <row r="41" ht="28" customHeight="1">
      <c r="A41" s="14" t="inlineStr">
        <is>
          <t>No.</t>
        </is>
      </c>
      <c r="B41" s="14" t="inlineStr">
        <is>
          <t>역량군</t>
        </is>
      </c>
      <c r="C41" s="14" t="inlineStr">
        <is>
          <t>핵심 역량</t>
        </is>
      </c>
      <c r="D41" s="14" t="inlineStr">
        <is>
          <t>가중치</t>
        </is>
      </c>
      <c r="E41" s="14" t="inlineStr">
        <is>
          <t>역량 설명</t>
        </is>
      </c>
    </row>
    <row r="42">
      <c r="A42" s="17" t="inlineStr">
        <is>
          <t>C-1</t>
        </is>
      </c>
      <c r="B42" s="27" t="inlineStr">
        <is>
          <t>업무역량</t>
        </is>
      </c>
      <c r="C42" s="15" t="inlineStr">
        <is>
          <t>직무 전문성</t>
        </is>
      </c>
      <c r="D42" s="29" t="n">
        <v>0.15</v>
      </c>
      <c r="E42" s="6" t="inlineStr">
        <is>
          <t>직무에 필요한 전문 지식 및 기술을 충분히 보유하고 실무에 적절히 적용하는지 평가</t>
        </is>
      </c>
      <c r="F42" s="18" t="n"/>
      <c r="G42" s="18" t="n"/>
      <c r="H42" s="18" t="n"/>
      <c r="I42" s="18" t="n"/>
      <c r="J42" s="19" t="n"/>
    </row>
    <row r="43">
      <c r="A43" s="17" t="inlineStr">
        <is>
          <t>C-2</t>
        </is>
      </c>
      <c r="B43" s="27" t="inlineStr">
        <is>
          <t>업무역량</t>
        </is>
      </c>
      <c r="C43" s="15" t="inlineStr">
        <is>
          <t>분석력</t>
        </is>
      </c>
      <c r="D43" s="29" t="n">
        <v>0.1</v>
      </c>
      <c r="E43" s="6" t="inlineStr">
        <is>
          <t>데이터·수치를 기반으로 사고하며 업무 효율을 높이는 능력</t>
        </is>
      </c>
      <c r="F43" s="18" t="n"/>
      <c r="G43" s="18" t="n"/>
      <c r="H43" s="18" t="n"/>
      <c r="I43" s="18" t="n"/>
      <c r="J43" s="19" t="n"/>
    </row>
    <row r="44">
      <c r="A44" s="17" t="inlineStr">
        <is>
          <t>C-3</t>
        </is>
      </c>
      <c r="B44" s="27" t="inlineStr">
        <is>
          <t>업무역량</t>
        </is>
      </c>
      <c r="C44" s="15" t="inlineStr">
        <is>
          <t>기획/실행력</t>
        </is>
      </c>
      <c r="D44" s="29" t="n">
        <v>0.1</v>
      </c>
      <c r="E44" s="6" t="inlineStr">
        <is>
          <t>실행 가능한 목표 설정·계획 수립·체계적 실행 능력</t>
        </is>
      </c>
      <c r="F44" s="18" t="n"/>
      <c r="G44" s="18" t="n"/>
      <c r="H44" s="18" t="n"/>
      <c r="I44" s="18" t="n"/>
      <c r="J44" s="19" t="n"/>
    </row>
    <row r="45">
      <c r="A45" s="17" t="inlineStr">
        <is>
          <t>C-4</t>
        </is>
      </c>
      <c r="B45" s="27" t="inlineStr">
        <is>
          <t>조직역량</t>
        </is>
      </c>
      <c r="C45" s="15" t="inlineStr">
        <is>
          <t>자원·시간 관리</t>
        </is>
      </c>
      <c r="D45" s="29" t="n">
        <v>0.1</v>
      </c>
      <c r="E45" s="6" t="inlineStr">
        <is>
          <t>업무 우선순위 설정 및 시간 내 효과적 업무 완수 능력</t>
        </is>
      </c>
      <c r="F45" s="18" t="n"/>
      <c r="G45" s="18" t="n"/>
      <c r="H45" s="18" t="n"/>
      <c r="I45" s="18" t="n"/>
      <c r="J45" s="19" t="n"/>
    </row>
    <row r="46">
      <c r="A46" s="17" t="inlineStr">
        <is>
          <t>C-5</t>
        </is>
      </c>
      <c r="B46" s="27" t="inlineStr">
        <is>
          <t>조직역량</t>
        </is>
      </c>
      <c r="C46" s="15" t="inlineStr">
        <is>
          <t>협업 능력</t>
        </is>
      </c>
      <c r="D46" s="29" t="n">
        <v>0.1</v>
      </c>
      <c r="E46" s="6" t="inlineStr">
        <is>
          <t>팀원·타 부서와의 협업 태도와 적극적 협력</t>
        </is>
      </c>
      <c r="F46" s="18" t="n"/>
      <c r="G46" s="18" t="n"/>
      <c r="H46" s="18" t="n"/>
      <c r="I46" s="18" t="n"/>
      <c r="J46" s="19" t="n"/>
    </row>
    <row r="47">
      <c r="A47" s="17" t="inlineStr">
        <is>
          <t>C-6</t>
        </is>
      </c>
      <c r="B47" s="27" t="inlineStr">
        <is>
          <t>조직역량</t>
        </is>
      </c>
      <c r="C47" s="15" t="inlineStr">
        <is>
          <t>소통 능력</t>
        </is>
      </c>
      <c r="D47" s="29" t="n">
        <v>0.1</v>
      </c>
      <c r="E47" s="6" t="inlineStr">
        <is>
          <t>명확한 의견 전달·경청·효과적 커뮤니케이션</t>
        </is>
      </c>
      <c r="F47" s="18" t="n"/>
      <c r="G47" s="18" t="n"/>
      <c r="H47" s="18" t="n"/>
      <c r="I47" s="18" t="n"/>
      <c r="J47" s="19" t="n"/>
    </row>
    <row r="48">
      <c r="A48" s="17" t="inlineStr">
        <is>
          <t>C-7</t>
        </is>
      </c>
      <c r="B48" s="27" t="inlineStr">
        <is>
          <t>인성역량</t>
        </is>
      </c>
      <c r="C48" s="15" t="inlineStr">
        <is>
          <t>윤리/책임감</t>
        </is>
      </c>
      <c r="D48" s="29" t="n">
        <v>0.1</v>
      </c>
      <c r="E48" s="6" t="inlineStr">
        <is>
          <t>공정·투명한 업무 처리와 책임감 있는 업무 수행</t>
        </is>
      </c>
      <c r="F48" s="18" t="n"/>
      <c r="G48" s="18" t="n"/>
      <c r="H48" s="18" t="n"/>
      <c r="I48" s="18" t="n"/>
      <c r="J48" s="19" t="n"/>
    </row>
    <row r="49">
      <c r="A49" s="17" t="inlineStr">
        <is>
          <t>C-8</t>
        </is>
      </c>
      <c r="B49" s="27" t="inlineStr">
        <is>
          <t>인성역량</t>
        </is>
      </c>
      <c r="C49" s="15" t="inlineStr">
        <is>
          <t>업무 태도</t>
        </is>
      </c>
      <c r="D49" s="29" t="n">
        <v>0.1</v>
      </c>
      <c r="E49" s="6" t="inlineStr">
        <is>
          <t>성실·주도적 태도, 변화에 대한 유연성</t>
        </is>
      </c>
      <c r="F49" s="18" t="n"/>
      <c r="G49" s="18" t="n"/>
      <c r="H49" s="18" t="n"/>
      <c r="I49" s="18" t="n"/>
      <c r="J49" s="19" t="n"/>
    </row>
    <row r="50">
      <c r="A50" s="17" t="inlineStr">
        <is>
          <t>C-9</t>
        </is>
      </c>
      <c r="B50" s="27" t="inlineStr">
        <is>
          <t>미래역량</t>
        </is>
      </c>
      <c r="C50" s="15" t="inlineStr">
        <is>
          <t>혁신 역량</t>
        </is>
      </c>
      <c r="D50" s="29" t="n">
        <v>0.05</v>
      </c>
      <c r="E50" s="6" t="inlineStr">
        <is>
          <t>AI·자동화 등 최신 기술을 실무에 접목</t>
        </is>
      </c>
      <c r="F50" s="18" t="n"/>
      <c r="G50" s="18" t="n"/>
      <c r="H50" s="18" t="n"/>
      <c r="I50" s="18" t="n"/>
      <c r="J50" s="19" t="n"/>
    </row>
    <row r="51">
      <c r="A51" s="17" t="inlineStr">
        <is>
          <t>C-10</t>
        </is>
      </c>
      <c r="B51" s="27" t="inlineStr">
        <is>
          <t>미래역량</t>
        </is>
      </c>
      <c r="C51" s="15" t="inlineStr">
        <is>
          <t>프로세스 개선</t>
        </is>
      </c>
      <c r="D51" s="29" t="n">
        <v>0.05</v>
      </c>
      <c r="E51" s="6" t="inlineStr">
        <is>
          <t>업무 절차 분석 및 비효율 개선 아이디어 제시·실행</t>
        </is>
      </c>
      <c r="F51" s="18" t="n"/>
      <c r="G51" s="18" t="n"/>
      <c r="H51" s="18" t="n"/>
      <c r="I51" s="18" t="n"/>
      <c r="J51" s="19" t="n"/>
    </row>
    <row r="52">
      <c r="A52" s="17" t="inlineStr">
        <is>
          <t>C-11</t>
        </is>
      </c>
      <c r="B52" s="27" t="inlineStr">
        <is>
          <t>미래역량</t>
        </is>
      </c>
      <c r="C52" s="15" t="inlineStr">
        <is>
          <t>지속가능 기여</t>
        </is>
      </c>
      <c r="D52" s="29" t="n">
        <v>0.05</v>
      </c>
      <c r="E52" s="6" t="inlineStr">
        <is>
          <t>장기적 성과 향상·조직 기여도</t>
        </is>
      </c>
      <c r="F52" s="18" t="n"/>
      <c r="G52" s="18" t="n"/>
      <c r="H52" s="18" t="n"/>
      <c r="I52" s="18" t="n"/>
      <c r="J52" s="19" t="n"/>
    </row>
    <row r="60"/>
    <row r="61"/>
    <row r="62"/>
    <row r="63"/>
    <row r="64"/>
    <row r="65"/>
    <row r="66" ht="24" customHeight="1">
      <c r="A66" s="3" t="inlineStr">
        <is>
          <t>■ ⑥ 1차/2차 평가자 가중치</t>
        </is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J66" s="19" t="n"/>
    </row>
    <row r="67" ht="24" customHeight="1">
      <c r="A67" s="5" t="inlineStr">
        <is>
          <t>1차 평가자 (직속상사)</t>
        </is>
      </c>
      <c r="B67" s="80" t="n">
        <v>0.5</v>
      </c>
      <c r="C67" s="6" t="inlineStr">
        <is>
          <t>직속상사 평가 가중치. 평가지·통합시트에서 자동 적용. 기본 50%, 조직 상황에 맞게 조정.</t>
        </is>
      </c>
      <c r="D67" s="18" t="n"/>
      <c r="E67" s="18" t="n"/>
      <c r="F67" s="18" t="n"/>
      <c r="G67" s="18" t="n"/>
      <c r="H67" s="18" t="n"/>
      <c r="I67" s="18" t="n"/>
      <c r="J67" s="19" t="n"/>
    </row>
    <row r="68" ht="24" customHeight="1">
      <c r="A68" s="5" t="inlineStr">
        <is>
          <t>2차 평가자 (조정자)</t>
        </is>
      </c>
      <c r="B68" s="81">
        <f>1-B67</f>
        <v/>
      </c>
      <c r="C68" s="6" t="inlineStr">
        <is>
          <t>자동 계산 (1 - 1차 가중치). 조정자(부서장·임원) 가중치.</t>
        </is>
      </c>
      <c r="D68" s="18" t="n"/>
      <c r="E68" s="18" t="n"/>
      <c r="F68" s="18" t="n"/>
      <c r="G68" s="18" t="n"/>
      <c r="H68" s="18" t="n"/>
      <c r="I68" s="18" t="n"/>
      <c r="J68" s="19" t="n"/>
    </row>
    <row r="69"/>
    <row r="70"/>
    <row r="71"/>
    <row r="72"/>
    <row r="73"/>
    <row r="74"/>
  </sheetData>
  <mergeCells count="33">
    <mergeCell ref="A14:J14"/>
    <mergeCell ref="C68:J68"/>
    <mergeCell ref="C6:J6"/>
    <mergeCell ref="G20:J20"/>
    <mergeCell ref="A4:J4"/>
    <mergeCell ref="G16:J16"/>
    <mergeCell ref="C5:J5"/>
    <mergeCell ref="C28:F28"/>
    <mergeCell ref="G22:J22"/>
    <mergeCell ref="E49:J49"/>
    <mergeCell ref="E46:J46"/>
    <mergeCell ref="A40:J40"/>
    <mergeCell ref="E45:J45"/>
    <mergeCell ref="A30:J30"/>
    <mergeCell ref="G21:J21"/>
    <mergeCell ref="A24:J24"/>
    <mergeCell ref="A1:J1"/>
    <mergeCell ref="G17:J17"/>
    <mergeCell ref="E47:J47"/>
    <mergeCell ref="E43:J43"/>
    <mergeCell ref="E50:J50"/>
    <mergeCell ref="G19:J19"/>
    <mergeCell ref="C8:J8"/>
    <mergeCell ref="A66:J66"/>
    <mergeCell ref="G18:J18"/>
    <mergeCell ref="C7:J7"/>
    <mergeCell ref="E42:J42"/>
    <mergeCell ref="C67:J67"/>
    <mergeCell ref="E52:J52"/>
    <mergeCell ref="E48:J48"/>
    <mergeCell ref="A2:J2"/>
    <mergeCell ref="E51:J51"/>
    <mergeCell ref="E44:J4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8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</cols>
  <sheetData>
    <row r="1" ht="28" customHeight="1">
      <c r="A1" s="1" t="inlineStr">
        <is>
          <t>전사 업적 평가 (전사 KPI)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>
      <c r="A2" s="2" t="inlineStr">
        <is>
          <t>전사 KPI 달성도 → 성과급 가산 계수로 활용 (10_성과급관리에서 자동 참조)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9" t="n"/>
    </row>
    <row r="5">
      <c r="A5" s="22" t="inlineStr">
        <is>
          <t>No.</t>
        </is>
      </c>
      <c r="B5" s="22" t="inlineStr">
        <is>
          <t>KPI</t>
        </is>
      </c>
      <c r="C5" s="22" t="inlineStr">
        <is>
          <t>측정방법</t>
        </is>
      </c>
      <c r="D5" s="22" t="inlineStr">
        <is>
          <t>가중치</t>
        </is>
      </c>
      <c r="E5" s="22" t="inlineStr">
        <is>
          <t>목표</t>
        </is>
      </c>
      <c r="F5" s="22" t="inlineStr">
        <is>
          <t>S 기준</t>
        </is>
      </c>
      <c r="G5" s="22" t="inlineStr">
        <is>
          <t>A 기준</t>
        </is>
      </c>
      <c r="H5" s="22" t="inlineStr">
        <is>
          <t>B 기준</t>
        </is>
      </c>
      <c r="I5" s="22" t="inlineStr">
        <is>
          <t>C 기준</t>
        </is>
      </c>
      <c r="J5" s="22" t="inlineStr">
        <is>
          <t>D 기준</t>
        </is>
      </c>
      <c r="K5" s="22" t="inlineStr">
        <is>
          <t>실적</t>
        </is>
      </c>
    </row>
    <row r="6">
      <c r="A6" s="17" t="n">
        <v>1</v>
      </c>
      <c r="B6" s="15" t="inlineStr">
        <is>
          <t>영업이익률</t>
        </is>
      </c>
      <c r="C6" s="6" t="inlineStr">
        <is>
          <t>영업이익 ÷ 매출액 × 100</t>
        </is>
      </c>
      <c r="D6" s="29" t="n">
        <v>0.4</v>
      </c>
      <c r="E6" s="31" t="n">
        <v>0.12</v>
      </c>
      <c r="F6" s="31" t="n">
        <v>0.15</v>
      </c>
      <c r="G6" s="31" t="n">
        <v>0.12</v>
      </c>
      <c r="H6" s="31" t="n">
        <v>0.1</v>
      </c>
      <c r="I6" s="31" t="n">
        <v>0.08</v>
      </c>
      <c r="J6" s="31" t="n">
        <v>0.06</v>
      </c>
      <c r="K6" s="31" t="inlineStr"/>
    </row>
    <row r="7">
      <c r="A7" s="17" t="n">
        <v>2</v>
      </c>
      <c r="B7" s="15" t="inlineStr">
        <is>
          <t>매출 성장률</t>
        </is>
      </c>
      <c r="C7" s="6" t="inlineStr">
        <is>
          <t>(금년-전년)/전년 × 100</t>
        </is>
      </c>
      <c r="D7" s="29" t="n">
        <v>0.35</v>
      </c>
      <c r="E7" s="31" t="n">
        <v>0.07000000000000001</v>
      </c>
      <c r="F7" s="31" t="n">
        <v>0.08</v>
      </c>
      <c r="G7" s="31" t="n">
        <v>0.07000000000000001</v>
      </c>
      <c r="H7" s="31" t="n">
        <v>0.06</v>
      </c>
      <c r="I7" s="31" t="n">
        <v>0.05</v>
      </c>
      <c r="J7" s="31" t="n">
        <v>0.04</v>
      </c>
      <c r="K7" s="31" t="inlineStr"/>
    </row>
    <row r="8">
      <c r="A8" s="17" t="n">
        <v>3</v>
      </c>
      <c r="B8" s="15" t="inlineStr">
        <is>
          <t>프로젝트 납기·품질 준수율</t>
        </is>
      </c>
      <c r="C8" s="6" t="inlineStr">
        <is>
          <t>납기·품질 충족 ÷ 총 프로젝트 × 100</t>
        </is>
      </c>
      <c r="D8" s="29" t="n">
        <v>0.25</v>
      </c>
      <c r="E8" s="31" t="n">
        <v>0.92</v>
      </c>
      <c r="F8" s="31" t="n">
        <v>0.93</v>
      </c>
      <c r="G8" s="31" t="n">
        <v>0.92</v>
      </c>
      <c r="H8" s="31" t="n">
        <v>0.91</v>
      </c>
      <c r="I8" s="31" t="n">
        <v>0.9</v>
      </c>
      <c r="J8" s="31" t="n">
        <v>0.89</v>
      </c>
      <c r="K8" s="31" t="inlineStr"/>
    </row>
    <row r="10">
      <c r="A10" s="3" t="inlineStr">
        <is>
          <t>■ 전사 KPI 종합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9" t="n"/>
    </row>
    <row r="11">
      <c r="A11" s="5" t="inlineStr">
        <is>
          <t>전사 종합 등급</t>
        </is>
      </c>
      <c r="B11" s="21">
        <f>IFERROR(IF(COUNTBLANK(K6:K8)&gt;0,"",IF(SUMPRODUCT(D6:D8,(K6:K8&gt;=F6:F8)*1)&gt;=0.8,"S",IF(SUMPRODUCT(D6:D8,(K6:K8&gt;=G6:G8)*1)&gt;=0.8,"A",IF(SUMPRODUCT(D6:D8,(K6:K8&gt;=H6:H8)*1)&gt;=0.8,"B",IF(SUMPRODUCT(D6:D8,(K6:K8&gt;=I6:I8)*1)&gt;=0.8,"C","D"))))),"-")</f>
        <v/>
      </c>
      <c r="C11" s="6" t="inlineStr">
        <is>
          <t>실적 입력 후 자동 산출. 10_성과급관리의 KPI 가산계수로 활용.</t>
        </is>
      </c>
      <c r="D11" s="18" t="n"/>
      <c r="E11" s="18" t="n"/>
      <c r="F11" s="18" t="n"/>
      <c r="G11" s="18" t="n"/>
      <c r="H11" s="18" t="n"/>
      <c r="I11" s="18" t="n"/>
      <c r="J11" s="18" t="n"/>
      <c r="K11" s="19" t="n"/>
    </row>
  </sheetData>
  <mergeCells count="4">
    <mergeCell ref="A2:K2"/>
    <mergeCell ref="A1:K1"/>
    <mergeCell ref="C11:K11"/>
    <mergeCell ref="A10:K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4B5"/>
    <outlinePr summaryBelow="1" summaryRight="1"/>
    <pageSetUpPr/>
  </sheetPr>
  <dimension ref="A1:AC91"/>
  <sheetViews>
    <sheetView workbookViewId="0">
      <pane xSplit="3" ySplit="11" topLeftCell="D1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2" customWidth="1" min="4" max="4"/>
    <col width="8" customWidth="1" min="5" max="5"/>
    <col width="18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8" customWidth="1" min="12" max="12"/>
    <col width="9" customWidth="1" min="13" max="13"/>
    <col width="9" customWidth="1" min="14" max="14"/>
    <col width="9" customWidth="1" min="15" max="15"/>
    <col width="8" customWidth="1" min="16" max="16"/>
    <col width="25" customWidth="1" min="17" max="17"/>
  </cols>
  <sheetData>
    <row r="1" ht="28" customHeight="1">
      <c r="A1" s="1" t="inlineStr">
        <is>
          <t>역할평가 — 역할등급별 5개 BARS 항목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9" t="n"/>
    </row>
    <row r="2" ht="24" customHeight="1">
      <c r="A2" s="89" t="inlineStr">
        <is>
          <t>★ [자동 산출 시트] - HR이 직접 입력하지 않습니다. 07a/07b 입력값을 참조해 자동 계산. 결과 검토용.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9" t="n"/>
    </row>
    <row r="3"/>
    <row r="4">
      <c r="A4" s="3" t="inlineStr">
        <is>
          <t>■ 등급 부여 기준 (BARS 행동기준)</t>
        </is>
      </c>
      <c r="B4" s="18" t="n"/>
      <c r="C4" s="18" t="n"/>
      <c r="D4" s="18" t="n"/>
      <c r="E4" s="18" t="n"/>
      <c r="F4" s="18" t="n"/>
      <c r="G4" s="18" t="n"/>
      <c r="H4" s="19" t="n"/>
    </row>
    <row r="5">
      <c r="A5" s="49" t="inlineStr">
        <is>
          <t>S (탁월)</t>
        </is>
      </c>
      <c r="B5" s="6" t="inlineStr">
        <is>
          <t>역할정의를 현저히 초과 달성. 조직 전체에 긍정적 파급효과 창출</t>
        </is>
      </c>
      <c r="C5" s="18" t="n"/>
      <c r="D5" s="18" t="n"/>
      <c r="E5" s="18" t="n"/>
      <c r="F5" s="18" t="n"/>
      <c r="G5" s="18" t="n"/>
      <c r="H5" s="19" t="n"/>
    </row>
    <row r="6">
      <c r="A6" s="50" t="inlineStr">
        <is>
          <t>A (우수)</t>
        </is>
      </c>
      <c r="B6" s="6" t="inlineStr">
        <is>
          <t>역할정의를 충실히 수행하며 기대 수준을 상회. 자기주도적 성과</t>
        </is>
      </c>
      <c r="C6" s="18" t="n"/>
      <c r="D6" s="18" t="n"/>
      <c r="E6" s="18" t="n"/>
      <c r="F6" s="18" t="n"/>
      <c r="G6" s="18" t="n"/>
      <c r="H6" s="19" t="n"/>
    </row>
    <row r="7">
      <c r="A7" s="51" t="inlineStr">
        <is>
          <t>B (양호)</t>
        </is>
      </c>
      <c r="B7" s="6" t="inlineStr">
        <is>
          <t>역할정의에 부합하는 수준으로 안정적 수행. 기대 책임을 기한 내 완수</t>
        </is>
      </c>
      <c r="C7" s="18" t="n"/>
      <c r="D7" s="18" t="n"/>
      <c r="E7" s="18" t="n"/>
      <c r="F7" s="18" t="n"/>
      <c r="G7" s="18" t="n"/>
      <c r="H7" s="19" t="n"/>
    </row>
    <row r="8">
      <c r="A8" s="52" t="inlineStr">
        <is>
          <t>C (미흡)</t>
        </is>
      </c>
      <c r="B8" s="6" t="inlineStr">
        <is>
          <t>역할정의에 비해 일부 부족. 추가 지도·지원 필요</t>
        </is>
      </c>
      <c r="C8" s="18" t="n"/>
      <c r="D8" s="18" t="n"/>
      <c r="E8" s="18" t="n"/>
      <c r="F8" s="18" t="n"/>
      <c r="G8" s="18" t="n"/>
      <c r="H8" s="19" t="n"/>
    </row>
    <row r="9">
      <c r="A9" s="53" t="inlineStr">
        <is>
          <t>D (부족)</t>
        </is>
      </c>
      <c r="B9" s="6" t="inlineStr">
        <is>
          <t>역할 수행 수준이 현저히 미흡. 구체적 개선 계획 필요</t>
        </is>
      </c>
      <c r="C9" s="18" t="n"/>
      <c r="D9" s="18" t="n"/>
      <c r="E9" s="18" t="n"/>
      <c r="F9" s="18" t="n"/>
      <c r="G9" s="18" t="n"/>
      <c r="H9" s="19" t="n"/>
    </row>
    <row r="11">
      <c r="A11" s="54" t="inlineStr">
        <is>
          <t>■ 상반기 역할평가 (34명)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9" t="n"/>
    </row>
    <row r="12" ht="32" customHeight="1">
      <c r="A12" s="22" t="inlineStr">
        <is>
          <t>No.</t>
        </is>
      </c>
      <c r="B12" s="22" t="inlineStr">
        <is>
          <t>사번</t>
        </is>
      </c>
      <c r="C12" s="22" t="inlineStr">
        <is>
          <t>성명</t>
        </is>
      </c>
      <c r="D12" s="22" t="inlineStr">
        <is>
          <t>직무</t>
        </is>
      </c>
      <c r="E12" s="22" t="inlineStr">
        <is>
          <t>역할등급</t>
        </is>
      </c>
      <c r="F12" s="22" t="inlineStr">
        <is>
          <t>역할명</t>
        </is>
      </c>
      <c r="G12" s="22" t="inlineStr">
        <is>
          <t>R-1</t>
        </is>
      </c>
      <c r="H12" s="22" t="inlineStr">
        <is>
          <t>R-2</t>
        </is>
      </c>
      <c r="I12" s="22" t="inlineStr">
        <is>
          <t>R-3</t>
        </is>
      </c>
      <c r="J12" s="22" t="inlineStr">
        <is>
          <t>R-4</t>
        </is>
      </c>
      <c r="K12" s="22" t="inlineStr">
        <is>
          <t>R-5</t>
        </is>
      </c>
      <c r="L12" s="22" t="inlineStr">
        <is>
          <t>5개 평균</t>
        </is>
      </c>
      <c r="M12" s="22" t="inlineStr">
        <is>
          <t>1차(종합)</t>
        </is>
      </c>
      <c r="N12" s="22" t="inlineStr">
        <is>
          <t>2차(종합)</t>
        </is>
      </c>
      <c r="O12" s="22" t="inlineStr">
        <is>
          <t>확정등급</t>
        </is>
      </c>
      <c r="P12" s="22" t="inlineStr">
        <is>
          <t>평가점수</t>
        </is>
      </c>
      <c r="Q12" s="22" t="inlineStr">
        <is>
          <t>강점·개선 소견</t>
        </is>
      </c>
    </row>
    <row r="13" ht="22" customHeight="1">
      <c r="A13" s="33">
        <f>'01_인적정보'!A6</f>
        <v/>
      </c>
      <c r="B13" s="33">
        <f>'01_인적정보'!B6</f>
        <v/>
      </c>
      <c r="C13" s="8">
        <f>'01_인적정보'!C6</f>
        <v/>
      </c>
      <c r="D13" s="8">
        <f>'01_인적정보'!E6</f>
        <v/>
      </c>
      <c r="E13" s="16">
        <f>'01_인적정보'!H6</f>
        <v/>
      </c>
      <c r="F13" s="55">
        <f>IFERROR(VLOOKUP('01_인적정보'!M6,'13_직무역할DB'!$A$6:$D$70,4,FALSE),"")</f>
        <v/>
      </c>
      <c r="G13" s="20">
        <f>'07a_상반기입력'!G6</f>
        <v/>
      </c>
      <c r="H13" s="20">
        <f>'07a_상반기입력'!H6</f>
        <v/>
      </c>
      <c r="I13" s="20">
        <f>'07a_상반기입력'!I6</f>
        <v/>
      </c>
      <c r="J13" s="20">
        <f>'07a_상반기입력'!J6</f>
        <v/>
      </c>
      <c r="K13" s="20">
        <f>'07a_상반기입력'!K6</f>
        <v/>
      </c>
      <c r="L13" s="56">
        <f>IFERROR((IF(G13="S",5,IF(G13="A",4,IF(G13="B",3,IF(G13="C",2,IF(G13="D",1,0)))))+IF(H13="S",5,IF(H13="A",4,IF(H13="B",3,IF(H13="C",2,IF(H13="D",1,0)))))+IF(I13="S",5,IF(I13="A",4,IF(I13="B",3,IF(I13="C",2,IF(I13="D",1,0)))))+IF(J13="S",5,IF(J13="A",4,IF(J13="B",3,IF(J13="C",2,IF(J13="D",1,0)))))+IF(K13="S",5,IF(K13="A",4,IF(K13="B",3,IF(K13="C",2,IF(K13="D",1,0))))))/5,"")</f>
        <v/>
      </c>
      <c r="M13" s="21">
        <f>'07a_상반기입력'!L6</f>
        <v/>
      </c>
      <c r="N13" s="21">
        <f>'07a_상반기입력'!M6</f>
        <v/>
      </c>
      <c r="O13" s="57">
        <f>IF(N13&lt;&gt;"",N13,IF(M13&lt;&gt;"",M13,IF(L13="","",IF(L13&gt;=4.5,"S",IF(L13&gt;=3.5,"A",IF(L13&gt;=2.5,"B",IF(L13&gt;=1.5,"C","D")))))))</f>
        <v/>
      </c>
      <c r="P13" s="58">
        <f>IF(O13="","",IF(O13="S",5,IF(O13="A",4,IF(O13="B",3,IF(O13="C",2,IF(O13="D",1,0))))))</f>
        <v/>
      </c>
      <c r="Q13" s="4" t="inlineStr"/>
    </row>
    <row r="14" ht="22" customHeight="1">
      <c r="A14" s="33">
        <f>'01_인적정보'!A7</f>
        <v/>
      </c>
      <c r="B14" s="33">
        <f>'01_인적정보'!B7</f>
        <v/>
      </c>
      <c r="C14" s="8">
        <f>'01_인적정보'!C7</f>
        <v/>
      </c>
      <c r="D14" s="8">
        <f>'01_인적정보'!E7</f>
        <v/>
      </c>
      <c r="E14" s="16">
        <f>'01_인적정보'!H7</f>
        <v/>
      </c>
      <c r="F14" s="55">
        <f>IFERROR(VLOOKUP('01_인적정보'!M7,'13_직무역할DB'!$A$6:$D$70,4,FALSE),"")</f>
        <v/>
      </c>
      <c r="G14" s="20">
        <f>'07a_상반기입력'!G7</f>
        <v/>
      </c>
      <c r="H14" s="20">
        <f>'07a_상반기입력'!H7</f>
        <v/>
      </c>
      <c r="I14" s="20">
        <f>'07a_상반기입력'!I7</f>
        <v/>
      </c>
      <c r="J14" s="20">
        <f>'07a_상반기입력'!J7</f>
        <v/>
      </c>
      <c r="K14" s="20">
        <f>'07a_상반기입력'!K7</f>
        <v/>
      </c>
      <c r="L14" s="56">
        <f>IFERROR((IF(G14="S",5,IF(G14="A",4,IF(G14="B",3,IF(G14="C",2,IF(G14="D",1,0)))))+IF(H14="S",5,IF(H14="A",4,IF(H14="B",3,IF(H14="C",2,IF(H14="D",1,0)))))+IF(I14="S",5,IF(I14="A",4,IF(I14="B",3,IF(I14="C",2,IF(I14="D",1,0)))))+IF(J14="S",5,IF(J14="A",4,IF(J14="B",3,IF(J14="C",2,IF(J14="D",1,0)))))+IF(K14="S",5,IF(K14="A",4,IF(K14="B",3,IF(K14="C",2,IF(K14="D",1,0))))))/5,"")</f>
        <v/>
      </c>
      <c r="M14" s="21">
        <f>'07a_상반기입력'!L7</f>
        <v/>
      </c>
      <c r="N14" s="21">
        <f>'07a_상반기입력'!M7</f>
        <v/>
      </c>
      <c r="O14" s="57">
        <f>IF(N14&lt;&gt;"",N14,IF(M14&lt;&gt;"",M14,IF(L14="","",IF(L14&gt;=4.5,"S",IF(L14&gt;=3.5,"A",IF(L14&gt;=2.5,"B",IF(L14&gt;=1.5,"C","D")))))))</f>
        <v/>
      </c>
      <c r="P14" s="58">
        <f>IF(O14="","",IF(O14="S",5,IF(O14="A",4,IF(O14="B",3,IF(O14="C",2,IF(O14="D",1,0))))))</f>
        <v/>
      </c>
      <c r="Q14" s="4" t="inlineStr"/>
    </row>
    <row r="15" ht="22" customHeight="1">
      <c r="A15" s="33">
        <f>'01_인적정보'!A8</f>
        <v/>
      </c>
      <c r="B15" s="33">
        <f>'01_인적정보'!B8</f>
        <v/>
      </c>
      <c r="C15" s="8">
        <f>'01_인적정보'!C8</f>
        <v/>
      </c>
      <c r="D15" s="8">
        <f>'01_인적정보'!E8</f>
        <v/>
      </c>
      <c r="E15" s="16">
        <f>'01_인적정보'!H8</f>
        <v/>
      </c>
      <c r="F15" s="55">
        <f>IFERROR(VLOOKUP('01_인적정보'!M8,'13_직무역할DB'!$A$6:$D$70,4,FALSE),"")</f>
        <v/>
      </c>
      <c r="G15" s="20">
        <f>'07a_상반기입력'!G8</f>
        <v/>
      </c>
      <c r="H15" s="20">
        <f>'07a_상반기입력'!H8</f>
        <v/>
      </c>
      <c r="I15" s="20">
        <f>'07a_상반기입력'!I8</f>
        <v/>
      </c>
      <c r="J15" s="20">
        <f>'07a_상반기입력'!J8</f>
        <v/>
      </c>
      <c r="K15" s="20">
        <f>'07a_상반기입력'!K8</f>
        <v/>
      </c>
      <c r="L15" s="56">
        <f>IFERROR((IF(G15="S",5,IF(G15="A",4,IF(G15="B",3,IF(G15="C",2,IF(G15="D",1,0)))))+IF(H15="S",5,IF(H15="A",4,IF(H15="B",3,IF(H15="C",2,IF(H15="D",1,0)))))+IF(I15="S",5,IF(I15="A",4,IF(I15="B",3,IF(I15="C",2,IF(I15="D",1,0)))))+IF(J15="S",5,IF(J15="A",4,IF(J15="B",3,IF(J15="C",2,IF(J15="D",1,0)))))+IF(K15="S",5,IF(K15="A",4,IF(K15="B",3,IF(K15="C",2,IF(K15="D",1,0))))))/5,"")</f>
        <v/>
      </c>
      <c r="M15" s="21">
        <f>'07a_상반기입력'!L8</f>
        <v/>
      </c>
      <c r="N15" s="21">
        <f>'07a_상반기입력'!M8</f>
        <v/>
      </c>
      <c r="O15" s="57">
        <f>IF(N15&lt;&gt;"",N15,IF(M15&lt;&gt;"",M15,IF(L15="","",IF(L15&gt;=4.5,"S",IF(L15&gt;=3.5,"A",IF(L15&gt;=2.5,"B",IF(L15&gt;=1.5,"C","D")))))))</f>
        <v/>
      </c>
      <c r="P15" s="58">
        <f>IF(O15="","",IF(O15="S",5,IF(O15="A",4,IF(O15="B",3,IF(O15="C",2,IF(O15="D",1,0))))))</f>
        <v/>
      </c>
      <c r="Q15" s="4" t="inlineStr"/>
    </row>
    <row r="16" ht="22" customHeight="1">
      <c r="A16" s="33">
        <f>'01_인적정보'!A9</f>
        <v/>
      </c>
      <c r="B16" s="33">
        <f>'01_인적정보'!B9</f>
        <v/>
      </c>
      <c r="C16" s="8">
        <f>'01_인적정보'!C9</f>
        <v/>
      </c>
      <c r="D16" s="8">
        <f>'01_인적정보'!E9</f>
        <v/>
      </c>
      <c r="E16" s="16">
        <f>'01_인적정보'!H9</f>
        <v/>
      </c>
      <c r="F16" s="55">
        <f>IFERROR(VLOOKUP('01_인적정보'!M9,'13_직무역할DB'!$A$6:$D$70,4,FALSE),"")</f>
        <v/>
      </c>
      <c r="G16" s="20">
        <f>'07a_상반기입력'!G9</f>
        <v/>
      </c>
      <c r="H16" s="20">
        <f>'07a_상반기입력'!H9</f>
        <v/>
      </c>
      <c r="I16" s="20">
        <f>'07a_상반기입력'!I9</f>
        <v/>
      </c>
      <c r="J16" s="20">
        <f>'07a_상반기입력'!J9</f>
        <v/>
      </c>
      <c r="K16" s="20">
        <f>'07a_상반기입력'!K9</f>
        <v/>
      </c>
      <c r="L16" s="56">
        <f>IFERROR((IF(G16="S",5,IF(G16="A",4,IF(G16="B",3,IF(G16="C",2,IF(G16="D",1,0)))))+IF(H16="S",5,IF(H16="A",4,IF(H16="B",3,IF(H16="C",2,IF(H16="D",1,0)))))+IF(I16="S",5,IF(I16="A",4,IF(I16="B",3,IF(I16="C",2,IF(I16="D",1,0)))))+IF(J16="S",5,IF(J16="A",4,IF(J16="B",3,IF(J16="C",2,IF(J16="D",1,0)))))+IF(K16="S",5,IF(K16="A",4,IF(K16="B",3,IF(K16="C",2,IF(K16="D",1,0))))))/5,"")</f>
        <v/>
      </c>
      <c r="M16" s="21">
        <f>'07a_상반기입력'!L9</f>
        <v/>
      </c>
      <c r="N16" s="21">
        <f>'07a_상반기입력'!M9</f>
        <v/>
      </c>
      <c r="O16" s="57">
        <f>IF(N16&lt;&gt;"",N16,IF(M16&lt;&gt;"",M16,IF(L16="","",IF(L16&gt;=4.5,"S",IF(L16&gt;=3.5,"A",IF(L16&gt;=2.5,"B",IF(L16&gt;=1.5,"C","D")))))))</f>
        <v/>
      </c>
      <c r="P16" s="58">
        <f>IF(O16="","",IF(O16="S",5,IF(O16="A",4,IF(O16="B",3,IF(O16="C",2,IF(O16="D",1,0))))))</f>
        <v/>
      </c>
      <c r="Q16" s="4" t="inlineStr"/>
    </row>
    <row r="17" ht="22" customHeight="1">
      <c r="A17" s="33">
        <f>'01_인적정보'!A10</f>
        <v/>
      </c>
      <c r="B17" s="33">
        <f>'01_인적정보'!B10</f>
        <v/>
      </c>
      <c r="C17" s="8">
        <f>'01_인적정보'!C10</f>
        <v/>
      </c>
      <c r="D17" s="8">
        <f>'01_인적정보'!E10</f>
        <v/>
      </c>
      <c r="E17" s="16">
        <f>'01_인적정보'!H10</f>
        <v/>
      </c>
      <c r="F17" s="55">
        <f>IFERROR(VLOOKUP('01_인적정보'!M10,'13_직무역할DB'!$A$6:$D$70,4,FALSE),"")</f>
        <v/>
      </c>
      <c r="G17" s="20">
        <f>'07a_상반기입력'!G10</f>
        <v/>
      </c>
      <c r="H17" s="20">
        <f>'07a_상반기입력'!H10</f>
        <v/>
      </c>
      <c r="I17" s="20">
        <f>'07a_상반기입력'!I10</f>
        <v/>
      </c>
      <c r="J17" s="20">
        <f>'07a_상반기입력'!J10</f>
        <v/>
      </c>
      <c r="K17" s="20">
        <f>'07a_상반기입력'!K10</f>
        <v/>
      </c>
      <c r="L17" s="56">
        <f>IFERROR((IF(G17="S",5,IF(G17="A",4,IF(G17="B",3,IF(G17="C",2,IF(G17="D",1,0)))))+IF(H17="S",5,IF(H17="A",4,IF(H17="B",3,IF(H17="C",2,IF(H17="D",1,0)))))+IF(I17="S",5,IF(I17="A",4,IF(I17="B",3,IF(I17="C",2,IF(I17="D",1,0)))))+IF(J17="S",5,IF(J17="A",4,IF(J17="B",3,IF(J17="C",2,IF(J17="D",1,0)))))+IF(K17="S",5,IF(K17="A",4,IF(K17="B",3,IF(K17="C",2,IF(K17="D",1,0))))))/5,"")</f>
        <v/>
      </c>
      <c r="M17" s="21">
        <f>'07a_상반기입력'!L10</f>
        <v/>
      </c>
      <c r="N17" s="21">
        <f>'07a_상반기입력'!M10</f>
        <v/>
      </c>
      <c r="O17" s="57">
        <f>IF(N17&lt;&gt;"",N17,IF(M17&lt;&gt;"",M17,IF(L17="","",IF(L17&gt;=4.5,"S",IF(L17&gt;=3.5,"A",IF(L17&gt;=2.5,"B",IF(L17&gt;=1.5,"C","D")))))))</f>
        <v/>
      </c>
      <c r="P17" s="58">
        <f>IF(O17="","",IF(O17="S",5,IF(O17="A",4,IF(O17="B",3,IF(O17="C",2,IF(O17="D",1,0))))))</f>
        <v/>
      </c>
      <c r="Q17" s="4" t="inlineStr"/>
    </row>
    <row r="18" ht="22" customHeight="1">
      <c r="A18" s="33">
        <f>'01_인적정보'!A11</f>
        <v/>
      </c>
      <c r="B18" s="33">
        <f>'01_인적정보'!B11</f>
        <v/>
      </c>
      <c r="C18" s="8">
        <f>'01_인적정보'!C11</f>
        <v/>
      </c>
      <c r="D18" s="8">
        <f>'01_인적정보'!E11</f>
        <v/>
      </c>
      <c r="E18" s="16">
        <f>'01_인적정보'!H11</f>
        <v/>
      </c>
      <c r="F18" s="55">
        <f>IFERROR(VLOOKUP('01_인적정보'!M11,'13_직무역할DB'!$A$6:$D$70,4,FALSE),"")</f>
        <v/>
      </c>
      <c r="G18" s="20">
        <f>'07a_상반기입력'!G11</f>
        <v/>
      </c>
      <c r="H18" s="20">
        <f>'07a_상반기입력'!H11</f>
        <v/>
      </c>
      <c r="I18" s="20">
        <f>'07a_상반기입력'!I11</f>
        <v/>
      </c>
      <c r="J18" s="20">
        <f>'07a_상반기입력'!J11</f>
        <v/>
      </c>
      <c r="K18" s="20">
        <f>'07a_상반기입력'!K11</f>
        <v/>
      </c>
      <c r="L18" s="56">
        <f>IFERROR((IF(G18="S",5,IF(G18="A",4,IF(G18="B",3,IF(G18="C",2,IF(G18="D",1,0)))))+IF(H18="S",5,IF(H18="A",4,IF(H18="B",3,IF(H18="C",2,IF(H18="D",1,0)))))+IF(I18="S",5,IF(I18="A",4,IF(I18="B",3,IF(I18="C",2,IF(I18="D",1,0)))))+IF(J18="S",5,IF(J18="A",4,IF(J18="B",3,IF(J18="C",2,IF(J18="D",1,0)))))+IF(K18="S",5,IF(K18="A",4,IF(K18="B",3,IF(K18="C",2,IF(K18="D",1,0))))))/5,"")</f>
        <v/>
      </c>
      <c r="M18" s="21">
        <f>'07a_상반기입력'!L11</f>
        <v/>
      </c>
      <c r="N18" s="21">
        <f>'07a_상반기입력'!M11</f>
        <v/>
      </c>
      <c r="O18" s="57">
        <f>IF(N18&lt;&gt;"",N18,IF(M18&lt;&gt;"",M18,IF(L18="","",IF(L18&gt;=4.5,"S",IF(L18&gt;=3.5,"A",IF(L18&gt;=2.5,"B",IF(L18&gt;=1.5,"C","D")))))))</f>
        <v/>
      </c>
      <c r="P18" s="58">
        <f>IF(O18="","",IF(O18="S",5,IF(O18="A",4,IF(O18="B",3,IF(O18="C",2,IF(O18="D",1,0))))))</f>
        <v/>
      </c>
      <c r="Q18" s="4" t="inlineStr"/>
    </row>
    <row r="19" ht="22" customHeight="1">
      <c r="A19" s="33">
        <f>'01_인적정보'!A12</f>
        <v/>
      </c>
      <c r="B19" s="33">
        <f>'01_인적정보'!B12</f>
        <v/>
      </c>
      <c r="C19" s="8">
        <f>'01_인적정보'!C12</f>
        <v/>
      </c>
      <c r="D19" s="8">
        <f>'01_인적정보'!E12</f>
        <v/>
      </c>
      <c r="E19" s="16">
        <f>'01_인적정보'!H12</f>
        <v/>
      </c>
      <c r="F19" s="55">
        <f>IFERROR(VLOOKUP('01_인적정보'!M12,'13_직무역할DB'!$A$6:$D$70,4,FALSE),"")</f>
        <v/>
      </c>
      <c r="G19" s="20">
        <f>'07a_상반기입력'!G12</f>
        <v/>
      </c>
      <c r="H19" s="20">
        <f>'07a_상반기입력'!H12</f>
        <v/>
      </c>
      <c r="I19" s="20">
        <f>'07a_상반기입력'!I12</f>
        <v/>
      </c>
      <c r="J19" s="20">
        <f>'07a_상반기입력'!J12</f>
        <v/>
      </c>
      <c r="K19" s="20">
        <f>'07a_상반기입력'!K12</f>
        <v/>
      </c>
      <c r="L19" s="56">
        <f>IFERROR((IF(G19="S",5,IF(G19="A",4,IF(G19="B",3,IF(G19="C",2,IF(G19="D",1,0)))))+IF(H19="S",5,IF(H19="A",4,IF(H19="B",3,IF(H19="C",2,IF(H19="D",1,0)))))+IF(I19="S",5,IF(I19="A",4,IF(I19="B",3,IF(I19="C",2,IF(I19="D",1,0)))))+IF(J19="S",5,IF(J19="A",4,IF(J19="B",3,IF(J19="C",2,IF(J19="D",1,0)))))+IF(K19="S",5,IF(K19="A",4,IF(K19="B",3,IF(K19="C",2,IF(K19="D",1,0))))))/5,"")</f>
        <v/>
      </c>
      <c r="M19" s="21">
        <f>'07a_상반기입력'!L12</f>
        <v/>
      </c>
      <c r="N19" s="21">
        <f>'07a_상반기입력'!M12</f>
        <v/>
      </c>
      <c r="O19" s="57">
        <f>IF(N19&lt;&gt;"",N19,IF(M19&lt;&gt;"",M19,IF(L19="","",IF(L19&gt;=4.5,"S",IF(L19&gt;=3.5,"A",IF(L19&gt;=2.5,"B",IF(L19&gt;=1.5,"C","D")))))))</f>
        <v/>
      </c>
      <c r="P19" s="58">
        <f>IF(O19="","",IF(O19="S",5,IF(O19="A",4,IF(O19="B",3,IF(O19="C",2,IF(O19="D",1,0))))))</f>
        <v/>
      </c>
      <c r="Q19" s="4" t="inlineStr"/>
    </row>
    <row r="20" ht="22" customHeight="1">
      <c r="A20" s="33">
        <f>'01_인적정보'!A13</f>
        <v/>
      </c>
      <c r="B20" s="33">
        <f>'01_인적정보'!B13</f>
        <v/>
      </c>
      <c r="C20" s="8">
        <f>'01_인적정보'!C13</f>
        <v/>
      </c>
      <c r="D20" s="8">
        <f>'01_인적정보'!E13</f>
        <v/>
      </c>
      <c r="E20" s="16">
        <f>'01_인적정보'!H13</f>
        <v/>
      </c>
      <c r="F20" s="55">
        <f>IFERROR(VLOOKUP('01_인적정보'!M13,'13_직무역할DB'!$A$6:$D$70,4,FALSE),"")</f>
        <v/>
      </c>
      <c r="G20" s="20">
        <f>'07a_상반기입력'!G13</f>
        <v/>
      </c>
      <c r="H20" s="20">
        <f>'07a_상반기입력'!H13</f>
        <v/>
      </c>
      <c r="I20" s="20">
        <f>'07a_상반기입력'!I13</f>
        <v/>
      </c>
      <c r="J20" s="20">
        <f>'07a_상반기입력'!J13</f>
        <v/>
      </c>
      <c r="K20" s="20">
        <f>'07a_상반기입력'!K13</f>
        <v/>
      </c>
      <c r="L20" s="56">
        <f>IFERROR((IF(G20="S",5,IF(G20="A",4,IF(G20="B",3,IF(G20="C",2,IF(G20="D",1,0)))))+IF(H20="S",5,IF(H20="A",4,IF(H20="B",3,IF(H20="C",2,IF(H20="D",1,0)))))+IF(I20="S",5,IF(I20="A",4,IF(I20="B",3,IF(I20="C",2,IF(I20="D",1,0)))))+IF(J20="S",5,IF(J20="A",4,IF(J20="B",3,IF(J20="C",2,IF(J20="D",1,0)))))+IF(K20="S",5,IF(K20="A",4,IF(K20="B",3,IF(K20="C",2,IF(K20="D",1,0))))))/5,"")</f>
        <v/>
      </c>
      <c r="M20" s="21">
        <f>'07a_상반기입력'!L13</f>
        <v/>
      </c>
      <c r="N20" s="21">
        <f>'07a_상반기입력'!M13</f>
        <v/>
      </c>
      <c r="O20" s="57">
        <f>IF(N20&lt;&gt;"",N20,IF(M20&lt;&gt;"",M20,IF(L20="","",IF(L20&gt;=4.5,"S",IF(L20&gt;=3.5,"A",IF(L20&gt;=2.5,"B",IF(L20&gt;=1.5,"C","D")))))))</f>
        <v/>
      </c>
      <c r="P20" s="58">
        <f>IF(O20="","",IF(O20="S",5,IF(O20="A",4,IF(O20="B",3,IF(O20="C",2,IF(O20="D",1,0))))))</f>
        <v/>
      </c>
      <c r="Q20" s="4" t="inlineStr"/>
    </row>
    <row r="21" ht="22" customHeight="1">
      <c r="A21" s="33">
        <f>'01_인적정보'!A14</f>
        <v/>
      </c>
      <c r="B21" s="33">
        <f>'01_인적정보'!B14</f>
        <v/>
      </c>
      <c r="C21" s="8">
        <f>'01_인적정보'!C14</f>
        <v/>
      </c>
      <c r="D21" s="8">
        <f>'01_인적정보'!E14</f>
        <v/>
      </c>
      <c r="E21" s="16">
        <f>'01_인적정보'!H14</f>
        <v/>
      </c>
      <c r="F21" s="55">
        <f>IFERROR(VLOOKUP('01_인적정보'!M14,'13_직무역할DB'!$A$6:$D$70,4,FALSE),"")</f>
        <v/>
      </c>
      <c r="G21" s="20">
        <f>'07a_상반기입력'!G14</f>
        <v/>
      </c>
      <c r="H21" s="20">
        <f>'07a_상반기입력'!H14</f>
        <v/>
      </c>
      <c r="I21" s="20">
        <f>'07a_상반기입력'!I14</f>
        <v/>
      </c>
      <c r="J21" s="20">
        <f>'07a_상반기입력'!J14</f>
        <v/>
      </c>
      <c r="K21" s="20">
        <f>'07a_상반기입력'!K14</f>
        <v/>
      </c>
      <c r="L21" s="56">
        <f>IFERROR((IF(G21="S",5,IF(G21="A",4,IF(G21="B",3,IF(G21="C",2,IF(G21="D",1,0)))))+IF(H21="S",5,IF(H21="A",4,IF(H21="B",3,IF(H21="C",2,IF(H21="D",1,0)))))+IF(I21="S",5,IF(I21="A",4,IF(I21="B",3,IF(I21="C",2,IF(I21="D",1,0)))))+IF(J21="S",5,IF(J21="A",4,IF(J21="B",3,IF(J21="C",2,IF(J21="D",1,0)))))+IF(K21="S",5,IF(K21="A",4,IF(K21="B",3,IF(K21="C",2,IF(K21="D",1,0))))))/5,"")</f>
        <v/>
      </c>
      <c r="M21" s="21">
        <f>'07a_상반기입력'!L14</f>
        <v/>
      </c>
      <c r="N21" s="21">
        <f>'07a_상반기입력'!M14</f>
        <v/>
      </c>
      <c r="O21" s="57">
        <f>IF(N21&lt;&gt;"",N21,IF(M21&lt;&gt;"",M21,IF(L21="","",IF(L21&gt;=4.5,"S",IF(L21&gt;=3.5,"A",IF(L21&gt;=2.5,"B",IF(L21&gt;=1.5,"C","D")))))))</f>
        <v/>
      </c>
      <c r="P21" s="58">
        <f>IF(O21="","",IF(O21="S",5,IF(O21="A",4,IF(O21="B",3,IF(O21="C",2,IF(O21="D",1,0))))))</f>
        <v/>
      </c>
      <c r="Q21" s="4" t="inlineStr"/>
    </row>
    <row r="22" ht="22" customHeight="1">
      <c r="A22" s="33">
        <f>'01_인적정보'!A15</f>
        <v/>
      </c>
      <c r="B22" s="33">
        <f>'01_인적정보'!B15</f>
        <v/>
      </c>
      <c r="C22" s="8">
        <f>'01_인적정보'!C15</f>
        <v/>
      </c>
      <c r="D22" s="8">
        <f>'01_인적정보'!E15</f>
        <v/>
      </c>
      <c r="E22" s="16">
        <f>'01_인적정보'!H15</f>
        <v/>
      </c>
      <c r="F22" s="55">
        <f>IFERROR(VLOOKUP('01_인적정보'!M15,'13_직무역할DB'!$A$6:$D$70,4,FALSE),"")</f>
        <v/>
      </c>
      <c r="G22" s="20">
        <f>'07a_상반기입력'!G15</f>
        <v/>
      </c>
      <c r="H22" s="20">
        <f>'07a_상반기입력'!H15</f>
        <v/>
      </c>
      <c r="I22" s="20">
        <f>'07a_상반기입력'!I15</f>
        <v/>
      </c>
      <c r="J22" s="20">
        <f>'07a_상반기입력'!J15</f>
        <v/>
      </c>
      <c r="K22" s="20">
        <f>'07a_상반기입력'!K15</f>
        <v/>
      </c>
      <c r="L22" s="56">
        <f>IFERROR((IF(G22="S",5,IF(G22="A",4,IF(G22="B",3,IF(G22="C",2,IF(G22="D",1,0)))))+IF(H22="S",5,IF(H22="A",4,IF(H22="B",3,IF(H22="C",2,IF(H22="D",1,0)))))+IF(I22="S",5,IF(I22="A",4,IF(I22="B",3,IF(I22="C",2,IF(I22="D",1,0)))))+IF(J22="S",5,IF(J22="A",4,IF(J22="B",3,IF(J22="C",2,IF(J22="D",1,0)))))+IF(K22="S",5,IF(K22="A",4,IF(K22="B",3,IF(K22="C",2,IF(K22="D",1,0))))))/5,"")</f>
        <v/>
      </c>
      <c r="M22" s="21">
        <f>'07a_상반기입력'!L15</f>
        <v/>
      </c>
      <c r="N22" s="21">
        <f>'07a_상반기입력'!M15</f>
        <v/>
      </c>
      <c r="O22" s="57">
        <f>IF(N22&lt;&gt;"",N22,IF(M22&lt;&gt;"",M22,IF(L22="","",IF(L22&gt;=4.5,"S",IF(L22&gt;=3.5,"A",IF(L22&gt;=2.5,"B",IF(L22&gt;=1.5,"C","D")))))))</f>
        <v/>
      </c>
      <c r="P22" s="58">
        <f>IF(O22="","",IF(O22="S",5,IF(O22="A",4,IF(O22="B",3,IF(O22="C",2,IF(O22="D",1,0))))))</f>
        <v/>
      </c>
      <c r="Q22" s="4" t="inlineStr"/>
    </row>
    <row r="23" ht="22" customHeight="1">
      <c r="A23" s="33">
        <f>'01_인적정보'!A16</f>
        <v/>
      </c>
      <c r="B23" s="33">
        <f>'01_인적정보'!B16</f>
        <v/>
      </c>
      <c r="C23" s="8">
        <f>'01_인적정보'!C16</f>
        <v/>
      </c>
      <c r="D23" s="8">
        <f>'01_인적정보'!E16</f>
        <v/>
      </c>
      <c r="E23" s="16">
        <f>'01_인적정보'!H16</f>
        <v/>
      </c>
      <c r="F23" s="55">
        <f>IFERROR(VLOOKUP('01_인적정보'!M16,'13_직무역할DB'!$A$6:$D$70,4,FALSE),"")</f>
        <v/>
      </c>
      <c r="G23" s="20">
        <f>'07a_상반기입력'!G16</f>
        <v/>
      </c>
      <c r="H23" s="20">
        <f>'07a_상반기입력'!H16</f>
        <v/>
      </c>
      <c r="I23" s="20">
        <f>'07a_상반기입력'!I16</f>
        <v/>
      </c>
      <c r="J23" s="20">
        <f>'07a_상반기입력'!J16</f>
        <v/>
      </c>
      <c r="K23" s="20">
        <f>'07a_상반기입력'!K16</f>
        <v/>
      </c>
      <c r="L23" s="56">
        <f>IFERROR((IF(G23="S",5,IF(G23="A",4,IF(G23="B",3,IF(G23="C",2,IF(G23="D",1,0)))))+IF(H23="S",5,IF(H23="A",4,IF(H23="B",3,IF(H23="C",2,IF(H23="D",1,0)))))+IF(I23="S",5,IF(I23="A",4,IF(I23="B",3,IF(I23="C",2,IF(I23="D",1,0)))))+IF(J23="S",5,IF(J23="A",4,IF(J23="B",3,IF(J23="C",2,IF(J23="D",1,0)))))+IF(K23="S",5,IF(K23="A",4,IF(K23="B",3,IF(K23="C",2,IF(K23="D",1,0))))))/5,"")</f>
        <v/>
      </c>
      <c r="M23" s="21">
        <f>'07a_상반기입력'!L16</f>
        <v/>
      </c>
      <c r="N23" s="21">
        <f>'07a_상반기입력'!M16</f>
        <v/>
      </c>
      <c r="O23" s="57">
        <f>IF(N23&lt;&gt;"",N23,IF(M23&lt;&gt;"",M23,IF(L23="","",IF(L23&gt;=4.5,"S",IF(L23&gt;=3.5,"A",IF(L23&gt;=2.5,"B",IF(L23&gt;=1.5,"C","D")))))))</f>
        <v/>
      </c>
      <c r="P23" s="58">
        <f>IF(O23="","",IF(O23="S",5,IF(O23="A",4,IF(O23="B",3,IF(O23="C",2,IF(O23="D",1,0))))))</f>
        <v/>
      </c>
      <c r="Q23" s="4" t="inlineStr"/>
    </row>
    <row r="24" ht="22" customHeight="1">
      <c r="A24" s="33">
        <f>'01_인적정보'!A17</f>
        <v/>
      </c>
      <c r="B24" s="33">
        <f>'01_인적정보'!B17</f>
        <v/>
      </c>
      <c r="C24" s="8">
        <f>'01_인적정보'!C17</f>
        <v/>
      </c>
      <c r="D24" s="8">
        <f>'01_인적정보'!E17</f>
        <v/>
      </c>
      <c r="E24" s="16">
        <f>'01_인적정보'!H17</f>
        <v/>
      </c>
      <c r="F24" s="55">
        <f>IFERROR(VLOOKUP('01_인적정보'!M17,'13_직무역할DB'!$A$6:$D$70,4,FALSE),"")</f>
        <v/>
      </c>
      <c r="G24" s="20">
        <f>'07a_상반기입력'!G17</f>
        <v/>
      </c>
      <c r="H24" s="20">
        <f>'07a_상반기입력'!H17</f>
        <v/>
      </c>
      <c r="I24" s="20">
        <f>'07a_상반기입력'!I17</f>
        <v/>
      </c>
      <c r="J24" s="20">
        <f>'07a_상반기입력'!J17</f>
        <v/>
      </c>
      <c r="K24" s="20">
        <f>'07a_상반기입력'!K17</f>
        <v/>
      </c>
      <c r="L24" s="56">
        <f>IFERROR((IF(G24="S",5,IF(G24="A",4,IF(G24="B",3,IF(G24="C",2,IF(G24="D",1,0)))))+IF(H24="S",5,IF(H24="A",4,IF(H24="B",3,IF(H24="C",2,IF(H24="D",1,0)))))+IF(I24="S",5,IF(I24="A",4,IF(I24="B",3,IF(I24="C",2,IF(I24="D",1,0)))))+IF(J24="S",5,IF(J24="A",4,IF(J24="B",3,IF(J24="C",2,IF(J24="D",1,0)))))+IF(K24="S",5,IF(K24="A",4,IF(K24="B",3,IF(K24="C",2,IF(K24="D",1,0))))))/5,"")</f>
        <v/>
      </c>
      <c r="M24" s="21">
        <f>'07a_상반기입력'!L17</f>
        <v/>
      </c>
      <c r="N24" s="21">
        <f>'07a_상반기입력'!M17</f>
        <v/>
      </c>
      <c r="O24" s="57">
        <f>IF(N24&lt;&gt;"",N24,IF(M24&lt;&gt;"",M24,IF(L24="","",IF(L24&gt;=4.5,"S",IF(L24&gt;=3.5,"A",IF(L24&gt;=2.5,"B",IF(L24&gt;=1.5,"C","D")))))))</f>
        <v/>
      </c>
      <c r="P24" s="58">
        <f>IF(O24="","",IF(O24="S",5,IF(O24="A",4,IF(O24="B",3,IF(O24="C",2,IF(O24="D",1,0))))))</f>
        <v/>
      </c>
      <c r="Q24" s="4" t="inlineStr"/>
    </row>
    <row r="25" ht="22" customHeight="1">
      <c r="A25" s="33">
        <f>'01_인적정보'!A18</f>
        <v/>
      </c>
      <c r="B25" s="33">
        <f>'01_인적정보'!B18</f>
        <v/>
      </c>
      <c r="C25" s="8">
        <f>'01_인적정보'!C18</f>
        <v/>
      </c>
      <c r="D25" s="8">
        <f>'01_인적정보'!E18</f>
        <v/>
      </c>
      <c r="E25" s="16">
        <f>'01_인적정보'!H18</f>
        <v/>
      </c>
      <c r="F25" s="55">
        <f>IFERROR(VLOOKUP('01_인적정보'!M18,'13_직무역할DB'!$A$6:$D$70,4,FALSE),"")</f>
        <v/>
      </c>
      <c r="G25" s="20">
        <f>'07a_상반기입력'!G18</f>
        <v/>
      </c>
      <c r="H25" s="20">
        <f>'07a_상반기입력'!H18</f>
        <v/>
      </c>
      <c r="I25" s="20">
        <f>'07a_상반기입력'!I18</f>
        <v/>
      </c>
      <c r="J25" s="20">
        <f>'07a_상반기입력'!J18</f>
        <v/>
      </c>
      <c r="K25" s="20">
        <f>'07a_상반기입력'!K18</f>
        <v/>
      </c>
      <c r="L25" s="56">
        <f>IFERROR((IF(G25="S",5,IF(G25="A",4,IF(G25="B",3,IF(G25="C",2,IF(G25="D",1,0)))))+IF(H25="S",5,IF(H25="A",4,IF(H25="B",3,IF(H25="C",2,IF(H25="D",1,0)))))+IF(I25="S",5,IF(I25="A",4,IF(I25="B",3,IF(I25="C",2,IF(I25="D",1,0)))))+IF(J25="S",5,IF(J25="A",4,IF(J25="B",3,IF(J25="C",2,IF(J25="D",1,0)))))+IF(K25="S",5,IF(K25="A",4,IF(K25="B",3,IF(K25="C",2,IF(K25="D",1,0))))))/5,"")</f>
        <v/>
      </c>
      <c r="M25" s="21">
        <f>'07a_상반기입력'!L18</f>
        <v/>
      </c>
      <c r="N25" s="21">
        <f>'07a_상반기입력'!M18</f>
        <v/>
      </c>
      <c r="O25" s="57">
        <f>IF(N25&lt;&gt;"",N25,IF(M25&lt;&gt;"",M25,IF(L25="","",IF(L25&gt;=4.5,"S",IF(L25&gt;=3.5,"A",IF(L25&gt;=2.5,"B",IF(L25&gt;=1.5,"C","D")))))))</f>
        <v/>
      </c>
      <c r="P25" s="58">
        <f>IF(O25="","",IF(O25="S",5,IF(O25="A",4,IF(O25="B",3,IF(O25="C",2,IF(O25="D",1,0))))))</f>
        <v/>
      </c>
      <c r="Q25" s="4" t="inlineStr"/>
    </row>
    <row r="26" ht="22" customHeight="1">
      <c r="A26" s="33">
        <f>'01_인적정보'!A19</f>
        <v/>
      </c>
      <c r="B26" s="33">
        <f>'01_인적정보'!B19</f>
        <v/>
      </c>
      <c r="C26" s="8">
        <f>'01_인적정보'!C19</f>
        <v/>
      </c>
      <c r="D26" s="8">
        <f>'01_인적정보'!E19</f>
        <v/>
      </c>
      <c r="E26" s="16">
        <f>'01_인적정보'!H19</f>
        <v/>
      </c>
      <c r="F26" s="55">
        <f>IFERROR(VLOOKUP('01_인적정보'!M19,'13_직무역할DB'!$A$6:$D$70,4,FALSE),"")</f>
        <v/>
      </c>
      <c r="G26" s="20">
        <f>'07a_상반기입력'!G19</f>
        <v/>
      </c>
      <c r="H26" s="20">
        <f>'07a_상반기입력'!H19</f>
        <v/>
      </c>
      <c r="I26" s="20">
        <f>'07a_상반기입력'!I19</f>
        <v/>
      </c>
      <c r="J26" s="20">
        <f>'07a_상반기입력'!J19</f>
        <v/>
      </c>
      <c r="K26" s="20">
        <f>'07a_상반기입력'!K19</f>
        <v/>
      </c>
      <c r="L26" s="56">
        <f>IFERROR((IF(G26="S",5,IF(G26="A",4,IF(G26="B",3,IF(G26="C",2,IF(G26="D",1,0)))))+IF(H26="S",5,IF(H26="A",4,IF(H26="B",3,IF(H26="C",2,IF(H26="D",1,0)))))+IF(I26="S",5,IF(I26="A",4,IF(I26="B",3,IF(I26="C",2,IF(I26="D",1,0)))))+IF(J26="S",5,IF(J26="A",4,IF(J26="B",3,IF(J26="C",2,IF(J26="D",1,0)))))+IF(K26="S",5,IF(K26="A",4,IF(K26="B",3,IF(K26="C",2,IF(K26="D",1,0))))))/5,"")</f>
        <v/>
      </c>
      <c r="M26" s="21">
        <f>'07a_상반기입력'!L19</f>
        <v/>
      </c>
      <c r="N26" s="21">
        <f>'07a_상반기입력'!M19</f>
        <v/>
      </c>
      <c r="O26" s="57">
        <f>IF(N26&lt;&gt;"",N26,IF(M26&lt;&gt;"",M26,IF(L26="","",IF(L26&gt;=4.5,"S",IF(L26&gt;=3.5,"A",IF(L26&gt;=2.5,"B",IF(L26&gt;=1.5,"C","D")))))))</f>
        <v/>
      </c>
      <c r="P26" s="58">
        <f>IF(O26="","",IF(O26="S",5,IF(O26="A",4,IF(O26="B",3,IF(O26="C",2,IF(O26="D",1,0))))))</f>
        <v/>
      </c>
      <c r="Q26" s="4" t="inlineStr"/>
    </row>
    <row r="27" ht="22" customHeight="1">
      <c r="A27" s="33">
        <f>'01_인적정보'!A20</f>
        <v/>
      </c>
      <c r="B27" s="33">
        <f>'01_인적정보'!B20</f>
        <v/>
      </c>
      <c r="C27" s="8">
        <f>'01_인적정보'!C20</f>
        <v/>
      </c>
      <c r="D27" s="8">
        <f>'01_인적정보'!E20</f>
        <v/>
      </c>
      <c r="E27" s="16">
        <f>'01_인적정보'!H20</f>
        <v/>
      </c>
      <c r="F27" s="55">
        <f>IFERROR(VLOOKUP('01_인적정보'!M20,'13_직무역할DB'!$A$6:$D$70,4,FALSE),"")</f>
        <v/>
      </c>
      <c r="G27" s="20">
        <f>'07a_상반기입력'!G20</f>
        <v/>
      </c>
      <c r="H27" s="20">
        <f>'07a_상반기입력'!H20</f>
        <v/>
      </c>
      <c r="I27" s="20">
        <f>'07a_상반기입력'!I20</f>
        <v/>
      </c>
      <c r="J27" s="20">
        <f>'07a_상반기입력'!J20</f>
        <v/>
      </c>
      <c r="K27" s="20">
        <f>'07a_상반기입력'!K20</f>
        <v/>
      </c>
      <c r="L27" s="56">
        <f>IFERROR((IF(G27="S",5,IF(G27="A",4,IF(G27="B",3,IF(G27="C",2,IF(G27="D",1,0)))))+IF(H27="S",5,IF(H27="A",4,IF(H27="B",3,IF(H27="C",2,IF(H27="D",1,0)))))+IF(I27="S",5,IF(I27="A",4,IF(I27="B",3,IF(I27="C",2,IF(I27="D",1,0)))))+IF(J27="S",5,IF(J27="A",4,IF(J27="B",3,IF(J27="C",2,IF(J27="D",1,0)))))+IF(K27="S",5,IF(K27="A",4,IF(K27="B",3,IF(K27="C",2,IF(K27="D",1,0))))))/5,"")</f>
        <v/>
      </c>
      <c r="M27" s="21">
        <f>'07a_상반기입력'!L20</f>
        <v/>
      </c>
      <c r="N27" s="21">
        <f>'07a_상반기입력'!M20</f>
        <v/>
      </c>
      <c r="O27" s="57">
        <f>IF(N27&lt;&gt;"",N27,IF(M27&lt;&gt;"",M27,IF(L27="","",IF(L27&gt;=4.5,"S",IF(L27&gt;=3.5,"A",IF(L27&gt;=2.5,"B",IF(L27&gt;=1.5,"C","D")))))))</f>
        <v/>
      </c>
      <c r="P27" s="58">
        <f>IF(O27="","",IF(O27="S",5,IF(O27="A",4,IF(O27="B",3,IF(O27="C",2,IF(O27="D",1,0))))))</f>
        <v/>
      </c>
      <c r="Q27" s="4" t="inlineStr"/>
    </row>
    <row r="28" ht="22" customHeight="1">
      <c r="A28" s="33">
        <f>'01_인적정보'!A21</f>
        <v/>
      </c>
      <c r="B28" s="33">
        <f>'01_인적정보'!B21</f>
        <v/>
      </c>
      <c r="C28" s="8">
        <f>'01_인적정보'!C21</f>
        <v/>
      </c>
      <c r="D28" s="8">
        <f>'01_인적정보'!E21</f>
        <v/>
      </c>
      <c r="E28" s="16">
        <f>'01_인적정보'!H21</f>
        <v/>
      </c>
      <c r="F28" s="55">
        <f>IFERROR(VLOOKUP('01_인적정보'!M21,'13_직무역할DB'!$A$6:$D$70,4,FALSE),"")</f>
        <v/>
      </c>
      <c r="G28" s="20">
        <f>'07a_상반기입력'!G21</f>
        <v/>
      </c>
      <c r="H28" s="20">
        <f>'07a_상반기입력'!H21</f>
        <v/>
      </c>
      <c r="I28" s="20">
        <f>'07a_상반기입력'!I21</f>
        <v/>
      </c>
      <c r="J28" s="20">
        <f>'07a_상반기입력'!J21</f>
        <v/>
      </c>
      <c r="K28" s="20">
        <f>'07a_상반기입력'!K21</f>
        <v/>
      </c>
      <c r="L28" s="56">
        <f>IFERROR((IF(G28="S",5,IF(G28="A",4,IF(G28="B",3,IF(G28="C",2,IF(G28="D",1,0)))))+IF(H28="S",5,IF(H28="A",4,IF(H28="B",3,IF(H28="C",2,IF(H28="D",1,0)))))+IF(I28="S",5,IF(I28="A",4,IF(I28="B",3,IF(I28="C",2,IF(I28="D",1,0)))))+IF(J28="S",5,IF(J28="A",4,IF(J28="B",3,IF(J28="C",2,IF(J28="D",1,0)))))+IF(K28="S",5,IF(K28="A",4,IF(K28="B",3,IF(K28="C",2,IF(K28="D",1,0))))))/5,"")</f>
        <v/>
      </c>
      <c r="M28" s="21">
        <f>'07a_상반기입력'!L21</f>
        <v/>
      </c>
      <c r="N28" s="21">
        <f>'07a_상반기입력'!M21</f>
        <v/>
      </c>
      <c r="O28" s="57">
        <f>IF(N28&lt;&gt;"",N28,IF(M28&lt;&gt;"",M28,IF(L28="","",IF(L28&gt;=4.5,"S",IF(L28&gt;=3.5,"A",IF(L28&gt;=2.5,"B",IF(L28&gt;=1.5,"C","D")))))))</f>
        <v/>
      </c>
      <c r="P28" s="58">
        <f>IF(O28="","",IF(O28="S",5,IF(O28="A",4,IF(O28="B",3,IF(O28="C",2,IF(O28="D",1,0))))))</f>
        <v/>
      </c>
      <c r="Q28" s="4" t="inlineStr"/>
    </row>
    <row r="29" ht="22" customHeight="1">
      <c r="A29" s="33">
        <f>'01_인적정보'!A22</f>
        <v/>
      </c>
      <c r="B29" s="33">
        <f>'01_인적정보'!B22</f>
        <v/>
      </c>
      <c r="C29" s="8">
        <f>'01_인적정보'!C22</f>
        <v/>
      </c>
      <c r="D29" s="8">
        <f>'01_인적정보'!E22</f>
        <v/>
      </c>
      <c r="E29" s="16">
        <f>'01_인적정보'!H22</f>
        <v/>
      </c>
      <c r="F29" s="55">
        <f>IFERROR(VLOOKUP('01_인적정보'!M22,'13_직무역할DB'!$A$6:$D$70,4,FALSE),"")</f>
        <v/>
      </c>
      <c r="G29" s="20">
        <f>'07a_상반기입력'!G22</f>
        <v/>
      </c>
      <c r="H29" s="20">
        <f>'07a_상반기입력'!H22</f>
        <v/>
      </c>
      <c r="I29" s="20">
        <f>'07a_상반기입력'!I22</f>
        <v/>
      </c>
      <c r="J29" s="20">
        <f>'07a_상반기입력'!J22</f>
        <v/>
      </c>
      <c r="K29" s="20">
        <f>'07a_상반기입력'!K22</f>
        <v/>
      </c>
      <c r="L29" s="56">
        <f>IFERROR((IF(G29="S",5,IF(G29="A",4,IF(G29="B",3,IF(G29="C",2,IF(G29="D",1,0)))))+IF(H29="S",5,IF(H29="A",4,IF(H29="B",3,IF(H29="C",2,IF(H29="D",1,0)))))+IF(I29="S",5,IF(I29="A",4,IF(I29="B",3,IF(I29="C",2,IF(I29="D",1,0)))))+IF(J29="S",5,IF(J29="A",4,IF(J29="B",3,IF(J29="C",2,IF(J29="D",1,0)))))+IF(K29="S",5,IF(K29="A",4,IF(K29="B",3,IF(K29="C",2,IF(K29="D",1,0))))))/5,"")</f>
        <v/>
      </c>
      <c r="M29" s="21">
        <f>'07a_상반기입력'!L22</f>
        <v/>
      </c>
      <c r="N29" s="21">
        <f>'07a_상반기입력'!M22</f>
        <v/>
      </c>
      <c r="O29" s="57">
        <f>IF(N29&lt;&gt;"",N29,IF(M29&lt;&gt;"",M29,IF(L29="","",IF(L29&gt;=4.5,"S",IF(L29&gt;=3.5,"A",IF(L29&gt;=2.5,"B",IF(L29&gt;=1.5,"C","D")))))))</f>
        <v/>
      </c>
      <c r="P29" s="58">
        <f>IF(O29="","",IF(O29="S",5,IF(O29="A",4,IF(O29="B",3,IF(O29="C",2,IF(O29="D",1,0))))))</f>
        <v/>
      </c>
      <c r="Q29" s="4" t="inlineStr"/>
    </row>
    <row r="30" ht="22" customHeight="1">
      <c r="A30" s="33">
        <f>'01_인적정보'!A23</f>
        <v/>
      </c>
      <c r="B30" s="33">
        <f>'01_인적정보'!B23</f>
        <v/>
      </c>
      <c r="C30" s="8">
        <f>'01_인적정보'!C23</f>
        <v/>
      </c>
      <c r="D30" s="8">
        <f>'01_인적정보'!E23</f>
        <v/>
      </c>
      <c r="E30" s="16">
        <f>'01_인적정보'!H23</f>
        <v/>
      </c>
      <c r="F30" s="55">
        <f>IFERROR(VLOOKUP('01_인적정보'!M23,'13_직무역할DB'!$A$6:$D$70,4,FALSE),"")</f>
        <v/>
      </c>
      <c r="G30" s="20">
        <f>'07a_상반기입력'!G23</f>
        <v/>
      </c>
      <c r="H30" s="20">
        <f>'07a_상반기입력'!H23</f>
        <v/>
      </c>
      <c r="I30" s="20">
        <f>'07a_상반기입력'!I23</f>
        <v/>
      </c>
      <c r="J30" s="20">
        <f>'07a_상반기입력'!J23</f>
        <v/>
      </c>
      <c r="K30" s="20">
        <f>'07a_상반기입력'!K23</f>
        <v/>
      </c>
      <c r="L30" s="56">
        <f>IFERROR((IF(G30="S",5,IF(G30="A",4,IF(G30="B",3,IF(G30="C",2,IF(G30="D",1,0)))))+IF(H30="S",5,IF(H30="A",4,IF(H30="B",3,IF(H30="C",2,IF(H30="D",1,0)))))+IF(I30="S",5,IF(I30="A",4,IF(I30="B",3,IF(I30="C",2,IF(I30="D",1,0)))))+IF(J30="S",5,IF(J30="A",4,IF(J30="B",3,IF(J30="C",2,IF(J30="D",1,0)))))+IF(K30="S",5,IF(K30="A",4,IF(K30="B",3,IF(K30="C",2,IF(K30="D",1,0))))))/5,"")</f>
        <v/>
      </c>
      <c r="M30" s="21">
        <f>'07a_상반기입력'!L23</f>
        <v/>
      </c>
      <c r="N30" s="21">
        <f>'07a_상반기입력'!M23</f>
        <v/>
      </c>
      <c r="O30" s="57">
        <f>IF(N30&lt;&gt;"",N30,IF(M30&lt;&gt;"",M30,IF(L30="","",IF(L30&gt;=4.5,"S",IF(L30&gt;=3.5,"A",IF(L30&gt;=2.5,"B",IF(L30&gt;=1.5,"C","D")))))))</f>
        <v/>
      </c>
      <c r="P30" s="58">
        <f>IF(O30="","",IF(O30="S",5,IF(O30="A",4,IF(O30="B",3,IF(O30="C",2,IF(O30="D",1,0))))))</f>
        <v/>
      </c>
      <c r="Q30" s="4" t="inlineStr"/>
    </row>
    <row r="31" ht="22" customHeight="1">
      <c r="A31" s="33">
        <f>'01_인적정보'!A24</f>
        <v/>
      </c>
      <c r="B31" s="33">
        <f>'01_인적정보'!B24</f>
        <v/>
      </c>
      <c r="C31" s="8">
        <f>'01_인적정보'!C24</f>
        <v/>
      </c>
      <c r="D31" s="8">
        <f>'01_인적정보'!E24</f>
        <v/>
      </c>
      <c r="E31" s="16">
        <f>'01_인적정보'!H24</f>
        <v/>
      </c>
      <c r="F31" s="55">
        <f>IFERROR(VLOOKUP('01_인적정보'!M24,'13_직무역할DB'!$A$6:$D$70,4,FALSE),"")</f>
        <v/>
      </c>
      <c r="G31" s="20">
        <f>'07a_상반기입력'!G24</f>
        <v/>
      </c>
      <c r="H31" s="20">
        <f>'07a_상반기입력'!H24</f>
        <v/>
      </c>
      <c r="I31" s="20">
        <f>'07a_상반기입력'!I24</f>
        <v/>
      </c>
      <c r="J31" s="20">
        <f>'07a_상반기입력'!J24</f>
        <v/>
      </c>
      <c r="K31" s="20">
        <f>'07a_상반기입력'!K24</f>
        <v/>
      </c>
      <c r="L31" s="56">
        <f>IFERROR((IF(G31="S",5,IF(G31="A",4,IF(G31="B",3,IF(G31="C",2,IF(G31="D",1,0)))))+IF(H31="S",5,IF(H31="A",4,IF(H31="B",3,IF(H31="C",2,IF(H31="D",1,0)))))+IF(I31="S",5,IF(I31="A",4,IF(I31="B",3,IF(I31="C",2,IF(I31="D",1,0)))))+IF(J31="S",5,IF(J31="A",4,IF(J31="B",3,IF(J31="C",2,IF(J31="D",1,0)))))+IF(K31="S",5,IF(K31="A",4,IF(K31="B",3,IF(K31="C",2,IF(K31="D",1,0))))))/5,"")</f>
        <v/>
      </c>
      <c r="M31" s="21">
        <f>'07a_상반기입력'!L24</f>
        <v/>
      </c>
      <c r="N31" s="21">
        <f>'07a_상반기입력'!M24</f>
        <v/>
      </c>
      <c r="O31" s="57">
        <f>IF(N31&lt;&gt;"",N31,IF(M31&lt;&gt;"",M31,IF(L31="","",IF(L31&gt;=4.5,"S",IF(L31&gt;=3.5,"A",IF(L31&gt;=2.5,"B",IF(L31&gt;=1.5,"C","D")))))))</f>
        <v/>
      </c>
      <c r="P31" s="58">
        <f>IF(O31="","",IF(O31="S",5,IF(O31="A",4,IF(O31="B",3,IF(O31="C",2,IF(O31="D",1,0))))))</f>
        <v/>
      </c>
      <c r="Q31" s="4" t="inlineStr"/>
    </row>
    <row r="32" ht="22" customHeight="1">
      <c r="A32" s="33">
        <f>'01_인적정보'!A25</f>
        <v/>
      </c>
      <c r="B32" s="33">
        <f>'01_인적정보'!B25</f>
        <v/>
      </c>
      <c r="C32" s="8">
        <f>'01_인적정보'!C25</f>
        <v/>
      </c>
      <c r="D32" s="8">
        <f>'01_인적정보'!E25</f>
        <v/>
      </c>
      <c r="E32" s="16">
        <f>'01_인적정보'!H25</f>
        <v/>
      </c>
      <c r="F32" s="55">
        <f>IFERROR(VLOOKUP('01_인적정보'!M25,'13_직무역할DB'!$A$6:$D$70,4,FALSE),"")</f>
        <v/>
      </c>
      <c r="G32" s="20">
        <f>'07a_상반기입력'!G25</f>
        <v/>
      </c>
      <c r="H32" s="20">
        <f>'07a_상반기입력'!H25</f>
        <v/>
      </c>
      <c r="I32" s="20">
        <f>'07a_상반기입력'!I25</f>
        <v/>
      </c>
      <c r="J32" s="20">
        <f>'07a_상반기입력'!J25</f>
        <v/>
      </c>
      <c r="K32" s="20">
        <f>'07a_상반기입력'!K25</f>
        <v/>
      </c>
      <c r="L32" s="56">
        <f>IFERROR((IF(G32="S",5,IF(G32="A",4,IF(G32="B",3,IF(G32="C",2,IF(G32="D",1,0)))))+IF(H32="S",5,IF(H32="A",4,IF(H32="B",3,IF(H32="C",2,IF(H32="D",1,0)))))+IF(I32="S",5,IF(I32="A",4,IF(I32="B",3,IF(I32="C",2,IF(I32="D",1,0)))))+IF(J32="S",5,IF(J32="A",4,IF(J32="B",3,IF(J32="C",2,IF(J32="D",1,0)))))+IF(K32="S",5,IF(K32="A",4,IF(K32="B",3,IF(K32="C",2,IF(K32="D",1,0))))))/5,"")</f>
        <v/>
      </c>
      <c r="M32" s="21">
        <f>'07a_상반기입력'!L25</f>
        <v/>
      </c>
      <c r="N32" s="21">
        <f>'07a_상반기입력'!M25</f>
        <v/>
      </c>
      <c r="O32" s="57">
        <f>IF(N32&lt;&gt;"",N32,IF(M32&lt;&gt;"",M32,IF(L32="","",IF(L32&gt;=4.5,"S",IF(L32&gt;=3.5,"A",IF(L32&gt;=2.5,"B",IF(L32&gt;=1.5,"C","D")))))))</f>
        <v/>
      </c>
      <c r="P32" s="58">
        <f>IF(O32="","",IF(O32="S",5,IF(O32="A",4,IF(O32="B",3,IF(O32="C",2,IF(O32="D",1,0))))))</f>
        <v/>
      </c>
      <c r="Q32" s="4" t="inlineStr"/>
    </row>
    <row r="33" ht="22" customHeight="1">
      <c r="A33" s="33">
        <f>'01_인적정보'!A26</f>
        <v/>
      </c>
      <c r="B33" s="33">
        <f>'01_인적정보'!B26</f>
        <v/>
      </c>
      <c r="C33" s="8">
        <f>'01_인적정보'!C26</f>
        <v/>
      </c>
      <c r="D33" s="8">
        <f>'01_인적정보'!E26</f>
        <v/>
      </c>
      <c r="E33" s="16">
        <f>'01_인적정보'!H26</f>
        <v/>
      </c>
      <c r="F33" s="55">
        <f>IFERROR(VLOOKUP('01_인적정보'!M26,'13_직무역할DB'!$A$6:$D$70,4,FALSE),"")</f>
        <v/>
      </c>
      <c r="G33" s="20">
        <f>'07a_상반기입력'!G26</f>
        <v/>
      </c>
      <c r="H33" s="20">
        <f>'07a_상반기입력'!H26</f>
        <v/>
      </c>
      <c r="I33" s="20">
        <f>'07a_상반기입력'!I26</f>
        <v/>
      </c>
      <c r="J33" s="20">
        <f>'07a_상반기입력'!J26</f>
        <v/>
      </c>
      <c r="K33" s="20">
        <f>'07a_상반기입력'!K26</f>
        <v/>
      </c>
      <c r="L33" s="56">
        <f>IFERROR((IF(G33="S",5,IF(G33="A",4,IF(G33="B",3,IF(G33="C",2,IF(G33="D",1,0)))))+IF(H33="S",5,IF(H33="A",4,IF(H33="B",3,IF(H33="C",2,IF(H33="D",1,0)))))+IF(I33="S",5,IF(I33="A",4,IF(I33="B",3,IF(I33="C",2,IF(I33="D",1,0)))))+IF(J33="S",5,IF(J33="A",4,IF(J33="B",3,IF(J33="C",2,IF(J33="D",1,0)))))+IF(K33="S",5,IF(K33="A",4,IF(K33="B",3,IF(K33="C",2,IF(K33="D",1,0))))))/5,"")</f>
        <v/>
      </c>
      <c r="M33" s="21">
        <f>'07a_상반기입력'!L26</f>
        <v/>
      </c>
      <c r="N33" s="21">
        <f>'07a_상반기입력'!M26</f>
        <v/>
      </c>
      <c r="O33" s="57">
        <f>IF(N33&lt;&gt;"",N33,IF(M33&lt;&gt;"",M33,IF(L33="","",IF(L33&gt;=4.5,"S",IF(L33&gt;=3.5,"A",IF(L33&gt;=2.5,"B",IF(L33&gt;=1.5,"C","D")))))))</f>
        <v/>
      </c>
      <c r="P33" s="58">
        <f>IF(O33="","",IF(O33="S",5,IF(O33="A",4,IF(O33="B",3,IF(O33="C",2,IF(O33="D",1,0))))))</f>
        <v/>
      </c>
      <c r="Q33" s="4" t="inlineStr"/>
    </row>
    <row r="34" ht="22" customHeight="1">
      <c r="A34" s="33">
        <f>'01_인적정보'!A27</f>
        <v/>
      </c>
      <c r="B34" s="33">
        <f>'01_인적정보'!B27</f>
        <v/>
      </c>
      <c r="C34" s="8">
        <f>'01_인적정보'!C27</f>
        <v/>
      </c>
      <c r="D34" s="8">
        <f>'01_인적정보'!E27</f>
        <v/>
      </c>
      <c r="E34" s="16">
        <f>'01_인적정보'!H27</f>
        <v/>
      </c>
      <c r="F34" s="55">
        <f>IFERROR(VLOOKUP('01_인적정보'!M27,'13_직무역할DB'!$A$6:$D$70,4,FALSE),"")</f>
        <v/>
      </c>
      <c r="G34" s="20">
        <f>'07a_상반기입력'!G27</f>
        <v/>
      </c>
      <c r="H34" s="20">
        <f>'07a_상반기입력'!H27</f>
        <v/>
      </c>
      <c r="I34" s="20">
        <f>'07a_상반기입력'!I27</f>
        <v/>
      </c>
      <c r="J34" s="20">
        <f>'07a_상반기입력'!J27</f>
        <v/>
      </c>
      <c r="K34" s="20">
        <f>'07a_상반기입력'!K27</f>
        <v/>
      </c>
      <c r="L34" s="56">
        <f>IFERROR((IF(G34="S",5,IF(G34="A",4,IF(G34="B",3,IF(G34="C",2,IF(G34="D",1,0)))))+IF(H34="S",5,IF(H34="A",4,IF(H34="B",3,IF(H34="C",2,IF(H34="D",1,0)))))+IF(I34="S",5,IF(I34="A",4,IF(I34="B",3,IF(I34="C",2,IF(I34="D",1,0)))))+IF(J34="S",5,IF(J34="A",4,IF(J34="B",3,IF(J34="C",2,IF(J34="D",1,0)))))+IF(K34="S",5,IF(K34="A",4,IF(K34="B",3,IF(K34="C",2,IF(K34="D",1,0))))))/5,"")</f>
        <v/>
      </c>
      <c r="M34" s="21">
        <f>'07a_상반기입력'!L27</f>
        <v/>
      </c>
      <c r="N34" s="21">
        <f>'07a_상반기입력'!M27</f>
        <v/>
      </c>
      <c r="O34" s="57">
        <f>IF(N34&lt;&gt;"",N34,IF(M34&lt;&gt;"",M34,IF(L34="","",IF(L34&gt;=4.5,"S",IF(L34&gt;=3.5,"A",IF(L34&gt;=2.5,"B",IF(L34&gt;=1.5,"C","D")))))))</f>
        <v/>
      </c>
      <c r="P34" s="58">
        <f>IF(O34="","",IF(O34="S",5,IF(O34="A",4,IF(O34="B",3,IF(O34="C",2,IF(O34="D",1,0))))))</f>
        <v/>
      </c>
      <c r="Q34" s="4" t="inlineStr"/>
    </row>
    <row r="35" ht="22" customHeight="1">
      <c r="A35" s="33">
        <f>'01_인적정보'!A28</f>
        <v/>
      </c>
      <c r="B35" s="33">
        <f>'01_인적정보'!B28</f>
        <v/>
      </c>
      <c r="C35" s="8">
        <f>'01_인적정보'!C28</f>
        <v/>
      </c>
      <c r="D35" s="8">
        <f>'01_인적정보'!E28</f>
        <v/>
      </c>
      <c r="E35" s="16">
        <f>'01_인적정보'!H28</f>
        <v/>
      </c>
      <c r="F35" s="55">
        <f>IFERROR(VLOOKUP('01_인적정보'!M28,'13_직무역할DB'!$A$6:$D$70,4,FALSE),"")</f>
        <v/>
      </c>
      <c r="G35" s="20">
        <f>'07a_상반기입력'!G28</f>
        <v/>
      </c>
      <c r="H35" s="20">
        <f>'07a_상반기입력'!H28</f>
        <v/>
      </c>
      <c r="I35" s="20">
        <f>'07a_상반기입력'!I28</f>
        <v/>
      </c>
      <c r="J35" s="20">
        <f>'07a_상반기입력'!J28</f>
        <v/>
      </c>
      <c r="K35" s="20">
        <f>'07a_상반기입력'!K28</f>
        <v/>
      </c>
      <c r="L35" s="56">
        <f>IFERROR((IF(G35="S",5,IF(G35="A",4,IF(G35="B",3,IF(G35="C",2,IF(G35="D",1,0)))))+IF(H35="S",5,IF(H35="A",4,IF(H35="B",3,IF(H35="C",2,IF(H35="D",1,0)))))+IF(I35="S",5,IF(I35="A",4,IF(I35="B",3,IF(I35="C",2,IF(I35="D",1,0)))))+IF(J35="S",5,IF(J35="A",4,IF(J35="B",3,IF(J35="C",2,IF(J35="D",1,0)))))+IF(K35="S",5,IF(K35="A",4,IF(K35="B",3,IF(K35="C",2,IF(K35="D",1,0))))))/5,"")</f>
        <v/>
      </c>
      <c r="M35" s="21">
        <f>'07a_상반기입력'!L28</f>
        <v/>
      </c>
      <c r="N35" s="21">
        <f>'07a_상반기입력'!M28</f>
        <v/>
      </c>
      <c r="O35" s="57">
        <f>IF(N35&lt;&gt;"",N35,IF(M35&lt;&gt;"",M35,IF(L35="","",IF(L35&gt;=4.5,"S",IF(L35&gt;=3.5,"A",IF(L35&gt;=2.5,"B",IF(L35&gt;=1.5,"C","D")))))))</f>
        <v/>
      </c>
      <c r="P35" s="58">
        <f>IF(O35="","",IF(O35="S",5,IF(O35="A",4,IF(O35="B",3,IF(O35="C",2,IF(O35="D",1,0))))))</f>
        <v/>
      </c>
      <c r="Q35" s="4" t="inlineStr"/>
    </row>
    <row r="36" ht="22" customHeight="1">
      <c r="A36" s="33">
        <f>'01_인적정보'!A29</f>
        <v/>
      </c>
      <c r="B36" s="33">
        <f>'01_인적정보'!B29</f>
        <v/>
      </c>
      <c r="C36" s="8">
        <f>'01_인적정보'!C29</f>
        <v/>
      </c>
      <c r="D36" s="8">
        <f>'01_인적정보'!E29</f>
        <v/>
      </c>
      <c r="E36" s="16">
        <f>'01_인적정보'!H29</f>
        <v/>
      </c>
      <c r="F36" s="55">
        <f>IFERROR(VLOOKUP('01_인적정보'!M29,'13_직무역할DB'!$A$6:$D$70,4,FALSE),"")</f>
        <v/>
      </c>
      <c r="G36" s="20">
        <f>'07a_상반기입력'!G29</f>
        <v/>
      </c>
      <c r="H36" s="20">
        <f>'07a_상반기입력'!H29</f>
        <v/>
      </c>
      <c r="I36" s="20">
        <f>'07a_상반기입력'!I29</f>
        <v/>
      </c>
      <c r="J36" s="20">
        <f>'07a_상반기입력'!J29</f>
        <v/>
      </c>
      <c r="K36" s="20">
        <f>'07a_상반기입력'!K29</f>
        <v/>
      </c>
      <c r="L36" s="56">
        <f>IFERROR((IF(G36="S",5,IF(G36="A",4,IF(G36="B",3,IF(G36="C",2,IF(G36="D",1,0)))))+IF(H36="S",5,IF(H36="A",4,IF(H36="B",3,IF(H36="C",2,IF(H36="D",1,0)))))+IF(I36="S",5,IF(I36="A",4,IF(I36="B",3,IF(I36="C",2,IF(I36="D",1,0)))))+IF(J36="S",5,IF(J36="A",4,IF(J36="B",3,IF(J36="C",2,IF(J36="D",1,0)))))+IF(K36="S",5,IF(K36="A",4,IF(K36="B",3,IF(K36="C",2,IF(K36="D",1,0))))))/5,"")</f>
        <v/>
      </c>
      <c r="M36" s="21">
        <f>'07a_상반기입력'!L29</f>
        <v/>
      </c>
      <c r="N36" s="21">
        <f>'07a_상반기입력'!M29</f>
        <v/>
      </c>
      <c r="O36" s="57">
        <f>IF(N36&lt;&gt;"",N36,IF(M36&lt;&gt;"",M36,IF(L36="","",IF(L36&gt;=4.5,"S",IF(L36&gt;=3.5,"A",IF(L36&gt;=2.5,"B",IF(L36&gt;=1.5,"C","D")))))))</f>
        <v/>
      </c>
      <c r="P36" s="58">
        <f>IF(O36="","",IF(O36="S",5,IF(O36="A",4,IF(O36="B",3,IF(O36="C",2,IF(O36="D",1,0))))))</f>
        <v/>
      </c>
      <c r="Q36" s="4" t="inlineStr"/>
    </row>
    <row r="37" ht="22" customHeight="1">
      <c r="A37" s="33">
        <f>'01_인적정보'!A30</f>
        <v/>
      </c>
      <c r="B37" s="33">
        <f>'01_인적정보'!B30</f>
        <v/>
      </c>
      <c r="C37" s="8">
        <f>'01_인적정보'!C30</f>
        <v/>
      </c>
      <c r="D37" s="8">
        <f>'01_인적정보'!E30</f>
        <v/>
      </c>
      <c r="E37" s="16">
        <f>'01_인적정보'!H30</f>
        <v/>
      </c>
      <c r="F37" s="55">
        <f>IFERROR(VLOOKUP('01_인적정보'!M30,'13_직무역할DB'!$A$6:$D$70,4,FALSE),"")</f>
        <v/>
      </c>
      <c r="G37" s="20">
        <f>'07a_상반기입력'!G30</f>
        <v/>
      </c>
      <c r="H37" s="20">
        <f>'07a_상반기입력'!H30</f>
        <v/>
      </c>
      <c r="I37" s="20">
        <f>'07a_상반기입력'!I30</f>
        <v/>
      </c>
      <c r="J37" s="20">
        <f>'07a_상반기입력'!J30</f>
        <v/>
      </c>
      <c r="K37" s="20">
        <f>'07a_상반기입력'!K30</f>
        <v/>
      </c>
      <c r="L37" s="56">
        <f>IFERROR((IF(G37="S",5,IF(G37="A",4,IF(G37="B",3,IF(G37="C",2,IF(G37="D",1,0)))))+IF(H37="S",5,IF(H37="A",4,IF(H37="B",3,IF(H37="C",2,IF(H37="D",1,0)))))+IF(I37="S",5,IF(I37="A",4,IF(I37="B",3,IF(I37="C",2,IF(I37="D",1,0)))))+IF(J37="S",5,IF(J37="A",4,IF(J37="B",3,IF(J37="C",2,IF(J37="D",1,0)))))+IF(K37="S",5,IF(K37="A",4,IF(K37="B",3,IF(K37="C",2,IF(K37="D",1,0))))))/5,"")</f>
        <v/>
      </c>
      <c r="M37" s="21">
        <f>'07a_상반기입력'!L30</f>
        <v/>
      </c>
      <c r="N37" s="21">
        <f>'07a_상반기입력'!M30</f>
        <v/>
      </c>
      <c r="O37" s="57">
        <f>IF(N37&lt;&gt;"",N37,IF(M37&lt;&gt;"",M37,IF(L37="","",IF(L37&gt;=4.5,"S",IF(L37&gt;=3.5,"A",IF(L37&gt;=2.5,"B",IF(L37&gt;=1.5,"C","D")))))))</f>
        <v/>
      </c>
      <c r="P37" s="58">
        <f>IF(O37="","",IF(O37="S",5,IF(O37="A",4,IF(O37="B",3,IF(O37="C",2,IF(O37="D",1,0))))))</f>
        <v/>
      </c>
      <c r="Q37" s="4" t="inlineStr"/>
    </row>
    <row r="38" ht="22" customHeight="1">
      <c r="A38" s="33">
        <f>'01_인적정보'!A31</f>
        <v/>
      </c>
      <c r="B38" s="33">
        <f>'01_인적정보'!B31</f>
        <v/>
      </c>
      <c r="C38" s="8">
        <f>'01_인적정보'!C31</f>
        <v/>
      </c>
      <c r="D38" s="8">
        <f>'01_인적정보'!E31</f>
        <v/>
      </c>
      <c r="E38" s="16">
        <f>'01_인적정보'!H31</f>
        <v/>
      </c>
      <c r="F38" s="55">
        <f>IFERROR(VLOOKUP('01_인적정보'!M31,'13_직무역할DB'!$A$6:$D$70,4,FALSE),"")</f>
        <v/>
      </c>
      <c r="G38" s="20">
        <f>'07a_상반기입력'!G31</f>
        <v/>
      </c>
      <c r="H38" s="20">
        <f>'07a_상반기입력'!H31</f>
        <v/>
      </c>
      <c r="I38" s="20">
        <f>'07a_상반기입력'!I31</f>
        <v/>
      </c>
      <c r="J38" s="20">
        <f>'07a_상반기입력'!J31</f>
        <v/>
      </c>
      <c r="K38" s="20">
        <f>'07a_상반기입력'!K31</f>
        <v/>
      </c>
      <c r="L38" s="56">
        <f>IFERROR((IF(G38="S",5,IF(G38="A",4,IF(G38="B",3,IF(G38="C",2,IF(G38="D",1,0)))))+IF(H38="S",5,IF(H38="A",4,IF(H38="B",3,IF(H38="C",2,IF(H38="D",1,0)))))+IF(I38="S",5,IF(I38="A",4,IF(I38="B",3,IF(I38="C",2,IF(I38="D",1,0)))))+IF(J38="S",5,IF(J38="A",4,IF(J38="B",3,IF(J38="C",2,IF(J38="D",1,0)))))+IF(K38="S",5,IF(K38="A",4,IF(K38="B",3,IF(K38="C",2,IF(K38="D",1,0))))))/5,"")</f>
        <v/>
      </c>
      <c r="M38" s="21">
        <f>'07a_상반기입력'!L31</f>
        <v/>
      </c>
      <c r="N38" s="21">
        <f>'07a_상반기입력'!M31</f>
        <v/>
      </c>
      <c r="O38" s="57">
        <f>IF(N38&lt;&gt;"",N38,IF(M38&lt;&gt;"",M38,IF(L38="","",IF(L38&gt;=4.5,"S",IF(L38&gt;=3.5,"A",IF(L38&gt;=2.5,"B",IF(L38&gt;=1.5,"C","D")))))))</f>
        <v/>
      </c>
      <c r="P38" s="58">
        <f>IF(O38="","",IF(O38="S",5,IF(O38="A",4,IF(O38="B",3,IF(O38="C",2,IF(O38="D",1,0))))))</f>
        <v/>
      </c>
      <c r="Q38" s="4" t="inlineStr"/>
    </row>
    <row r="39" ht="22" customHeight="1">
      <c r="A39" s="33">
        <f>'01_인적정보'!A32</f>
        <v/>
      </c>
      <c r="B39" s="33">
        <f>'01_인적정보'!B32</f>
        <v/>
      </c>
      <c r="C39" s="8">
        <f>'01_인적정보'!C32</f>
        <v/>
      </c>
      <c r="D39" s="8">
        <f>'01_인적정보'!E32</f>
        <v/>
      </c>
      <c r="E39" s="16">
        <f>'01_인적정보'!H32</f>
        <v/>
      </c>
      <c r="F39" s="55">
        <f>IFERROR(VLOOKUP('01_인적정보'!M32,'13_직무역할DB'!$A$6:$D$70,4,FALSE),"")</f>
        <v/>
      </c>
      <c r="G39" s="20">
        <f>'07a_상반기입력'!G32</f>
        <v/>
      </c>
      <c r="H39" s="20">
        <f>'07a_상반기입력'!H32</f>
        <v/>
      </c>
      <c r="I39" s="20">
        <f>'07a_상반기입력'!I32</f>
        <v/>
      </c>
      <c r="J39" s="20">
        <f>'07a_상반기입력'!J32</f>
        <v/>
      </c>
      <c r="K39" s="20">
        <f>'07a_상반기입력'!K32</f>
        <v/>
      </c>
      <c r="L39" s="56">
        <f>IFERROR((IF(G39="S",5,IF(G39="A",4,IF(G39="B",3,IF(G39="C",2,IF(G39="D",1,0)))))+IF(H39="S",5,IF(H39="A",4,IF(H39="B",3,IF(H39="C",2,IF(H39="D",1,0)))))+IF(I39="S",5,IF(I39="A",4,IF(I39="B",3,IF(I39="C",2,IF(I39="D",1,0)))))+IF(J39="S",5,IF(J39="A",4,IF(J39="B",3,IF(J39="C",2,IF(J39="D",1,0)))))+IF(K39="S",5,IF(K39="A",4,IF(K39="B",3,IF(K39="C",2,IF(K39="D",1,0))))))/5,"")</f>
        <v/>
      </c>
      <c r="M39" s="21">
        <f>'07a_상반기입력'!L32</f>
        <v/>
      </c>
      <c r="N39" s="21">
        <f>'07a_상반기입력'!M32</f>
        <v/>
      </c>
      <c r="O39" s="57">
        <f>IF(N39&lt;&gt;"",N39,IF(M39&lt;&gt;"",M39,IF(L39="","",IF(L39&gt;=4.5,"S",IF(L39&gt;=3.5,"A",IF(L39&gt;=2.5,"B",IF(L39&gt;=1.5,"C","D")))))))</f>
        <v/>
      </c>
      <c r="P39" s="58">
        <f>IF(O39="","",IF(O39="S",5,IF(O39="A",4,IF(O39="B",3,IF(O39="C",2,IF(O39="D",1,0))))))</f>
        <v/>
      </c>
      <c r="Q39" s="4" t="inlineStr"/>
    </row>
    <row r="40" ht="22" customHeight="1">
      <c r="A40" s="33">
        <f>'01_인적정보'!A33</f>
        <v/>
      </c>
      <c r="B40" s="33">
        <f>'01_인적정보'!B33</f>
        <v/>
      </c>
      <c r="C40" s="8">
        <f>'01_인적정보'!C33</f>
        <v/>
      </c>
      <c r="D40" s="8">
        <f>'01_인적정보'!E33</f>
        <v/>
      </c>
      <c r="E40" s="16">
        <f>'01_인적정보'!H33</f>
        <v/>
      </c>
      <c r="F40" s="55">
        <f>IFERROR(VLOOKUP('01_인적정보'!M33,'13_직무역할DB'!$A$6:$D$70,4,FALSE),"")</f>
        <v/>
      </c>
      <c r="G40" s="20">
        <f>'07a_상반기입력'!G33</f>
        <v/>
      </c>
      <c r="H40" s="20">
        <f>'07a_상반기입력'!H33</f>
        <v/>
      </c>
      <c r="I40" s="20">
        <f>'07a_상반기입력'!I33</f>
        <v/>
      </c>
      <c r="J40" s="20">
        <f>'07a_상반기입력'!J33</f>
        <v/>
      </c>
      <c r="K40" s="20">
        <f>'07a_상반기입력'!K33</f>
        <v/>
      </c>
      <c r="L40" s="56">
        <f>IFERROR((IF(G40="S",5,IF(G40="A",4,IF(G40="B",3,IF(G40="C",2,IF(G40="D",1,0)))))+IF(H40="S",5,IF(H40="A",4,IF(H40="B",3,IF(H40="C",2,IF(H40="D",1,0)))))+IF(I40="S",5,IF(I40="A",4,IF(I40="B",3,IF(I40="C",2,IF(I40="D",1,0)))))+IF(J40="S",5,IF(J40="A",4,IF(J40="B",3,IF(J40="C",2,IF(J40="D",1,0)))))+IF(K40="S",5,IF(K40="A",4,IF(K40="B",3,IF(K40="C",2,IF(K40="D",1,0))))))/5,"")</f>
        <v/>
      </c>
      <c r="M40" s="21">
        <f>'07a_상반기입력'!L33</f>
        <v/>
      </c>
      <c r="N40" s="21">
        <f>'07a_상반기입력'!M33</f>
        <v/>
      </c>
      <c r="O40" s="57">
        <f>IF(N40&lt;&gt;"",N40,IF(M40&lt;&gt;"",M40,IF(L40="","",IF(L40&gt;=4.5,"S",IF(L40&gt;=3.5,"A",IF(L40&gt;=2.5,"B",IF(L40&gt;=1.5,"C","D")))))))</f>
        <v/>
      </c>
      <c r="P40" s="58">
        <f>IF(O40="","",IF(O40="S",5,IF(O40="A",4,IF(O40="B",3,IF(O40="C",2,IF(O40="D",1,0))))))</f>
        <v/>
      </c>
      <c r="Q40" s="4" t="inlineStr"/>
    </row>
    <row r="41" ht="22" customHeight="1">
      <c r="A41" s="33">
        <f>'01_인적정보'!A34</f>
        <v/>
      </c>
      <c r="B41" s="33">
        <f>'01_인적정보'!B34</f>
        <v/>
      </c>
      <c r="C41" s="8">
        <f>'01_인적정보'!C34</f>
        <v/>
      </c>
      <c r="D41" s="8">
        <f>'01_인적정보'!E34</f>
        <v/>
      </c>
      <c r="E41" s="16">
        <f>'01_인적정보'!H34</f>
        <v/>
      </c>
      <c r="F41" s="55">
        <f>IFERROR(VLOOKUP('01_인적정보'!M34,'13_직무역할DB'!$A$6:$D$70,4,FALSE),"")</f>
        <v/>
      </c>
      <c r="G41" s="20">
        <f>'07a_상반기입력'!G34</f>
        <v/>
      </c>
      <c r="H41" s="20">
        <f>'07a_상반기입력'!H34</f>
        <v/>
      </c>
      <c r="I41" s="20">
        <f>'07a_상반기입력'!I34</f>
        <v/>
      </c>
      <c r="J41" s="20">
        <f>'07a_상반기입력'!J34</f>
        <v/>
      </c>
      <c r="K41" s="20">
        <f>'07a_상반기입력'!K34</f>
        <v/>
      </c>
      <c r="L41" s="56">
        <f>IFERROR((IF(G41="S",5,IF(G41="A",4,IF(G41="B",3,IF(G41="C",2,IF(G41="D",1,0)))))+IF(H41="S",5,IF(H41="A",4,IF(H41="B",3,IF(H41="C",2,IF(H41="D",1,0)))))+IF(I41="S",5,IF(I41="A",4,IF(I41="B",3,IF(I41="C",2,IF(I41="D",1,0)))))+IF(J41="S",5,IF(J41="A",4,IF(J41="B",3,IF(J41="C",2,IF(J41="D",1,0)))))+IF(K41="S",5,IF(K41="A",4,IF(K41="B",3,IF(K41="C",2,IF(K41="D",1,0))))))/5,"")</f>
        <v/>
      </c>
      <c r="M41" s="21">
        <f>'07a_상반기입력'!L34</f>
        <v/>
      </c>
      <c r="N41" s="21">
        <f>'07a_상반기입력'!M34</f>
        <v/>
      </c>
      <c r="O41" s="57">
        <f>IF(N41&lt;&gt;"",N41,IF(M41&lt;&gt;"",M41,IF(L41="","",IF(L41&gt;=4.5,"S",IF(L41&gt;=3.5,"A",IF(L41&gt;=2.5,"B",IF(L41&gt;=1.5,"C","D")))))))</f>
        <v/>
      </c>
      <c r="P41" s="58">
        <f>IF(O41="","",IF(O41="S",5,IF(O41="A",4,IF(O41="B",3,IF(O41="C",2,IF(O41="D",1,0))))))</f>
        <v/>
      </c>
      <c r="Q41" s="4" t="inlineStr"/>
    </row>
    <row r="42" ht="22" customHeight="1">
      <c r="A42" s="33">
        <f>'01_인적정보'!A35</f>
        <v/>
      </c>
      <c r="B42" s="33">
        <f>'01_인적정보'!B35</f>
        <v/>
      </c>
      <c r="C42" s="8">
        <f>'01_인적정보'!C35</f>
        <v/>
      </c>
      <c r="D42" s="8">
        <f>'01_인적정보'!E35</f>
        <v/>
      </c>
      <c r="E42" s="16">
        <f>'01_인적정보'!H35</f>
        <v/>
      </c>
      <c r="F42" s="55">
        <f>IFERROR(VLOOKUP('01_인적정보'!M35,'13_직무역할DB'!$A$6:$D$70,4,FALSE),"")</f>
        <v/>
      </c>
      <c r="G42" s="20">
        <f>'07a_상반기입력'!G35</f>
        <v/>
      </c>
      <c r="H42" s="20">
        <f>'07a_상반기입력'!H35</f>
        <v/>
      </c>
      <c r="I42" s="20">
        <f>'07a_상반기입력'!I35</f>
        <v/>
      </c>
      <c r="J42" s="20">
        <f>'07a_상반기입력'!J35</f>
        <v/>
      </c>
      <c r="K42" s="20">
        <f>'07a_상반기입력'!K35</f>
        <v/>
      </c>
      <c r="L42" s="56">
        <f>IFERROR((IF(G42="S",5,IF(G42="A",4,IF(G42="B",3,IF(G42="C",2,IF(G42="D",1,0)))))+IF(H42="S",5,IF(H42="A",4,IF(H42="B",3,IF(H42="C",2,IF(H42="D",1,0)))))+IF(I42="S",5,IF(I42="A",4,IF(I42="B",3,IF(I42="C",2,IF(I42="D",1,0)))))+IF(J42="S",5,IF(J42="A",4,IF(J42="B",3,IF(J42="C",2,IF(J42="D",1,0)))))+IF(K42="S",5,IF(K42="A",4,IF(K42="B",3,IF(K42="C",2,IF(K42="D",1,0))))))/5,"")</f>
        <v/>
      </c>
      <c r="M42" s="21">
        <f>'07a_상반기입력'!L35</f>
        <v/>
      </c>
      <c r="N42" s="21">
        <f>'07a_상반기입력'!M35</f>
        <v/>
      </c>
      <c r="O42" s="57">
        <f>IF(N42&lt;&gt;"",N42,IF(M42&lt;&gt;"",M42,IF(L42="","",IF(L42&gt;=4.5,"S",IF(L42&gt;=3.5,"A",IF(L42&gt;=2.5,"B",IF(L42&gt;=1.5,"C","D")))))))</f>
        <v/>
      </c>
      <c r="P42" s="58">
        <f>IF(O42="","",IF(O42="S",5,IF(O42="A",4,IF(O42="B",3,IF(O42="C",2,IF(O42="D",1,0))))))</f>
        <v/>
      </c>
      <c r="Q42" s="4" t="inlineStr"/>
    </row>
    <row r="43" ht="22" customHeight="1">
      <c r="A43" s="33">
        <f>'01_인적정보'!A36</f>
        <v/>
      </c>
      <c r="B43" s="33">
        <f>'01_인적정보'!B36</f>
        <v/>
      </c>
      <c r="C43" s="8">
        <f>'01_인적정보'!C36</f>
        <v/>
      </c>
      <c r="D43" s="8">
        <f>'01_인적정보'!E36</f>
        <v/>
      </c>
      <c r="E43" s="16">
        <f>'01_인적정보'!H36</f>
        <v/>
      </c>
      <c r="F43" s="55">
        <f>IFERROR(VLOOKUP('01_인적정보'!M36,'13_직무역할DB'!$A$6:$D$70,4,FALSE),"")</f>
        <v/>
      </c>
      <c r="G43" s="20">
        <f>'07a_상반기입력'!G36</f>
        <v/>
      </c>
      <c r="H43" s="20">
        <f>'07a_상반기입력'!H36</f>
        <v/>
      </c>
      <c r="I43" s="20">
        <f>'07a_상반기입력'!I36</f>
        <v/>
      </c>
      <c r="J43" s="20">
        <f>'07a_상반기입력'!J36</f>
        <v/>
      </c>
      <c r="K43" s="20">
        <f>'07a_상반기입력'!K36</f>
        <v/>
      </c>
      <c r="L43" s="56">
        <f>IFERROR((IF(G43="S",5,IF(G43="A",4,IF(G43="B",3,IF(G43="C",2,IF(G43="D",1,0)))))+IF(H43="S",5,IF(H43="A",4,IF(H43="B",3,IF(H43="C",2,IF(H43="D",1,0)))))+IF(I43="S",5,IF(I43="A",4,IF(I43="B",3,IF(I43="C",2,IF(I43="D",1,0)))))+IF(J43="S",5,IF(J43="A",4,IF(J43="B",3,IF(J43="C",2,IF(J43="D",1,0)))))+IF(K43="S",5,IF(K43="A",4,IF(K43="B",3,IF(K43="C",2,IF(K43="D",1,0))))))/5,"")</f>
        <v/>
      </c>
      <c r="M43" s="21">
        <f>'07a_상반기입력'!L36</f>
        <v/>
      </c>
      <c r="N43" s="21">
        <f>'07a_상반기입력'!M36</f>
        <v/>
      </c>
      <c r="O43" s="57">
        <f>IF(N43&lt;&gt;"",N43,IF(M43&lt;&gt;"",M43,IF(L43="","",IF(L43&gt;=4.5,"S",IF(L43&gt;=3.5,"A",IF(L43&gt;=2.5,"B",IF(L43&gt;=1.5,"C","D")))))))</f>
        <v/>
      </c>
      <c r="P43" s="58">
        <f>IF(O43="","",IF(O43="S",5,IF(O43="A",4,IF(O43="B",3,IF(O43="C",2,IF(O43="D",1,0))))))</f>
        <v/>
      </c>
      <c r="Q43" s="4" t="inlineStr"/>
    </row>
    <row r="44" ht="22" customHeight="1">
      <c r="A44" s="33">
        <f>'01_인적정보'!A37</f>
        <v/>
      </c>
      <c r="B44" s="33">
        <f>'01_인적정보'!B37</f>
        <v/>
      </c>
      <c r="C44" s="8">
        <f>'01_인적정보'!C37</f>
        <v/>
      </c>
      <c r="D44" s="8">
        <f>'01_인적정보'!E37</f>
        <v/>
      </c>
      <c r="E44" s="16">
        <f>'01_인적정보'!H37</f>
        <v/>
      </c>
      <c r="F44" s="55">
        <f>IFERROR(VLOOKUP('01_인적정보'!M37,'13_직무역할DB'!$A$6:$D$70,4,FALSE),"")</f>
        <v/>
      </c>
      <c r="G44" s="20">
        <f>'07a_상반기입력'!G37</f>
        <v/>
      </c>
      <c r="H44" s="20">
        <f>'07a_상반기입력'!H37</f>
        <v/>
      </c>
      <c r="I44" s="20">
        <f>'07a_상반기입력'!I37</f>
        <v/>
      </c>
      <c r="J44" s="20">
        <f>'07a_상반기입력'!J37</f>
        <v/>
      </c>
      <c r="K44" s="20">
        <f>'07a_상반기입력'!K37</f>
        <v/>
      </c>
      <c r="L44" s="56">
        <f>IFERROR((IF(G44="S",5,IF(G44="A",4,IF(G44="B",3,IF(G44="C",2,IF(G44="D",1,0)))))+IF(H44="S",5,IF(H44="A",4,IF(H44="B",3,IF(H44="C",2,IF(H44="D",1,0)))))+IF(I44="S",5,IF(I44="A",4,IF(I44="B",3,IF(I44="C",2,IF(I44="D",1,0)))))+IF(J44="S",5,IF(J44="A",4,IF(J44="B",3,IF(J44="C",2,IF(J44="D",1,0)))))+IF(K44="S",5,IF(K44="A",4,IF(K44="B",3,IF(K44="C",2,IF(K44="D",1,0))))))/5,"")</f>
        <v/>
      </c>
      <c r="M44" s="21">
        <f>'07a_상반기입력'!L37</f>
        <v/>
      </c>
      <c r="N44" s="21">
        <f>'07a_상반기입력'!M37</f>
        <v/>
      </c>
      <c r="O44" s="57">
        <f>IF(N44&lt;&gt;"",N44,IF(M44&lt;&gt;"",M44,IF(L44="","",IF(L44&gt;=4.5,"S",IF(L44&gt;=3.5,"A",IF(L44&gt;=2.5,"B",IF(L44&gt;=1.5,"C","D")))))))</f>
        <v/>
      </c>
      <c r="P44" s="58">
        <f>IF(O44="","",IF(O44="S",5,IF(O44="A",4,IF(O44="B",3,IF(O44="C",2,IF(O44="D",1,0))))))</f>
        <v/>
      </c>
      <c r="Q44" s="4" t="inlineStr"/>
    </row>
    <row r="45" ht="22" customHeight="1">
      <c r="A45" s="33">
        <f>'01_인적정보'!A38</f>
        <v/>
      </c>
      <c r="B45" s="33">
        <f>'01_인적정보'!B38</f>
        <v/>
      </c>
      <c r="C45" s="8">
        <f>'01_인적정보'!C38</f>
        <v/>
      </c>
      <c r="D45" s="8">
        <f>'01_인적정보'!E38</f>
        <v/>
      </c>
      <c r="E45" s="16">
        <f>'01_인적정보'!H38</f>
        <v/>
      </c>
      <c r="F45" s="55">
        <f>IFERROR(VLOOKUP('01_인적정보'!M38,'13_직무역할DB'!$A$6:$D$70,4,FALSE),"")</f>
        <v/>
      </c>
      <c r="G45" s="20">
        <f>'07a_상반기입력'!G38</f>
        <v/>
      </c>
      <c r="H45" s="20">
        <f>'07a_상반기입력'!H38</f>
        <v/>
      </c>
      <c r="I45" s="20">
        <f>'07a_상반기입력'!I38</f>
        <v/>
      </c>
      <c r="J45" s="20">
        <f>'07a_상반기입력'!J38</f>
        <v/>
      </c>
      <c r="K45" s="20">
        <f>'07a_상반기입력'!K38</f>
        <v/>
      </c>
      <c r="L45" s="56">
        <f>IFERROR((IF(G45="S",5,IF(G45="A",4,IF(G45="B",3,IF(G45="C",2,IF(G45="D",1,0)))))+IF(H45="S",5,IF(H45="A",4,IF(H45="B",3,IF(H45="C",2,IF(H45="D",1,0)))))+IF(I45="S",5,IF(I45="A",4,IF(I45="B",3,IF(I45="C",2,IF(I45="D",1,0)))))+IF(J45="S",5,IF(J45="A",4,IF(J45="B",3,IF(J45="C",2,IF(J45="D",1,0)))))+IF(K45="S",5,IF(K45="A",4,IF(K45="B",3,IF(K45="C",2,IF(K45="D",1,0))))))/5,"")</f>
        <v/>
      </c>
      <c r="M45" s="21">
        <f>'07a_상반기입력'!L38</f>
        <v/>
      </c>
      <c r="N45" s="21">
        <f>'07a_상반기입력'!M38</f>
        <v/>
      </c>
      <c r="O45" s="57">
        <f>IF(N45&lt;&gt;"",N45,IF(M45&lt;&gt;"",M45,IF(L45="","",IF(L45&gt;=4.5,"S",IF(L45&gt;=3.5,"A",IF(L45&gt;=2.5,"B",IF(L45&gt;=1.5,"C","D")))))))</f>
        <v/>
      </c>
      <c r="P45" s="58">
        <f>IF(O45="","",IF(O45="S",5,IF(O45="A",4,IF(O45="B",3,IF(O45="C",2,IF(O45="D",1,0))))))</f>
        <v/>
      </c>
      <c r="Q45" s="4" t="inlineStr"/>
    </row>
    <row r="46" ht="22" customHeight="1">
      <c r="A46" s="33">
        <f>'01_인적정보'!A39</f>
        <v/>
      </c>
      <c r="B46" s="33">
        <f>'01_인적정보'!B39</f>
        <v/>
      </c>
      <c r="C46" s="8">
        <f>'01_인적정보'!C39</f>
        <v/>
      </c>
      <c r="D46" s="8">
        <f>'01_인적정보'!E39</f>
        <v/>
      </c>
      <c r="E46" s="16">
        <f>'01_인적정보'!H39</f>
        <v/>
      </c>
      <c r="F46" s="55">
        <f>IFERROR(VLOOKUP('01_인적정보'!M39,'13_직무역할DB'!$A$6:$D$70,4,FALSE),"")</f>
        <v/>
      </c>
      <c r="G46" s="20">
        <f>'07a_상반기입력'!G39</f>
        <v/>
      </c>
      <c r="H46" s="20">
        <f>'07a_상반기입력'!H39</f>
        <v/>
      </c>
      <c r="I46" s="20">
        <f>'07a_상반기입력'!I39</f>
        <v/>
      </c>
      <c r="J46" s="20">
        <f>'07a_상반기입력'!J39</f>
        <v/>
      </c>
      <c r="K46" s="20">
        <f>'07a_상반기입력'!K39</f>
        <v/>
      </c>
      <c r="L46" s="56">
        <f>IFERROR((IF(G46="S",5,IF(G46="A",4,IF(G46="B",3,IF(G46="C",2,IF(G46="D",1,0)))))+IF(H46="S",5,IF(H46="A",4,IF(H46="B",3,IF(H46="C",2,IF(H46="D",1,0)))))+IF(I46="S",5,IF(I46="A",4,IF(I46="B",3,IF(I46="C",2,IF(I46="D",1,0)))))+IF(J46="S",5,IF(J46="A",4,IF(J46="B",3,IF(J46="C",2,IF(J46="D",1,0)))))+IF(K46="S",5,IF(K46="A",4,IF(K46="B",3,IF(K46="C",2,IF(K46="D",1,0))))))/5,"")</f>
        <v/>
      </c>
      <c r="M46" s="21">
        <f>'07a_상반기입력'!L39</f>
        <v/>
      </c>
      <c r="N46" s="21">
        <f>'07a_상반기입력'!M39</f>
        <v/>
      </c>
      <c r="O46" s="57">
        <f>IF(N46&lt;&gt;"",N46,IF(M46&lt;&gt;"",M46,IF(L46="","",IF(L46&gt;=4.5,"S",IF(L46&gt;=3.5,"A",IF(L46&gt;=2.5,"B",IF(L46&gt;=1.5,"C","D")))))))</f>
        <v/>
      </c>
      <c r="P46" s="58">
        <f>IF(O46="","",IF(O46="S",5,IF(O46="A",4,IF(O46="B",3,IF(O46="C",2,IF(O46="D",1,0))))))</f>
        <v/>
      </c>
      <c r="Q46" s="4" t="inlineStr"/>
    </row>
    <row r="56">
      <c r="A56" s="54" t="inlineStr">
        <is>
          <t>■ 하반기 역할평가 (34명)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9" t="n"/>
    </row>
    <row r="57" ht="32" customHeight="1">
      <c r="A57" s="22" t="inlineStr">
        <is>
          <t>No.</t>
        </is>
      </c>
      <c r="B57" s="22" t="inlineStr">
        <is>
          <t>사번</t>
        </is>
      </c>
      <c r="C57" s="22" t="inlineStr">
        <is>
          <t>성명</t>
        </is>
      </c>
      <c r="D57" s="22" t="inlineStr">
        <is>
          <t>직무</t>
        </is>
      </c>
      <c r="E57" s="22" t="inlineStr">
        <is>
          <t>역할등급</t>
        </is>
      </c>
      <c r="F57" s="22" t="inlineStr">
        <is>
          <t>역할명</t>
        </is>
      </c>
      <c r="G57" s="22" t="inlineStr">
        <is>
          <t>R-1</t>
        </is>
      </c>
      <c r="H57" s="22" t="inlineStr">
        <is>
          <t>R-2</t>
        </is>
      </c>
      <c r="I57" s="22" t="inlineStr">
        <is>
          <t>R-3</t>
        </is>
      </c>
      <c r="J57" s="22" t="inlineStr">
        <is>
          <t>R-4</t>
        </is>
      </c>
      <c r="K57" s="22" t="inlineStr">
        <is>
          <t>R-5</t>
        </is>
      </c>
      <c r="L57" s="22" t="inlineStr">
        <is>
          <t>5개 평균</t>
        </is>
      </c>
      <c r="M57" s="22" t="inlineStr">
        <is>
          <t>1차(종합)</t>
        </is>
      </c>
      <c r="N57" s="22" t="inlineStr">
        <is>
          <t>2차(종합)</t>
        </is>
      </c>
      <c r="O57" s="22" t="inlineStr">
        <is>
          <t>확정등급</t>
        </is>
      </c>
      <c r="P57" s="22" t="inlineStr">
        <is>
          <t>평가점수</t>
        </is>
      </c>
      <c r="Q57" s="22" t="inlineStr">
        <is>
          <t>강점·개선 소견</t>
        </is>
      </c>
    </row>
    <row r="58" ht="22" customHeight="1">
      <c r="A58" s="33">
        <f>'01_인적정보'!A6</f>
        <v/>
      </c>
      <c r="B58" s="33">
        <f>'01_인적정보'!B6</f>
        <v/>
      </c>
      <c r="C58" s="8">
        <f>'01_인적정보'!C6</f>
        <v/>
      </c>
      <c r="D58" s="8">
        <f>'01_인적정보'!E6</f>
        <v/>
      </c>
      <c r="E58" s="16">
        <f>'01_인적정보'!H6</f>
        <v/>
      </c>
      <c r="F58" s="55">
        <f>IFERROR(VLOOKUP('01_인적정보'!M6,'13_직무역할DB'!$A$6:$D$70,4,FALSE),"")</f>
        <v/>
      </c>
      <c r="G58" s="20">
        <f>'07b_하반기입력'!G6</f>
        <v/>
      </c>
      <c r="H58" s="20">
        <f>'07b_하반기입력'!H6</f>
        <v/>
      </c>
      <c r="I58" s="20">
        <f>'07b_하반기입력'!I6</f>
        <v/>
      </c>
      <c r="J58" s="20">
        <f>'07b_하반기입력'!J6</f>
        <v/>
      </c>
      <c r="K58" s="20">
        <f>'07b_하반기입력'!K6</f>
        <v/>
      </c>
      <c r="L58" s="56">
        <f>IFERROR((IF(G58="S",5,IF(G58="A",4,IF(G58="B",3,IF(G58="C",2,IF(G58="D",1,0)))))+IF(H58="S",5,IF(H58="A",4,IF(H58="B",3,IF(H58="C",2,IF(H58="D",1,0)))))+IF(I58="S",5,IF(I58="A",4,IF(I58="B",3,IF(I58="C",2,IF(I58="D",1,0)))))+IF(J58="S",5,IF(J58="A",4,IF(J58="B",3,IF(J58="C",2,IF(J58="D",1,0)))))+IF(K58="S",5,IF(K58="A",4,IF(K58="B",3,IF(K58="C",2,IF(K58="D",1,0))))))/5,"")</f>
        <v/>
      </c>
      <c r="M58" s="21">
        <f>'07b_하반기입력'!L6</f>
        <v/>
      </c>
      <c r="N58" s="21">
        <f>'07b_하반기입력'!M6</f>
        <v/>
      </c>
      <c r="O58" s="57">
        <f>IF(N58&lt;&gt;"",N58,IF(M58&lt;&gt;"",M58,IF(L58="","",IF(L58&gt;=4.5,"S",IF(L58&gt;=3.5,"A",IF(L58&gt;=2.5,"B",IF(L58&gt;=1.5,"C","D")))))))</f>
        <v/>
      </c>
      <c r="P58" s="58">
        <f>IF(O58="","",IF(O58="S",5,IF(O58="A",4,IF(O58="B",3,IF(O58="C",2,IF(O58="D",1,0))))))</f>
        <v/>
      </c>
      <c r="Q58" s="4" t="inlineStr"/>
    </row>
    <row r="59" ht="22" customHeight="1">
      <c r="A59" s="33">
        <f>'01_인적정보'!A7</f>
        <v/>
      </c>
      <c r="B59" s="33">
        <f>'01_인적정보'!B7</f>
        <v/>
      </c>
      <c r="C59" s="8">
        <f>'01_인적정보'!C7</f>
        <v/>
      </c>
      <c r="D59" s="8">
        <f>'01_인적정보'!E7</f>
        <v/>
      </c>
      <c r="E59" s="16">
        <f>'01_인적정보'!H7</f>
        <v/>
      </c>
      <c r="F59" s="55">
        <f>IFERROR(VLOOKUP('01_인적정보'!M7,'13_직무역할DB'!$A$6:$D$70,4,FALSE),"")</f>
        <v/>
      </c>
      <c r="G59" s="20">
        <f>'07b_하반기입력'!G7</f>
        <v/>
      </c>
      <c r="H59" s="20">
        <f>'07b_하반기입력'!H7</f>
        <v/>
      </c>
      <c r="I59" s="20">
        <f>'07b_하반기입력'!I7</f>
        <v/>
      </c>
      <c r="J59" s="20">
        <f>'07b_하반기입력'!J7</f>
        <v/>
      </c>
      <c r="K59" s="20">
        <f>'07b_하반기입력'!K7</f>
        <v/>
      </c>
      <c r="L59" s="56">
        <f>IFERROR((IF(G59="S",5,IF(G59="A",4,IF(G59="B",3,IF(G59="C",2,IF(G59="D",1,0)))))+IF(H59="S",5,IF(H59="A",4,IF(H59="B",3,IF(H59="C",2,IF(H59="D",1,0)))))+IF(I59="S",5,IF(I59="A",4,IF(I59="B",3,IF(I59="C",2,IF(I59="D",1,0)))))+IF(J59="S",5,IF(J59="A",4,IF(J59="B",3,IF(J59="C",2,IF(J59="D",1,0)))))+IF(K59="S",5,IF(K59="A",4,IF(K59="B",3,IF(K59="C",2,IF(K59="D",1,0))))))/5,"")</f>
        <v/>
      </c>
      <c r="M59" s="21">
        <f>'07b_하반기입력'!L7</f>
        <v/>
      </c>
      <c r="N59" s="21">
        <f>'07b_하반기입력'!M7</f>
        <v/>
      </c>
      <c r="O59" s="57">
        <f>IF(N59&lt;&gt;"",N59,IF(M59&lt;&gt;"",M59,IF(L59="","",IF(L59&gt;=4.5,"S",IF(L59&gt;=3.5,"A",IF(L59&gt;=2.5,"B",IF(L59&gt;=1.5,"C","D")))))))</f>
        <v/>
      </c>
      <c r="P59" s="58">
        <f>IF(O59="","",IF(O59="S",5,IF(O59="A",4,IF(O59="B",3,IF(O59="C",2,IF(O59="D",1,0))))))</f>
        <v/>
      </c>
      <c r="Q59" s="4" t="inlineStr"/>
    </row>
    <row r="60" ht="22" customHeight="1">
      <c r="A60" s="33">
        <f>'01_인적정보'!A8</f>
        <v/>
      </c>
      <c r="B60" s="33">
        <f>'01_인적정보'!B8</f>
        <v/>
      </c>
      <c r="C60" s="8">
        <f>'01_인적정보'!C8</f>
        <v/>
      </c>
      <c r="D60" s="8">
        <f>'01_인적정보'!E8</f>
        <v/>
      </c>
      <c r="E60" s="16">
        <f>'01_인적정보'!H8</f>
        <v/>
      </c>
      <c r="F60" s="55">
        <f>IFERROR(VLOOKUP('01_인적정보'!M8,'13_직무역할DB'!$A$6:$D$70,4,FALSE),"")</f>
        <v/>
      </c>
      <c r="G60" s="20">
        <f>'07b_하반기입력'!G8</f>
        <v/>
      </c>
      <c r="H60" s="20">
        <f>'07b_하반기입력'!H8</f>
        <v/>
      </c>
      <c r="I60" s="20">
        <f>'07b_하반기입력'!I8</f>
        <v/>
      </c>
      <c r="J60" s="20">
        <f>'07b_하반기입력'!J8</f>
        <v/>
      </c>
      <c r="K60" s="20">
        <f>'07b_하반기입력'!K8</f>
        <v/>
      </c>
      <c r="L60" s="56">
        <f>IFERROR((IF(G60="S",5,IF(G60="A",4,IF(G60="B",3,IF(G60="C",2,IF(G60="D",1,0)))))+IF(H60="S",5,IF(H60="A",4,IF(H60="B",3,IF(H60="C",2,IF(H60="D",1,0)))))+IF(I60="S",5,IF(I60="A",4,IF(I60="B",3,IF(I60="C",2,IF(I60="D",1,0)))))+IF(J60="S",5,IF(J60="A",4,IF(J60="B",3,IF(J60="C",2,IF(J60="D",1,0)))))+IF(K60="S",5,IF(K60="A",4,IF(K60="B",3,IF(K60="C",2,IF(K60="D",1,0))))))/5,"")</f>
        <v/>
      </c>
      <c r="M60" s="21">
        <f>'07b_하반기입력'!L8</f>
        <v/>
      </c>
      <c r="N60" s="21">
        <f>'07b_하반기입력'!M8</f>
        <v/>
      </c>
      <c r="O60" s="57">
        <f>IF(N60&lt;&gt;"",N60,IF(M60&lt;&gt;"",M60,IF(L60="","",IF(L60&gt;=4.5,"S",IF(L60&gt;=3.5,"A",IF(L60&gt;=2.5,"B",IF(L60&gt;=1.5,"C","D")))))))</f>
        <v/>
      </c>
      <c r="P60" s="58">
        <f>IF(O60="","",IF(O60="S",5,IF(O60="A",4,IF(O60="B",3,IF(O60="C",2,IF(O60="D",1,0))))))</f>
        <v/>
      </c>
      <c r="Q60" s="4" t="inlineStr"/>
    </row>
    <row r="61" ht="22" customHeight="1">
      <c r="A61" s="33">
        <f>'01_인적정보'!A9</f>
        <v/>
      </c>
      <c r="B61" s="33">
        <f>'01_인적정보'!B9</f>
        <v/>
      </c>
      <c r="C61" s="8">
        <f>'01_인적정보'!C9</f>
        <v/>
      </c>
      <c r="D61" s="8">
        <f>'01_인적정보'!E9</f>
        <v/>
      </c>
      <c r="E61" s="16">
        <f>'01_인적정보'!H9</f>
        <v/>
      </c>
      <c r="F61" s="55">
        <f>IFERROR(VLOOKUP('01_인적정보'!M9,'13_직무역할DB'!$A$6:$D$70,4,FALSE),"")</f>
        <v/>
      </c>
      <c r="G61" s="20">
        <f>'07b_하반기입력'!G9</f>
        <v/>
      </c>
      <c r="H61" s="20">
        <f>'07b_하반기입력'!H9</f>
        <v/>
      </c>
      <c r="I61" s="20">
        <f>'07b_하반기입력'!I9</f>
        <v/>
      </c>
      <c r="J61" s="20">
        <f>'07b_하반기입력'!J9</f>
        <v/>
      </c>
      <c r="K61" s="20">
        <f>'07b_하반기입력'!K9</f>
        <v/>
      </c>
      <c r="L61" s="56">
        <f>IFERROR((IF(G61="S",5,IF(G61="A",4,IF(G61="B",3,IF(G61="C",2,IF(G61="D",1,0)))))+IF(H61="S",5,IF(H61="A",4,IF(H61="B",3,IF(H61="C",2,IF(H61="D",1,0)))))+IF(I61="S",5,IF(I61="A",4,IF(I61="B",3,IF(I61="C",2,IF(I61="D",1,0)))))+IF(J61="S",5,IF(J61="A",4,IF(J61="B",3,IF(J61="C",2,IF(J61="D",1,0)))))+IF(K61="S",5,IF(K61="A",4,IF(K61="B",3,IF(K61="C",2,IF(K61="D",1,0))))))/5,"")</f>
        <v/>
      </c>
      <c r="M61" s="21">
        <f>'07b_하반기입력'!L9</f>
        <v/>
      </c>
      <c r="N61" s="21">
        <f>'07b_하반기입력'!M9</f>
        <v/>
      </c>
      <c r="O61" s="57">
        <f>IF(N61&lt;&gt;"",N61,IF(M61&lt;&gt;"",M61,IF(L61="","",IF(L61&gt;=4.5,"S",IF(L61&gt;=3.5,"A",IF(L61&gt;=2.5,"B",IF(L61&gt;=1.5,"C","D")))))))</f>
        <v/>
      </c>
      <c r="P61" s="58">
        <f>IF(O61="","",IF(O61="S",5,IF(O61="A",4,IF(O61="B",3,IF(O61="C",2,IF(O61="D",1,0))))))</f>
        <v/>
      </c>
      <c r="Q61" s="4" t="inlineStr"/>
    </row>
    <row r="62" ht="22" customHeight="1">
      <c r="A62" s="33">
        <f>'01_인적정보'!A10</f>
        <v/>
      </c>
      <c r="B62" s="33">
        <f>'01_인적정보'!B10</f>
        <v/>
      </c>
      <c r="C62" s="8">
        <f>'01_인적정보'!C10</f>
        <v/>
      </c>
      <c r="D62" s="8">
        <f>'01_인적정보'!E10</f>
        <v/>
      </c>
      <c r="E62" s="16">
        <f>'01_인적정보'!H10</f>
        <v/>
      </c>
      <c r="F62" s="55">
        <f>IFERROR(VLOOKUP('01_인적정보'!M10,'13_직무역할DB'!$A$6:$D$70,4,FALSE),"")</f>
        <v/>
      </c>
      <c r="G62" s="20">
        <f>'07b_하반기입력'!G10</f>
        <v/>
      </c>
      <c r="H62" s="20">
        <f>'07b_하반기입력'!H10</f>
        <v/>
      </c>
      <c r="I62" s="20">
        <f>'07b_하반기입력'!I10</f>
        <v/>
      </c>
      <c r="J62" s="20">
        <f>'07b_하반기입력'!J10</f>
        <v/>
      </c>
      <c r="K62" s="20">
        <f>'07b_하반기입력'!K10</f>
        <v/>
      </c>
      <c r="L62" s="56">
        <f>IFERROR((IF(G62="S",5,IF(G62="A",4,IF(G62="B",3,IF(G62="C",2,IF(G62="D",1,0)))))+IF(H62="S",5,IF(H62="A",4,IF(H62="B",3,IF(H62="C",2,IF(H62="D",1,0)))))+IF(I62="S",5,IF(I62="A",4,IF(I62="B",3,IF(I62="C",2,IF(I62="D",1,0)))))+IF(J62="S",5,IF(J62="A",4,IF(J62="B",3,IF(J62="C",2,IF(J62="D",1,0)))))+IF(K62="S",5,IF(K62="A",4,IF(K62="B",3,IF(K62="C",2,IF(K62="D",1,0))))))/5,"")</f>
        <v/>
      </c>
      <c r="M62" s="21">
        <f>'07b_하반기입력'!L10</f>
        <v/>
      </c>
      <c r="N62" s="21">
        <f>'07b_하반기입력'!M10</f>
        <v/>
      </c>
      <c r="O62" s="57">
        <f>IF(N62&lt;&gt;"",N62,IF(M62&lt;&gt;"",M62,IF(L62="","",IF(L62&gt;=4.5,"S",IF(L62&gt;=3.5,"A",IF(L62&gt;=2.5,"B",IF(L62&gt;=1.5,"C","D")))))))</f>
        <v/>
      </c>
      <c r="P62" s="58">
        <f>IF(O62="","",IF(O62="S",5,IF(O62="A",4,IF(O62="B",3,IF(O62="C",2,IF(O62="D",1,0))))))</f>
        <v/>
      </c>
      <c r="Q62" s="4" t="inlineStr"/>
    </row>
    <row r="63" ht="22" customHeight="1">
      <c r="A63" s="33">
        <f>'01_인적정보'!A11</f>
        <v/>
      </c>
      <c r="B63" s="33">
        <f>'01_인적정보'!B11</f>
        <v/>
      </c>
      <c r="C63" s="8">
        <f>'01_인적정보'!C11</f>
        <v/>
      </c>
      <c r="D63" s="8">
        <f>'01_인적정보'!E11</f>
        <v/>
      </c>
      <c r="E63" s="16">
        <f>'01_인적정보'!H11</f>
        <v/>
      </c>
      <c r="F63" s="55">
        <f>IFERROR(VLOOKUP('01_인적정보'!M11,'13_직무역할DB'!$A$6:$D$70,4,FALSE),"")</f>
        <v/>
      </c>
      <c r="G63" s="20">
        <f>'07b_하반기입력'!G11</f>
        <v/>
      </c>
      <c r="H63" s="20">
        <f>'07b_하반기입력'!H11</f>
        <v/>
      </c>
      <c r="I63" s="20">
        <f>'07b_하반기입력'!I11</f>
        <v/>
      </c>
      <c r="J63" s="20">
        <f>'07b_하반기입력'!J11</f>
        <v/>
      </c>
      <c r="K63" s="20">
        <f>'07b_하반기입력'!K11</f>
        <v/>
      </c>
      <c r="L63" s="56">
        <f>IFERROR((IF(G63="S",5,IF(G63="A",4,IF(G63="B",3,IF(G63="C",2,IF(G63="D",1,0)))))+IF(H63="S",5,IF(H63="A",4,IF(H63="B",3,IF(H63="C",2,IF(H63="D",1,0)))))+IF(I63="S",5,IF(I63="A",4,IF(I63="B",3,IF(I63="C",2,IF(I63="D",1,0)))))+IF(J63="S",5,IF(J63="A",4,IF(J63="B",3,IF(J63="C",2,IF(J63="D",1,0)))))+IF(K63="S",5,IF(K63="A",4,IF(K63="B",3,IF(K63="C",2,IF(K63="D",1,0))))))/5,"")</f>
        <v/>
      </c>
      <c r="M63" s="21">
        <f>'07b_하반기입력'!L11</f>
        <v/>
      </c>
      <c r="N63" s="21">
        <f>'07b_하반기입력'!M11</f>
        <v/>
      </c>
      <c r="O63" s="57">
        <f>IF(N63&lt;&gt;"",N63,IF(M63&lt;&gt;"",M63,IF(L63="","",IF(L63&gt;=4.5,"S",IF(L63&gt;=3.5,"A",IF(L63&gt;=2.5,"B",IF(L63&gt;=1.5,"C","D")))))))</f>
        <v/>
      </c>
      <c r="P63" s="58">
        <f>IF(O63="","",IF(O63="S",5,IF(O63="A",4,IF(O63="B",3,IF(O63="C",2,IF(O63="D",1,0))))))</f>
        <v/>
      </c>
      <c r="Q63" s="4" t="inlineStr"/>
    </row>
    <row r="64" ht="22" customHeight="1">
      <c r="A64" s="33">
        <f>'01_인적정보'!A12</f>
        <v/>
      </c>
      <c r="B64" s="33">
        <f>'01_인적정보'!B12</f>
        <v/>
      </c>
      <c r="C64" s="8">
        <f>'01_인적정보'!C12</f>
        <v/>
      </c>
      <c r="D64" s="8">
        <f>'01_인적정보'!E12</f>
        <v/>
      </c>
      <c r="E64" s="16">
        <f>'01_인적정보'!H12</f>
        <v/>
      </c>
      <c r="F64" s="55">
        <f>IFERROR(VLOOKUP('01_인적정보'!M12,'13_직무역할DB'!$A$6:$D$70,4,FALSE),"")</f>
        <v/>
      </c>
      <c r="G64" s="20">
        <f>'07b_하반기입력'!G12</f>
        <v/>
      </c>
      <c r="H64" s="20">
        <f>'07b_하반기입력'!H12</f>
        <v/>
      </c>
      <c r="I64" s="20">
        <f>'07b_하반기입력'!I12</f>
        <v/>
      </c>
      <c r="J64" s="20">
        <f>'07b_하반기입력'!J12</f>
        <v/>
      </c>
      <c r="K64" s="20">
        <f>'07b_하반기입력'!K12</f>
        <v/>
      </c>
      <c r="L64" s="56">
        <f>IFERROR((IF(G64="S",5,IF(G64="A",4,IF(G64="B",3,IF(G64="C",2,IF(G64="D",1,0)))))+IF(H64="S",5,IF(H64="A",4,IF(H64="B",3,IF(H64="C",2,IF(H64="D",1,0)))))+IF(I64="S",5,IF(I64="A",4,IF(I64="B",3,IF(I64="C",2,IF(I64="D",1,0)))))+IF(J64="S",5,IF(J64="A",4,IF(J64="B",3,IF(J64="C",2,IF(J64="D",1,0)))))+IF(K64="S",5,IF(K64="A",4,IF(K64="B",3,IF(K64="C",2,IF(K64="D",1,0))))))/5,"")</f>
        <v/>
      </c>
      <c r="M64" s="21">
        <f>'07b_하반기입력'!L12</f>
        <v/>
      </c>
      <c r="N64" s="21">
        <f>'07b_하반기입력'!M12</f>
        <v/>
      </c>
      <c r="O64" s="57">
        <f>IF(N64&lt;&gt;"",N64,IF(M64&lt;&gt;"",M64,IF(L64="","",IF(L64&gt;=4.5,"S",IF(L64&gt;=3.5,"A",IF(L64&gt;=2.5,"B",IF(L64&gt;=1.5,"C","D")))))))</f>
        <v/>
      </c>
      <c r="P64" s="58">
        <f>IF(O64="","",IF(O64="S",5,IF(O64="A",4,IF(O64="B",3,IF(O64="C",2,IF(O64="D",1,0))))))</f>
        <v/>
      </c>
      <c r="Q64" s="4" t="inlineStr"/>
    </row>
    <row r="65" ht="22" customHeight="1">
      <c r="A65" s="33">
        <f>'01_인적정보'!A13</f>
        <v/>
      </c>
      <c r="B65" s="33">
        <f>'01_인적정보'!B13</f>
        <v/>
      </c>
      <c r="C65" s="8">
        <f>'01_인적정보'!C13</f>
        <v/>
      </c>
      <c r="D65" s="8">
        <f>'01_인적정보'!E13</f>
        <v/>
      </c>
      <c r="E65" s="16">
        <f>'01_인적정보'!H13</f>
        <v/>
      </c>
      <c r="F65" s="55">
        <f>IFERROR(VLOOKUP('01_인적정보'!M13,'13_직무역할DB'!$A$6:$D$70,4,FALSE),"")</f>
        <v/>
      </c>
      <c r="G65" s="20">
        <f>'07b_하반기입력'!G13</f>
        <v/>
      </c>
      <c r="H65" s="20">
        <f>'07b_하반기입력'!H13</f>
        <v/>
      </c>
      <c r="I65" s="20">
        <f>'07b_하반기입력'!I13</f>
        <v/>
      </c>
      <c r="J65" s="20">
        <f>'07b_하반기입력'!J13</f>
        <v/>
      </c>
      <c r="K65" s="20">
        <f>'07b_하반기입력'!K13</f>
        <v/>
      </c>
      <c r="L65" s="56">
        <f>IFERROR((IF(G65="S",5,IF(G65="A",4,IF(G65="B",3,IF(G65="C",2,IF(G65="D",1,0)))))+IF(H65="S",5,IF(H65="A",4,IF(H65="B",3,IF(H65="C",2,IF(H65="D",1,0)))))+IF(I65="S",5,IF(I65="A",4,IF(I65="B",3,IF(I65="C",2,IF(I65="D",1,0)))))+IF(J65="S",5,IF(J65="A",4,IF(J65="B",3,IF(J65="C",2,IF(J65="D",1,0)))))+IF(K65="S",5,IF(K65="A",4,IF(K65="B",3,IF(K65="C",2,IF(K65="D",1,0))))))/5,"")</f>
        <v/>
      </c>
      <c r="M65" s="21">
        <f>'07b_하반기입력'!L13</f>
        <v/>
      </c>
      <c r="N65" s="21">
        <f>'07b_하반기입력'!M13</f>
        <v/>
      </c>
      <c r="O65" s="57">
        <f>IF(N65&lt;&gt;"",N65,IF(M65&lt;&gt;"",M65,IF(L65="","",IF(L65&gt;=4.5,"S",IF(L65&gt;=3.5,"A",IF(L65&gt;=2.5,"B",IF(L65&gt;=1.5,"C","D")))))))</f>
        <v/>
      </c>
      <c r="P65" s="58">
        <f>IF(O65="","",IF(O65="S",5,IF(O65="A",4,IF(O65="B",3,IF(O65="C",2,IF(O65="D",1,0))))))</f>
        <v/>
      </c>
      <c r="Q65" s="4" t="inlineStr"/>
    </row>
    <row r="66" ht="22" customHeight="1">
      <c r="A66" s="33">
        <f>'01_인적정보'!A14</f>
        <v/>
      </c>
      <c r="B66" s="33">
        <f>'01_인적정보'!B14</f>
        <v/>
      </c>
      <c r="C66" s="8">
        <f>'01_인적정보'!C14</f>
        <v/>
      </c>
      <c r="D66" s="8">
        <f>'01_인적정보'!E14</f>
        <v/>
      </c>
      <c r="E66" s="16">
        <f>'01_인적정보'!H14</f>
        <v/>
      </c>
      <c r="F66" s="55">
        <f>IFERROR(VLOOKUP('01_인적정보'!M14,'13_직무역할DB'!$A$6:$D$70,4,FALSE),"")</f>
        <v/>
      </c>
      <c r="G66" s="20">
        <f>'07b_하반기입력'!G14</f>
        <v/>
      </c>
      <c r="H66" s="20">
        <f>'07b_하반기입력'!H14</f>
        <v/>
      </c>
      <c r="I66" s="20">
        <f>'07b_하반기입력'!I14</f>
        <v/>
      </c>
      <c r="J66" s="20">
        <f>'07b_하반기입력'!J14</f>
        <v/>
      </c>
      <c r="K66" s="20">
        <f>'07b_하반기입력'!K14</f>
        <v/>
      </c>
      <c r="L66" s="56">
        <f>IFERROR((IF(G66="S",5,IF(G66="A",4,IF(G66="B",3,IF(G66="C",2,IF(G66="D",1,0)))))+IF(H66="S",5,IF(H66="A",4,IF(H66="B",3,IF(H66="C",2,IF(H66="D",1,0)))))+IF(I66="S",5,IF(I66="A",4,IF(I66="B",3,IF(I66="C",2,IF(I66="D",1,0)))))+IF(J66="S",5,IF(J66="A",4,IF(J66="B",3,IF(J66="C",2,IF(J66="D",1,0)))))+IF(K66="S",5,IF(K66="A",4,IF(K66="B",3,IF(K66="C",2,IF(K66="D",1,0))))))/5,"")</f>
        <v/>
      </c>
      <c r="M66" s="21">
        <f>'07b_하반기입력'!L14</f>
        <v/>
      </c>
      <c r="N66" s="21">
        <f>'07b_하반기입력'!M14</f>
        <v/>
      </c>
      <c r="O66" s="57">
        <f>IF(N66&lt;&gt;"",N66,IF(M66&lt;&gt;"",M66,IF(L66="","",IF(L66&gt;=4.5,"S",IF(L66&gt;=3.5,"A",IF(L66&gt;=2.5,"B",IF(L66&gt;=1.5,"C","D")))))))</f>
        <v/>
      </c>
      <c r="P66" s="58">
        <f>IF(O66="","",IF(O66="S",5,IF(O66="A",4,IF(O66="B",3,IF(O66="C",2,IF(O66="D",1,0))))))</f>
        <v/>
      </c>
      <c r="Q66" s="4" t="inlineStr"/>
    </row>
    <row r="67" ht="22" customHeight="1">
      <c r="A67" s="33">
        <f>'01_인적정보'!A15</f>
        <v/>
      </c>
      <c r="B67" s="33">
        <f>'01_인적정보'!B15</f>
        <v/>
      </c>
      <c r="C67" s="8">
        <f>'01_인적정보'!C15</f>
        <v/>
      </c>
      <c r="D67" s="8">
        <f>'01_인적정보'!E15</f>
        <v/>
      </c>
      <c r="E67" s="16">
        <f>'01_인적정보'!H15</f>
        <v/>
      </c>
      <c r="F67" s="55">
        <f>IFERROR(VLOOKUP('01_인적정보'!M15,'13_직무역할DB'!$A$6:$D$70,4,FALSE),"")</f>
        <v/>
      </c>
      <c r="G67" s="20">
        <f>'07b_하반기입력'!G15</f>
        <v/>
      </c>
      <c r="H67" s="20">
        <f>'07b_하반기입력'!H15</f>
        <v/>
      </c>
      <c r="I67" s="20">
        <f>'07b_하반기입력'!I15</f>
        <v/>
      </c>
      <c r="J67" s="20">
        <f>'07b_하반기입력'!J15</f>
        <v/>
      </c>
      <c r="K67" s="20">
        <f>'07b_하반기입력'!K15</f>
        <v/>
      </c>
      <c r="L67" s="56">
        <f>IFERROR((IF(G67="S",5,IF(G67="A",4,IF(G67="B",3,IF(G67="C",2,IF(G67="D",1,0)))))+IF(H67="S",5,IF(H67="A",4,IF(H67="B",3,IF(H67="C",2,IF(H67="D",1,0)))))+IF(I67="S",5,IF(I67="A",4,IF(I67="B",3,IF(I67="C",2,IF(I67="D",1,0)))))+IF(J67="S",5,IF(J67="A",4,IF(J67="B",3,IF(J67="C",2,IF(J67="D",1,0)))))+IF(K67="S",5,IF(K67="A",4,IF(K67="B",3,IF(K67="C",2,IF(K67="D",1,0))))))/5,"")</f>
        <v/>
      </c>
      <c r="M67" s="21">
        <f>'07b_하반기입력'!L15</f>
        <v/>
      </c>
      <c r="N67" s="21">
        <f>'07b_하반기입력'!M15</f>
        <v/>
      </c>
      <c r="O67" s="57">
        <f>IF(N67&lt;&gt;"",N67,IF(M67&lt;&gt;"",M67,IF(L67="","",IF(L67&gt;=4.5,"S",IF(L67&gt;=3.5,"A",IF(L67&gt;=2.5,"B",IF(L67&gt;=1.5,"C","D")))))))</f>
        <v/>
      </c>
      <c r="P67" s="58">
        <f>IF(O67="","",IF(O67="S",5,IF(O67="A",4,IF(O67="B",3,IF(O67="C",2,IF(O67="D",1,0))))))</f>
        <v/>
      </c>
      <c r="Q67" s="4" t="inlineStr"/>
    </row>
    <row r="68" ht="22" customHeight="1">
      <c r="A68" s="33">
        <f>'01_인적정보'!A16</f>
        <v/>
      </c>
      <c r="B68" s="33">
        <f>'01_인적정보'!B16</f>
        <v/>
      </c>
      <c r="C68" s="8">
        <f>'01_인적정보'!C16</f>
        <v/>
      </c>
      <c r="D68" s="8">
        <f>'01_인적정보'!E16</f>
        <v/>
      </c>
      <c r="E68" s="16">
        <f>'01_인적정보'!H16</f>
        <v/>
      </c>
      <c r="F68" s="55">
        <f>IFERROR(VLOOKUP('01_인적정보'!M16,'13_직무역할DB'!$A$6:$D$70,4,FALSE),"")</f>
        <v/>
      </c>
      <c r="G68" s="20">
        <f>'07b_하반기입력'!G16</f>
        <v/>
      </c>
      <c r="H68" s="20">
        <f>'07b_하반기입력'!H16</f>
        <v/>
      </c>
      <c r="I68" s="20">
        <f>'07b_하반기입력'!I16</f>
        <v/>
      </c>
      <c r="J68" s="20">
        <f>'07b_하반기입력'!J16</f>
        <v/>
      </c>
      <c r="K68" s="20">
        <f>'07b_하반기입력'!K16</f>
        <v/>
      </c>
      <c r="L68" s="56">
        <f>IFERROR((IF(G68="S",5,IF(G68="A",4,IF(G68="B",3,IF(G68="C",2,IF(G68="D",1,0)))))+IF(H68="S",5,IF(H68="A",4,IF(H68="B",3,IF(H68="C",2,IF(H68="D",1,0)))))+IF(I68="S",5,IF(I68="A",4,IF(I68="B",3,IF(I68="C",2,IF(I68="D",1,0)))))+IF(J68="S",5,IF(J68="A",4,IF(J68="B",3,IF(J68="C",2,IF(J68="D",1,0)))))+IF(K68="S",5,IF(K68="A",4,IF(K68="B",3,IF(K68="C",2,IF(K68="D",1,0))))))/5,"")</f>
        <v/>
      </c>
      <c r="M68" s="21">
        <f>'07b_하반기입력'!L16</f>
        <v/>
      </c>
      <c r="N68" s="21">
        <f>'07b_하반기입력'!M16</f>
        <v/>
      </c>
      <c r="O68" s="57">
        <f>IF(N68&lt;&gt;"",N68,IF(M68&lt;&gt;"",M68,IF(L68="","",IF(L68&gt;=4.5,"S",IF(L68&gt;=3.5,"A",IF(L68&gt;=2.5,"B",IF(L68&gt;=1.5,"C","D")))))))</f>
        <v/>
      </c>
      <c r="P68" s="58">
        <f>IF(O68="","",IF(O68="S",5,IF(O68="A",4,IF(O68="B",3,IF(O68="C",2,IF(O68="D",1,0))))))</f>
        <v/>
      </c>
      <c r="Q68" s="4" t="inlineStr"/>
    </row>
    <row r="69" ht="22" customHeight="1">
      <c r="A69" s="33">
        <f>'01_인적정보'!A17</f>
        <v/>
      </c>
      <c r="B69" s="33">
        <f>'01_인적정보'!B17</f>
        <v/>
      </c>
      <c r="C69" s="8">
        <f>'01_인적정보'!C17</f>
        <v/>
      </c>
      <c r="D69" s="8">
        <f>'01_인적정보'!E17</f>
        <v/>
      </c>
      <c r="E69" s="16">
        <f>'01_인적정보'!H17</f>
        <v/>
      </c>
      <c r="F69" s="55">
        <f>IFERROR(VLOOKUP('01_인적정보'!M17,'13_직무역할DB'!$A$6:$D$70,4,FALSE),"")</f>
        <v/>
      </c>
      <c r="G69" s="20">
        <f>'07b_하반기입력'!G17</f>
        <v/>
      </c>
      <c r="H69" s="20">
        <f>'07b_하반기입력'!H17</f>
        <v/>
      </c>
      <c r="I69" s="20">
        <f>'07b_하반기입력'!I17</f>
        <v/>
      </c>
      <c r="J69" s="20">
        <f>'07b_하반기입력'!J17</f>
        <v/>
      </c>
      <c r="K69" s="20">
        <f>'07b_하반기입력'!K17</f>
        <v/>
      </c>
      <c r="L69" s="56">
        <f>IFERROR((IF(G69="S",5,IF(G69="A",4,IF(G69="B",3,IF(G69="C",2,IF(G69="D",1,0)))))+IF(H69="S",5,IF(H69="A",4,IF(H69="B",3,IF(H69="C",2,IF(H69="D",1,0)))))+IF(I69="S",5,IF(I69="A",4,IF(I69="B",3,IF(I69="C",2,IF(I69="D",1,0)))))+IF(J69="S",5,IF(J69="A",4,IF(J69="B",3,IF(J69="C",2,IF(J69="D",1,0)))))+IF(K69="S",5,IF(K69="A",4,IF(K69="B",3,IF(K69="C",2,IF(K69="D",1,0))))))/5,"")</f>
        <v/>
      </c>
      <c r="M69" s="21">
        <f>'07b_하반기입력'!L17</f>
        <v/>
      </c>
      <c r="N69" s="21">
        <f>'07b_하반기입력'!M17</f>
        <v/>
      </c>
      <c r="O69" s="57">
        <f>IF(N69&lt;&gt;"",N69,IF(M69&lt;&gt;"",M69,IF(L69="","",IF(L69&gt;=4.5,"S",IF(L69&gt;=3.5,"A",IF(L69&gt;=2.5,"B",IF(L69&gt;=1.5,"C","D")))))))</f>
        <v/>
      </c>
      <c r="P69" s="58">
        <f>IF(O69="","",IF(O69="S",5,IF(O69="A",4,IF(O69="B",3,IF(O69="C",2,IF(O69="D",1,0))))))</f>
        <v/>
      </c>
      <c r="Q69" s="4" t="inlineStr"/>
    </row>
    <row r="70" ht="22" customHeight="1">
      <c r="A70" s="33">
        <f>'01_인적정보'!A18</f>
        <v/>
      </c>
      <c r="B70" s="33">
        <f>'01_인적정보'!B18</f>
        <v/>
      </c>
      <c r="C70" s="8">
        <f>'01_인적정보'!C18</f>
        <v/>
      </c>
      <c r="D70" s="8">
        <f>'01_인적정보'!E18</f>
        <v/>
      </c>
      <c r="E70" s="16">
        <f>'01_인적정보'!H18</f>
        <v/>
      </c>
      <c r="F70" s="55">
        <f>IFERROR(VLOOKUP('01_인적정보'!M18,'13_직무역할DB'!$A$6:$D$70,4,FALSE),"")</f>
        <v/>
      </c>
      <c r="G70" s="20">
        <f>'07b_하반기입력'!G18</f>
        <v/>
      </c>
      <c r="H70" s="20">
        <f>'07b_하반기입력'!H18</f>
        <v/>
      </c>
      <c r="I70" s="20">
        <f>'07b_하반기입력'!I18</f>
        <v/>
      </c>
      <c r="J70" s="20">
        <f>'07b_하반기입력'!J18</f>
        <v/>
      </c>
      <c r="K70" s="20">
        <f>'07b_하반기입력'!K18</f>
        <v/>
      </c>
      <c r="L70" s="56">
        <f>IFERROR((IF(G70="S",5,IF(G70="A",4,IF(G70="B",3,IF(G70="C",2,IF(G70="D",1,0)))))+IF(H70="S",5,IF(H70="A",4,IF(H70="B",3,IF(H70="C",2,IF(H70="D",1,0)))))+IF(I70="S",5,IF(I70="A",4,IF(I70="B",3,IF(I70="C",2,IF(I70="D",1,0)))))+IF(J70="S",5,IF(J70="A",4,IF(J70="B",3,IF(J70="C",2,IF(J70="D",1,0)))))+IF(K70="S",5,IF(K70="A",4,IF(K70="B",3,IF(K70="C",2,IF(K70="D",1,0))))))/5,"")</f>
        <v/>
      </c>
      <c r="M70" s="21">
        <f>'07b_하반기입력'!L18</f>
        <v/>
      </c>
      <c r="N70" s="21">
        <f>'07b_하반기입력'!M18</f>
        <v/>
      </c>
      <c r="O70" s="57">
        <f>IF(N70&lt;&gt;"",N70,IF(M70&lt;&gt;"",M70,IF(L70="","",IF(L70&gt;=4.5,"S",IF(L70&gt;=3.5,"A",IF(L70&gt;=2.5,"B",IF(L70&gt;=1.5,"C","D")))))))</f>
        <v/>
      </c>
      <c r="P70" s="58">
        <f>IF(O70="","",IF(O70="S",5,IF(O70="A",4,IF(O70="B",3,IF(O70="C",2,IF(O70="D",1,0))))))</f>
        <v/>
      </c>
      <c r="Q70" s="4" t="inlineStr"/>
    </row>
    <row r="71" ht="22" customHeight="1">
      <c r="A71" s="33">
        <f>'01_인적정보'!A19</f>
        <v/>
      </c>
      <c r="B71" s="33">
        <f>'01_인적정보'!B19</f>
        <v/>
      </c>
      <c r="C71" s="8">
        <f>'01_인적정보'!C19</f>
        <v/>
      </c>
      <c r="D71" s="8">
        <f>'01_인적정보'!E19</f>
        <v/>
      </c>
      <c r="E71" s="16">
        <f>'01_인적정보'!H19</f>
        <v/>
      </c>
      <c r="F71" s="55">
        <f>IFERROR(VLOOKUP('01_인적정보'!M19,'13_직무역할DB'!$A$6:$D$70,4,FALSE),"")</f>
        <v/>
      </c>
      <c r="G71" s="20">
        <f>'07b_하반기입력'!G19</f>
        <v/>
      </c>
      <c r="H71" s="20">
        <f>'07b_하반기입력'!H19</f>
        <v/>
      </c>
      <c r="I71" s="20">
        <f>'07b_하반기입력'!I19</f>
        <v/>
      </c>
      <c r="J71" s="20">
        <f>'07b_하반기입력'!J19</f>
        <v/>
      </c>
      <c r="K71" s="20">
        <f>'07b_하반기입력'!K19</f>
        <v/>
      </c>
      <c r="L71" s="56">
        <f>IFERROR((IF(G71="S",5,IF(G71="A",4,IF(G71="B",3,IF(G71="C",2,IF(G71="D",1,0)))))+IF(H71="S",5,IF(H71="A",4,IF(H71="B",3,IF(H71="C",2,IF(H71="D",1,0)))))+IF(I71="S",5,IF(I71="A",4,IF(I71="B",3,IF(I71="C",2,IF(I71="D",1,0)))))+IF(J71="S",5,IF(J71="A",4,IF(J71="B",3,IF(J71="C",2,IF(J71="D",1,0)))))+IF(K71="S",5,IF(K71="A",4,IF(K71="B",3,IF(K71="C",2,IF(K71="D",1,0))))))/5,"")</f>
        <v/>
      </c>
      <c r="M71" s="21">
        <f>'07b_하반기입력'!L19</f>
        <v/>
      </c>
      <c r="N71" s="21">
        <f>'07b_하반기입력'!M19</f>
        <v/>
      </c>
      <c r="O71" s="57">
        <f>IF(N71&lt;&gt;"",N71,IF(M71&lt;&gt;"",M71,IF(L71="","",IF(L71&gt;=4.5,"S",IF(L71&gt;=3.5,"A",IF(L71&gt;=2.5,"B",IF(L71&gt;=1.5,"C","D")))))))</f>
        <v/>
      </c>
      <c r="P71" s="58">
        <f>IF(O71="","",IF(O71="S",5,IF(O71="A",4,IF(O71="B",3,IF(O71="C",2,IF(O71="D",1,0))))))</f>
        <v/>
      </c>
      <c r="Q71" s="4" t="inlineStr"/>
    </row>
    <row r="72" ht="22" customHeight="1">
      <c r="A72" s="33">
        <f>'01_인적정보'!A20</f>
        <v/>
      </c>
      <c r="B72" s="33">
        <f>'01_인적정보'!B20</f>
        <v/>
      </c>
      <c r="C72" s="8">
        <f>'01_인적정보'!C20</f>
        <v/>
      </c>
      <c r="D72" s="8">
        <f>'01_인적정보'!E20</f>
        <v/>
      </c>
      <c r="E72" s="16">
        <f>'01_인적정보'!H20</f>
        <v/>
      </c>
      <c r="F72" s="55">
        <f>IFERROR(VLOOKUP('01_인적정보'!M20,'13_직무역할DB'!$A$6:$D$70,4,FALSE),"")</f>
        <v/>
      </c>
      <c r="G72" s="20">
        <f>'07b_하반기입력'!G20</f>
        <v/>
      </c>
      <c r="H72" s="20">
        <f>'07b_하반기입력'!H20</f>
        <v/>
      </c>
      <c r="I72" s="20">
        <f>'07b_하반기입력'!I20</f>
        <v/>
      </c>
      <c r="J72" s="20">
        <f>'07b_하반기입력'!J20</f>
        <v/>
      </c>
      <c r="K72" s="20">
        <f>'07b_하반기입력'!K20</f>
        <v/>
      </c>
      <c r="L72" s="56">
        <f>IFERROR((IF(G72="S",5,IF(G72="A",4,IF(G72="B",3,IF(G72="C",2,IF(G72="D",1,0)))))+IF(H72="S",5,IF(H72="A",4,IF(H72="B",3,IF(H72="C",2,IF(H72="D",1,0)))))+IF(I72="S",5,IF(I72="A",4,IF(I72="B",3,IF(I72="C",2,IF(I72="D",1,0)))))+IF(J72="S",5,IF(J72="A",4,IF(J72="B",3,IF(J72="C",2,IF(J72="D",1,0)))))+IF(K72="S",5,IF(K72="A",4,IF(K72="B",3,IF(K72="C",2,IF(K72="D",1,0))))))/5,"")</f>
        <v/>
      </c>
      <c r="M72" s="21">
        <f>'07b_하반기입력'!L20</f>
        <v/>
      </c>
      <c r="N72" s="21">
        <f>'07b_하반기입력'!M20</f>
        <v/>
      </c>
      <c r="O72" s="57">
        <f>IF(N72&lt;&gt;"",N72,IF(M72&lt;&gt;"",M72,IF(L72="","",IF(L72&gt;=4.5,"S",IF(L72&gt;=3.5,"A",IF(L72&gt;=2.5,"B",IF(L72&gt;=1.5,"C","D")))))))</f>
        <v/>
      </c>
      <c r="P72" s="58">
        <f>IF(O72="","",IF(O72="S",5,IF(O72="A",4,IF(O72="B",3,IF(O72="C",2,IF(O72="D",1,0))))))</f>
        <v/>
      </c>
      <c r="Q72" s="4" t="inlineStr"/>
    </row>
    <row r="73" ht="22" customHeight="1">
      <c r="A73" s="33">
        <f>'01_인적정보'!A21</f>
        <v/>
      </c>
      <c r="B73" s="33">
        <f>'01_인적정보'!B21</f>
        <v/>
      </c>
      <c r="C73" s="8">
        <f>'01_인적정보'!C21</f>
        <v/>
      </c>
      <c r="D73" s="8">
        <f>'01_인적정보'!E21</f>
        <v/>
      </c>
      <c r="E73" s="16">
        <f>'01_인적정보'!H21</f>
        <v/>
      </c>
      <c r="F73" s="55">
        <f>IFERROR(VLOOKUP('01_인적정보'!M21,'13_직무역할DB'!$A$6:$D$70,4,FALSE),"")</f>
        <v/>
      </c>
      <c r="G73" s="20">
        <f>'07b_하반기입력'!G21</f>
        <v/>
      </c>
      <c r="H73" s="20">
        <f>'07b_하반기입력'!H21</f>
        <v/>
      </c>
      <c r="I73" s="20">
        <f>'07b_하반기입력'!I21</f>
        <v/>
      </c>
      <c r="J73" s="20">
        <f>'07b_하반기입력'!J21</f>
        <v/>
      </c>
      <c r="K73" s="20">
        <f>'07b_하반기입력'!K21</f>
        <v/>
      </c>
      <c r="L73" s="56">
        <f>IFERROR((IF(G73="S",5,IF(G73="A",4,IF(G73="B",3,IF(G73="C",2,IF(G73="D",1,0)))))+IF(H73="S",5,IF(H73="A",4,IF(H73="B",3,IF(H73="C",2,IF(H73="D",1,0)))))+IF(I73="S",5,IF(I73="A",4,IF(I73="B",3,IF(I73="C",2,IF(I73="D",1,0)))))+IF(J73="S",5,IF(J73="A",4,IF(J73="B",3,IF(J73="C",2,IF(J73="D",1,0)))))+IF(K73="S",5,IF(K73="A",4,IF(K73="B",3,IF(K73="C",2,IF(K73="D",1,0))))))/5,"")</f>
        <v/>
      </c>
      <c r="M73" s="21">
        <f>'07b_하반기입력'!L21</f>
        <v/>
      </c>
      <c r="N73" s="21">
        <f>'07b_하반기입력'!M21</f>
        <v/>
      </c>
      <c r="O73" s="57">
        <f>IF(N73&lt;&gt;"",N73,IF(M73&lt;&gt;"",M73,IF(L73="","",IF(L73&gt;=4.5,"S",IF(L73&gt;=3.5,"A",IF(L73&gt;=2.5,"B",IF(L73&gt;=1.5,"C","D")))))))</f>
        <v/>
      </c>
      <c r="P73" s="58">
        <f>IF(O73="","",IF(O73="S",5,IF(O73="A",4,IF(O73="B",3,IF(O73="C",2,IF(O73="D",1,0))))))</f>
        <v/>
      </c>
      <c r="Q73" s="4" t="inlineStr"/>
    </row>
    <row r="74" ht="22" customHeight="1">
      <c r="A74" s="33">
        <f>'01_인적정보'!A22</f>
        <v/>
      </c>
      <c r="B74" s="33">
        <f>'01_인적정보'!B22</f>
        <v/>
      </c>
      <c r="C74" s="8">
        <f>'01_인적정보'!C22</f>
        <v/>
      </c>
      <c r="D74" s="8">
        <f>'01_인적정보'!E22</f>
        <v/>
      </c>
      <c r="E74" s="16">
        <f>'01_인적정보'!H22</f>
        <v/>
      </c>
      <c r="F74" s="55">
        <f>IFERROR(VLOOKUP('01_인적정보'!M22,'13_직무역할DB'!$A$6:$D$70,4,FALSE),"")</f>
        <v/>
      </c>
      <c r="G74" s="20">
        <f>'07b_하반기입력'!G22</f>
        <v/>
      </c>
      <c r="H74" s="20">
        <f>'07b_하반기입력'!H22</f>
        <v/>
      </c>
      <c r="I74" s="20">
        <f>'07b_하반기입력'!I22</f>
        <v/>
      </c>
      <c r="J74" s="20">
        <f>'07b_하반기입력'!J22</f>
        <v/>
      </c>
      <c r="K74" s="20">
        <f>'07b_하반기입력'!K22</f>
        <v/>
      </c>
      <c r="L74" s="56">
        <f>IFERROR((IF(G74="S",5,IF(G74="A",4,IF(G74="B",3,IF(G74="C",2,IF(G74="D",1,0)))))+IF(H74="S",5,IF(H74="A",4,IF(H74="B",3,IF(H74="C",2,IF(H74="D",1,0)))))+IF(I74="S",5,IF(I74="A",4,IF(I74="B",3,IF(I74="C",2,IF(I74="D",1,0)))))+IF(J74="S",5,IF(J74="A",4,IF(J74="B",3,IF(J74="C",2,IF(J74="D",1,0)))))+IF(K74="S",5,IF(K74="A",4,IF(K74="B",3,IF(K74="C",2,IF(K74="D",1,0))))))/5,"")</f>
        <v/>
      </c>
      <c r="M74" s="21">
        <f>'07b_하반기입력'!L22</f>
        <v/>
      </c>
      <c r="N74" s="21">
        <f>'07b_하반기입력'!M22</f>
        <v/>
      </c>
      <c r="O74" s="57">
        <f>IF(N74&lt;&gt;"",N74,IF(M74&lt;&gt;"",M74,IF(L74="","",IF(L74&gt;=4.5,"S",IF(L74&gt;=3.5,"A",IF(L74&gt;=2.5,"B",IF(L74&gt;=1.5,"C","D")))))))</f>
        <v/>
      </c>
      <c r="P74" s="58">
        <f>IF(O74="","",IF(O74="S",5,IF(O74="A",4,IF(O74="B",3,IF(O74="C",2,IF(O74="D",1,0))))))</f>
        <v/>
      </c>
      <c r="Q74" s="4" t="inlineStr"/>
    </row>
    <row r="75" ht="22" customHeight="1">
      <c r="A75" s="33">
        <f>'01_인적정보'!A23</f>
        <v/>
      </c>
      <c r="B75" s="33">
        <f>'01_인적정보'!B23</f>
        <v/>
      </c>
      <c r="C75" s="8">
        <f>'01_인적정보'!C23</f>
        <v/>
      </c>
      <c r="D75" s="8">
        <f>'01_인적정보'!E23</f>
        <v/>
      </c>
      <c r="E75" s="16">
        <f>'01_인적정보'!H23</f>
        <v/>
      </c>
      <c r="F75" s="55">
        <f>IFERROR(VLOOKUP('01_인적정보'!M23,'13_직무역할DB'!$A$6:$D$70,4,FALSE),"")</f>
        <v/>
      </c>
      <c r="G75" s="20">
        <f>'07b_하반기입력'!G23</f>
        <v/>
      </c>
      <c r="H75" s="20">
        <f>'07b_하반기입력'!H23</f>
        <v/>
      </c>
      <c r="I75" s="20">
        <f>'07b_하반기입력'!I23</f>
        <v/>
      </c>
      <c r="J75" s="20">
        <f>'07b_하반기입력'!J23</f>
        <v/>
      </c>
      <c r="K75" s="20">
        <f>'07b_하반기입력'!K23</f>
        <v/>
      </c>
      <c r="L75" s="56">
        <f>IFERROR((IF(G75="S",5,IF(G75="A",4,IF(G75="B",3,IF(G75="C",2,IF(G75="D",1,0)))))+IF(H75="S",5,IF(H75="A",4,IF(H75="B",3,IF(H75="C",2,IF(H75="D",1,0)))))+IF(I75="S",5,IF(I75="A",4,IF(I75="B",3,IF(I75="C",2,IF(I75="D",1,0)))))+IF(J75="S",5,IF(J75="A",4,IF(J75="B",3,IF(J75="C",2,IF(J75="D",1,0)))))+IF(K75="S",5,IF(K75="A",4,IF(K75="B",3,IF(K75="C",2,IF(K75="D",1,0))))))/5,"")</f>
        <v/>
      </c>
      <c r="M75" s="21">
        <f>'07b_하반기입력'!L23</f>
        <v/>
      </c>
      <c r="N75" s="21">
        <f>'07b_하반기입력'!M23</f>
        <v/>
      </c>
      <c r="O75" s="57">
        <f>IF(N75&lt;&gt;"",N75,IF(M75&lt;&gt;"",M75,IF(L75="","",IF(L75&gt;=4.5,"S",IF(L75&gt;=3.5,"A",IF(L75&gt;=2.5,"B",IF(L75&gt;=1.5,"C","D")))))))</f>
        <v/>
      </c>
      <c r="P75" s="58">
        <f>IF(O75="","",IF(O75="S",5,IF(O75="A",4,IF(O75="B",3,IF(O75="C",2,IF(O75="D",1,0))))))</f>
        <v/>
      </c>
      <c r="Q75" s="4" t="inlineStr"/>
    </row>
    <row r="76" ht="22" customHeight="1">
      <c r="A76" s="33">
        <f>'01_인적정보'!A24</f>
        <v/>
      </c>
      <c r="B76" s="33">
        <f>'01_인적정보'!B24</f>
        <v/>
      </c>
      <c r="C76" s="8">
        <f>'01_인적정보'!C24</f>
        <v/>
      </c>
      <c r="D76" s="8">
        <f>'01_인적정보'!E24</f>
        <v/>
      </c>
      <c r="E76" s="16">
        <f>'01_인적정보'!H24</f>
        <v/>
      </c>
      <c r="F76" s="55">
        <f>IFERROR(VLOOKUP('01_인적정보'!M24,'13_직무역할DB'!$A$6:$D$70,4,FALSE),"")</f>
        <v/>
      </c>
      <c r="G76" s="20">
        <f>'07b_하반기입력'!G24</f>
        <v/>
      </c>
      <c r="H76" s="20">
        <f>'07b_하반기입력'!H24</f>
        <v/>
      </c>
      <c r="I76" s="20">
        <f>'07b_하반기입력'!I24</f>
        <v/>
      </c>
      <c r="J76" s="20">
        <f>'07b_하반기입력'!J24</f>
        <v/>
      </c>
      <c r="K76" s="20">
        <f>'07b_하반기입력'!K24</f>
        <v/>
      </c>
      <c r="L76" s="56">
        <f>IFERROR((IF(G76="S",5,IF(G76="A",4,IF(G76="B",3,IF(G76="C",2,IF(G76="D",1,0)))))+IF(H76="S",5,IF(H76="A",4,IF(H76="B",3,IF(H76="C",2,IF(H76="D",1,0)))))+IF(I76="S",5,IF(I76="A",4,IF(I76="B",3,IF(I76="C",2,IF(I76="D",1,0)))))+IF(J76="S",5,IF(J76="A",4,IF(J76="B",3,IF(J76="C",2,IF(J76="D",1,0)))))+IF(K76="S",5,IF(K76="A",4,IF(K76="B",3,IF(K76="C",2,IF(K76="D",1,0))))))/5,"")</f>
        <v/>
      </c>
      <c r="M76" s="21">
        <f>'07b_하반기입력'!L24</f>
        <v/>
      </c>
      <c r="N76" s="21">
        <f>'07b_하반기입력'!M24</f>
        <v/>
      </c>
      <c r="O76" s="57">
        <f>IF(N76&lt;&gt;"",N76,IF(M76&lt;&gt;"",M76,IF(L76="","",IF(L76&gt;=4.5,"S",IF(L76&gt;=3.5,"A",IF(L76&gt;=2.5,"B",IF(L76&gt;=1.5,"C","D")))))))</f>
        <v/>
      </c>
      <c r="P76" s="58">
        <f>IF(O76="","",IF(O76="S",5,IF(O76="A",4,IF(O76="B",3,IF(O76="C",2,IF(O76="D",1,0))))))</f>
        <v/>
      </c>
      <c r="Q76" s="4" t="inlineStr"/>
    </row>
    <row r="77" ht="22" customHeight="1">
      <c r="A77" s="33">
        <f>'01_인적정보'!A25</f>
        <v/>
      </c>
      <c r="B77" s="33">
        <f>'01_인적정보'!B25</f>
        <v/>
      </c>
      <c r="C77" s="8">
        <f>'01_인적정보'!C25</f>
        <v/>
      </c>
      <c r="D77" s="8">
        <f>'01_인적정보'!E25</f>
        <v/>
      </c>
      <c r="E77" s="16">
        <f>'01_인적정보'!H25</f>
        <v/>
      </c>
      <c r="F77" s="55">
        <f>IFERROR(VLOOKUP('01_인적정보'!M25,'13_직무역할DB'!$A$6:$D$70,4,FALSE),"")</f>
        <v/>
      </c>
      <c r="G77" s="20">
        <f>'07b_하반기입력'!G25</f>
        <v/>
      </c>
      <c r="H77" s="20">
        <f>'07b_하반기입력'!H25</f>
        <v/>
      </c>
      <c r="I77" s="20">
        <f>'07b_하반기입력'!I25</f>
        <v/>
      </c>
      <c r="J77" s="20">
        <f>'07b_하반기입력'!J25</f>
        <v/>
      </c>
      <c r="K77" s="20">
        <f>'07b_하반기입력'!K25</f>
        <v/>
      </c>
      <c r="L77" s="56">
        <f>IFERROR((IF(G77="S",5,IF(G77="A",4,IF(G77="B",3,IF(G77="C",2,IF(G77="D",1,0)))))+IF(H77="S",5,IF(H77="A",4,IF(H77="B",3,IF(H77="C",2,IF(H77="D",1,0)))))+IF(I77="S",5,IF(I77="A",4,IF(I77="B",3,IF(I77="C",2,IF(I77="D",1,0)))))+IF(J77="S",5,IF(J77="A",4,IF(J77="B",3,IF(J77="C",2,IF(J77="D",1,0)))))+IF(K77="S",5,IF(K77="A",4,IF(K77="B",3,IF(K77="C",2,IF(K77="D",1,0))))))/5,"")</f>
        <v/>
      </c>
      <c r="M77" s="21">
        <f>'07b_하반기입력'!L25</f>
        <v/>
      </c>
      <c r="N77" s="21">
        <f>'07b_하반기입력'!M25</f>
        <v/>
      </c>
      <c r="O77" s="57">
        <f>IF(N77&lt;&gt;"",N77,IF(M77&lt;&gt;"",M77,IF(L77="","",IF(L77&gt;=4.5,"S",IF(L77&gt;=3.5,"A",IF(L77&gt;=2.5,"B",IF(L77&gt;=1.5,"C","D")))))))</f>
        <v/>
      </c>
      <c r="P77" s="58">
        <f>IF(O77="","",IF(O77="S",5,IF(O77="A",4,IF(O77="B",3,IF(O77="C",2,IF(O77="D",1,0))))))</f>
        <v/>
      </c>
      <c r="Q77" s="4" t="inlineStr"/>
    </row>
    <row r="78" ht="22" customHeight="1">
      <c r="A78" s="33">
        <f>'01_인적정보'!A26</f>
        <v/>
      </c>
      <c r="B78" s="33">
        <f>'01_인적정보'!B26</f>
        <v/>
      </c>
      <c r="C78" s="8">
        <f>'01_인적정보'!C26</f>
        <v/>
      </c>
      <c r="D78" s="8">
        <f>'01_인적정보'!E26</f>
        <v/>
      </c>
      <c r="E78" s="16">
        <f>'01_인적정보'!H26</f>
        <v/>
      </c>
      <c r="F78" s="55">
        <f>IFERROR(VLOOKUP('01_인적정보'!M26,'13_직무역할DB'!$A$6:$D$70,4,FALSE),"")</f>
        <v/>
      </c>
      <c r="G78" s="20">
        <f>'07b_하반기입력'!G26</f>
        <v/>
      </c>
      <c r="H78" s="20">
        <f>'07b_하반기입력'!H26</f>
        <v/>
      </c>
      <c r="I78" s="20">
        <f>'07b_하반기입력'!I26</f>
        <v/>
      </c>
      <c r="J78" s="20">
        <f>'07b_하반기입력'!J26</f>
        <v/>
      </c>
      <c r="K78" s="20">
        <f>'07b_하반기입력'!K26</f>
        <v/>
      </c>
      <c r="L78" s="56">
        <f>IFERROR((IF(G78="S",5,IF(G78="A",4,IF(G78="B",3,IF(G78="C",2,IF(G78="D",1,0)))))+IF(H78="S",5,IF(H78="A",4,IF(H78="B",3,IF(H78="C",2,IF(H78="D",1,0)))))+IF(I78="S",5,IF(I78="A",4,IF(I78="B",3,IF(I78="C",2,IF(I78="D",1,0)))))+IF(J78="S",5,IF(J78="A",4,IF(J78="B",3,IF(J78="C",2,IF(J78="D",1,0)))))+IF(K78="S",5,IF(K78="A",4,IF(K78="B",3,IF(K78="C",2,IF(K78="D",1,0))))))/5,"")</f>
        <v/>
      </c>
      <c r="M78" s="21">
        <f>'07b_하반기입력'!L26</f>
        <v/>
      </c>
      <c r="N78" s="21">
        <f>'07b_하반기입력'!M26</f>
        <v/>
      </c>
      <c r="O78" s="57">
        <f>IF(N78&lt;&gt;"",N78,IF(M78&lt;&gt;"",M78,IF(L78="","",IF(L78&gt;=4.5,"S",IF(L78&gt;=3.5,"A",IF(L78&gt;=2.5,"B",IF(L78&gt;=1.5,"C","D")))))))</f>
        <v/>
      </c>
      <c r="P78" s="58">
        <f>IF(O78="","",IF(O78="S",5,IF(O78="A",4,IF(O78="B",3,IF(O78="C",2,IF(O78="D",1,0))))))</f>
        <v/>
      </c>
      <c r="Q78" s="4" t="inlineStr"/>
    </row>
    <row r="79" ht="22" customHeight="1">
      <c r="A79" s="33">
        <f>'01_인적정보'!A27</f>
        <v/>
      </c>
      <c r="B79" s="33">
        <f>'01_인적정보'!B27</f>
        <v/>
      </c>
      <c r="C79" s="8">
        <f>'01_인적정보'!C27</f>
        <v/>
      </c>
      <c r="D79" s="8">
        <f>'01_인적정보'!E27</f>
        <v/>
      </c>
      <c r="E79" s="16">
        <f>'01_인적정보'!H27</f>
        <v/>
      </c>
      <c r="F79" s="55">
        <f>IFERROR(VLOOKUP('01_인적정보'!M27,'13_직무역할DB'!$A$6:$D$70,4,FALSE),"")</f>
        <v/>
      </c>
      <c r="G79" s="20">
        <f>'07b_하반기입력'!G27</f>
        <v/>
      </c>
      <c r="H79" s="20">
        <f>'07b_하반기입력'!H27</f>
        <v/>
      </c>
      <c r="I79" s="20">
        <f>'07b_하반기입력'!I27</f>
        <v/>
      </c>
      <c r="J79" s="20">
        <f>'07b_하반기입력'!J27</f>
        <v/>
      </c>
      <c r="K79" s="20">
        <f>'07b_하반기입력'!K27</f>
        <v/>
      </c>
      <c r="L79" s="56">
        <f>IFERROR((IF(G79="S",5,IF(G79="A",4,IF(G79="B",3,IF(G79="C",2,IF(G79="D",1,0)))))+IF(H79="S",5,IF(H79="A",4,IF(H79="B",3,IF(H79="C",2,IF(H79="D",1,0)))))+IF(I79="S",5,IF(I79="A",4,IF(I79="B",3,IF(I79="C",2,IF(I79="D",1,0)))))+IF(J79="S",5,IF(J79="A",4,IF(J79="B",3,IF(J79="C",2,IF(J79="D",1,0)))))+IF(K79="S",5,IF(K79="A",4,IF(K79="B",3,IF(K79="C",2,IF(K79="D",1,0))))))/5,"")</f>
        <v/>
      </c>
      <c r="M79" s="21">
        <f>'07b_하반기입력'!L27</f>
        <v/>
      </c>
      <c r="N79" s="21">
        <f>'07b_하반기입력'!M27</f>
        <v/>
      </c>
      <c r="O79" s="57">
        <f>IF(N79&lt;&gt;"",N79,IF(M79&lt;&gt;"",M79,IF(L79="","",IF(L79&gt;=4.5,"S",IF(L79&gt;=3.5,"A",IF(L79&gt;=2.5,"B",IF(L79&gt;=1.5,"C","D")))))))</f>
        <v/>
      </c>
      <c r="P79" s="58">
        <f>IF(O79="","",IF(O79="S",5,IF(O79="A",4,IF(O79="B",3,IF(O79="C",2,IF(O79="D",1,0))))))</f>
        <v/>
      </c>
      <c r="Q79" s="4" t="inlineStr"/>
    </row>
    <row r="80" ht="22" customHeight="1">
      <c r="A80" s="33">
        <f>'01_인적정보'!A28</f>
        <v/>
      </c>
      <c r="B80" s="33">
        <f>'01_인적정보'!B28</f>
        <v/>
      </c>
      <c r="C80" s="8">
        <f>'01_인적정보'!C28</f>
        <v/>
      </c>
      <c r="D80" s="8">
        <f>'01_인적정보'!E28</f>
        <v/>
      </c>
      <c r="E80" s="16">
        <f>'01_인적정보'!H28</f>
        <v/>
      </c>
      <c r="F80" s="55">
        <f>IFERROR(VLOOKUP('01_인적정보'!M28,'13_직무역할DB'!$A$6:$D$70,4,FALSE),"")</f>
        <v/>
      </c>
      <c r="G80" s="20">
        <f>'07b_하반기입력'!G28</f>
        <v/>
      </c>
      <c r="H80" s="20">
        <f>'07b_하반기입력'!H28</f>
        <v/>
      </c>
      <c r="I80" s="20">
        <f>'07b_하반기입력'!I28</f>
        <v/>
      </c>
      <c r="J80" s="20">
        <f>'07b_하반기입력'!J28</f>
        <v/>
      </c>
      <c r="K80" s="20">
        <f>'07b_하반기입력'!K28</f>
        <v/>
      </c>
      <c r="L80" s="56">
        <f>IFERROR((IF(G80="S",5,IF(G80="A",4,IF(G80="B",3,IF(G80="C",2,IF(G80="D",1,0)))))+IF(H80="S",5,IF(H80="A",4,IF(H80="B",3,IF(H80="C",2,IF(H80="D",1,0)))))+IF(I80="S",5,IF(I80="A",4,IF(I80="B",3,IF(I80="C",2,IF(I80="D",1,0)))))+IF(J80="S",5,IF(J80="A",4,IF(J80="B",3,IF(J80="C",2,IF(J80="D",1,0)))))+IF(K80="S",5,IF(K80="A",4,IF(K80="B",3,IF(K80="C",2,IF(K80="D",1,0))))))/5,"")</f>
        <v/>
      </c>
      <c r="M80" s="21">
        <f>'07b_하반기입력'!L28</f>
        <v/>
      </c>
      <c r="N80" s="21">
        <f>'07b_하반기입력'!M28</f>
        <v/>
      </c>
      <c r="O80" s="57">
        <f>IF(N80&lt;&gt;"",N80,IF(M80&lt;&gt;"",M80,IF(L80="","",IF(L80&gt;=4.5,"S",IF(L80&gt;=3.5,"A",IF(L80&gt;=2.5,"B",IF(L80&gt;=1.5,"C","D")))))))</f>
        <v/>
      </c>
      <c r="P80" s="58">
        <f>IF(O80="","",IF(O80="S",5,IF(O80="A",4,IF(O80="B",3,IF(O80="C",2,IF(O80="D",1,0))))))</f>
        <v/>
      </c>
      <c r="Q80" s="4" t="inlineStr"/>
    </row>
    <row r="81" ht="22" customHeight="1">
      <c r="A81" s="33">
        <f>'01_인적정보'!A29</f>
        <v/>
      </c>
      <c r="B81" s="33">
        <f>'01_인적정보'!B29</f>
        <v/>
      </c>
      <c r="C81" s="8">
        <f>'01_인적정보'!C29</f>
        <v/>
      </c>
      <c r="D81" s="8">
        <f>'01_인적정보'!E29</f>
        <v/>
      </c>
      <c r="E81" s="16">
        <f>'01_인적정보'!H29</f>
        <v/>
      </c>
      <c r="F81" s="55">
        <f>IFERROR(VLOOKUP('01_인적정보'!M29,'13_직무역할DB'!$A$6:$D$70,4,FALSE),"")</f>
        <v/>
      </c>
      <c r="G81" s="20">
        <f>'07b_하반기입력'!G29</f>
        <v/>
      </c>
      <c r="H81" s="20">
        <f>'07b_하반기입력'!H29</f>
        <v/>
      </c>
      <c r="I81" s="20">
        <f>'07b_하반기입력'!I29</f>
        <v/>
      </c>
      <c r="J81" s="20">
        <f>'07b_하반기입력'!J29</f>
        <v/>
      </c>
      <c r="K81" s="20">
        <f>'07b_하반기입력'!K29</f>
        <v/>
      </c>
      <c r="L81" s="56">
        <f>IFERROR((IF(G81="S",5,IF(G81="A",4,IF(G81="B",3,IF(G81="C",2,IF(G81="D",1,0)))))+IF(H81="S",5,IF(H81="A",4,IF(H81="B",3,IF(H81="C",2,IF(H81="D",1,0)))))+IF(I81="S",5,IF(I81="A",4,IF(I81="B",3,IF(I81="C",2,IF(I81="D",1,0)))))+IF(J81="S",5,IF(J81="A",4,IF(J81="B",3,IF(J81="C",2,IF(J81="D",1,0)))))+IF(K81="S",5,IF(K81="A",4,IF(K81="B",3,IF(K81="C",2,IF(K81="D",1,0))))))/5,"")</f>
        <v/>
      </c>
      <c r="M81" s="21">
        <f>'07b_하반기입력'!L29</f>
        <v/>
      </c>
      <c r="N81" s="21">
        <f>'07b_하반기입력'!M29</f>
        <v/>
      </c>
      <c r="O81" s="57">
        <f>IF(N81&lt;&gt;"",N81,IF(M81&lt;&gt;"",M81,IF(L81="","",IF(L81&gt;=4.5,"S",IF(L81&gt;=3.5,"A",IF(L81&gt;=2.5,"B",IF(L81&gt;=1.5,"C","D")))))))</f>
        <v/>
      </c>
      <c r="P81" s="58">
        <f>IF(O81="","",IF(O81="S",5,IF(O81="A",4,IF(O81="B",3,IF(O81="C",2,IF(O81="D",1,0))))))</f>
        <v/>
      </c>
      <c r="Q81" s="4" t="inlineStr"/>
    </row>
    <row r="82" ht="22" customHeight="1">
      <c r="A82" s="33">
        <f>'01_인적정보'!A30</f>
        <v/>
      </c>
      <c r="B82" s="33">
        <f>'01_인적정보'!B30</f>
        <v/>
      </c>
      <c r="C82" s="8">
        <f>'01_인적정보'!C30</f>
        <v/>
      </c>
      <c r="D82" s="8">
        <f>'01_인적정보'!E30</f>
        <v/>
      </c>
      <c r="E82" s="16">
        <f>'01_인적정보'!H30</f>
        <v/>
      </c>
      <c r="F82" s="55">
        <f>IFERROR(VLOOKUP('01_인적정보'!M30,'13_직무역할DB'!$A$6:$D$70,4,FALSE),"")</f>
        <v/>
      </c>
      <c r="G82" s="20">
        <f>'07b_하반기입력'!G30</f>
        <v/>
      </c>
      <c r="H82" s="20">
        <f>'07b_하반기입력'!H30</f>
        <v/>
      </c>
      <c r="I82" s="20">
        <f>'07b_하반기입력'!I30</f>
        <v/>
      </c>
      <c r="J82" s="20">
        <f>'07b_하반기입력'!J30</f>
        <v/>
      </c>
      <c r="K82" s="20">
        <f>'07b_하반기입력'!K30</f>
        <v/>
      </c>
      <c r="L82" s="56">
        <f>IFERROR((IF(G82="S",5,IF(G82="A",4,IF(G82="B",3,IF(G82="C",2,IF(G82="D",1,0)))))+IF(H82="S",5,IF(H82="A",4,IF(H82="B",3,IF(H82="C",2,IF(H82="D",1,0)))))+IF(I82="S",5,IF(I82="A",4,IF(I82="B",3,IF(I82="C",2,IF(I82="D",1,0)))))+IF(J82="S",5,IF(J82="A",4,IF(J82="B",3,IF(J82="C",2,IF(J82="D",1,0)))))+IF(K82="S",5,IF(K82="A",4,IF(K82="B",3,IF(K82="C",2,IF(K82="D",1,0))))))/5,"")</f>
        <v/>
      </c>
      <c r="M82" s="21">
        <f>'07b_하반기입력'!L30</f>
        <v/>
      </c>
      <c r="N82" s="21">
        <f>'07b_하반기입력'!M30</f>
        <v/>
      </c>
      <c r="O82" s="57">
        <f>IF(N82&lt;&gt;"",N82,IF(M82&lt;&gt;"",M82,IF(L82="","",IF(L82&gt;=4.5,"S",IF(L82&gt;=3.5,"A",IF(L82&gt;=2.5,"B",IF(L82&gt;=1.5,"C","D")))))))</f>
        <v/>
      </c>
      <c r="P82" s="58">
        <f>IF(O82="","",IF(O82="S",5,IF(O82="A",4,IF(O82="B",3,IF(O82="C",2,IF(O82="D",1,0))))))</f>
        <v/>
      </c>
      <c r="Q82" s="4" t="inlineStr"/>
    </row>
    <row r="83" ht="22" customHeight="1">
      <c r="A83" s="33">
        <f>'01_인적정보'!A31</f>
        <v/>
      </c>
      <c r="B83" s="33">
        <f>'01_인적정보'!B31</f>
        <v/>
      </c>
      <c r="C83" s="8">
        <f>'01_인적정보'!C31</f>
        <v/>
      </c>
      <c r="D83" s="8">
        <f>'01_인적정보'!E31</f>
        <v/>
      </c>
      <c r="E83" s="16">
        <f>'01_인적정보'!H31</f>
        <v/>
      </c>
      <c r="F83" s="55">
        <f>IFERROR(VLOOKUP('01_인적정보'!M31,'13_직무역할DB'!$A$6:$D$70,4,FALSE),"")</f>
        <v/>
      </c>
      <c r="G83" s="20">
        <f>'07b_하반기입력'!G31</f>
        <v/>
      </c>
      <c r="H83" s="20">
        <f>'07b_하반기입력'!H31</f>
        <v/>
      </c>
      <c r="I83" s="20">
        <f>'07b_하반기입력'!I31</f>
        <v/>
      </c>
      <c r="J83" s="20">
        <f>'07b_하반기입력'!J31</f>
        <v/>
      </c>
      <c r="K83" s="20">
        <f>'07b_하반기입력'!K31</f>
        <v/>
      </c>
      <c r="L83" s="56">
        <f>IFERROR((IF(G83="S",5,IF(G83="A",4,IF(G83="B",3,IF(G83="C",2,IF(G83="D",1,0)))))+IF(H83="S",5,IF(H83="A",4,IF(H83="B",3,IF(H83="C",2,IF(H83="D",1,0)))))+IF(I83="S",5,IF(I83="A",4,IF(I83="B",3,IF(I83="C",2,IF(I83="D",1,0)))))+IF(J83="S",5,IF(J83="A",4,IF(J83="B",3,IF(J83="C",2,IF(J83="D",1,0)))))+IF(K83="S",5,IF(K83="A",4,IF(K83="B",3,IF(K83="C",2,IF(K83="D",1,0))))))/5,"")</f>
        <v/>
      </c>
      <c r="M83" s="21">
        <f>'07b_하반기입력'!L31</f>
        <v/>
      </c>
      <c r="N83" s="21">
        <f>'07b_하반기입력'!M31</f>
        <v/>
      </c>
      <c r="O83" s="57">
        <f>IF(N83&lt;&gt;"",N83,IF(M83&lt;&gt;"",M83,IF(L83="","",IF(L83&gt;=4.5,"S",IF(L83&gt;=3.5,"A",IF(L83&gt;=2.5,"B",IF(L83&gt;=1.5,"C","D")))))))</f>
        <v/>
      </c>
      <c r="P83" s="58">
        <f>IF(O83="","",IF(O83="S",5,IF(O83="A",4,IF(O83="B",3,IF(O83="C",2,IF(O83="D",1,0))))))</f>
        <v/>
      </c>
      <c r="Q83" s="4" t="inlineStr"/>
    </row>
    <row r="84" ht="22" customHeight="1">
      <c r="A84" s="33">
        <f>'01_인적정보'!A32</f>
        <v/>
      </c>
      <c r="B84" s="33">
        <f>'01_인적정보'!B32</f>
        <v/>
      </c>
      <c r="C84" s="8">
        <f>'01_인적정보'!C32</f>
        <v/>
      </c>
      <c r="D84" s="8">
        <f>'01_인적정보'!E32</f>
        <v/>
      </c>
      <c r="E84" s="16">
        <f>'01_인적정보'!H32</f>
        <v/>
      </c>
      <c r="F84" s="55">
        <f>IFERROR(VLOOKUP('01_인적정보'!M32,'13_직무역할DB'!$A$6:$D$70,4,FALSE),"")</f>
        <v/>
      </c>
      <c r="G84" s="20">
        <f>'07b_하반기입력'!G32</f>
        <v/>
      </c>
      <c r="H84" s="20">
        <f>'07b_하반기입력'!H32</f>
        <v/>
      </c>
      <c r="I84" s="20">
        <f>'07b_하반기입력'!I32</f>
        <v/>
      </c>
      <c r="J84" s="20">
        <f>'07b_하반기입력'!J32</f>
        <v/>
      </c>
      <c r="K84" s="20">
        <f>'07b_하반기입력'!K32</f>
        <v/>
      </c>
      <c r="L84" s="56">
        <f>IFERROR((IF(G84="S",5,IF(G84="A",4,IF(G84="B",3,IF(G84="C",2,IF(G84="D",1,0)))))+IF(H84="S",5,IF(H84="A",4,IF(H84="B",3,IF(H84="C",2,IF(H84="D",1,0)))))+IF(I84="S",5,IF(I84="A",4,IF(I84="B",3,IF(I84="C",2,IF(I84="D",1,0)))))+IF(J84="S",5,IF(J84="A",4,IF(J84="B",3,IF(J84="C",2,IF(J84="D",1,0)))))+IF(K84="S",5,IF(K84="A",4,IF(K84="B",3,IF(K84="C",2,IF(K84="D",1,0))))))/5,"")</f>
        <v/>
      </c>
      <c r="M84" s="21">
        <f>'07b_하반기입력'!L32</f>
        <v/>
      </c>
      <c r="N84" s="21">
        <f>'07b_하반기입력'!M32</f>
        <v/>
      </c>
      <c r="O84" s="57">
        <f>IF(N84&lt;&gt;"",N84,IF(M84&lt;&gt;"",M84,IF(L84="","",IF(L84&gt;=4.5,"S",IF(L84&gt;=3.5,"A",IF(L84&gt;=2.5,"B",IF(L84&gt;=1.5,"C","D")))))))</f>
        <v/>
      </c>
      <c r="P84" s="58">
        <f>IF(O84="","",IF(O84="S",5,IF(O84="A",4,IF(O84="B",3,IF(O84="C",2,IF(O84="D",1,0))))))</f>
        <v/>
      </c>
      <c r="Q84" s="4" t="inlineStr"/>
    </row>
    <row r="85" ht="22" customHeight="1">
      <c r="A85" s="33">
        <f>'01_인적정보'!A33</f>
        <v/>
      </c>
      <c r="B85" s="33">
        <f>'01_인적정보'!B33</f>
        <v/>
      </c>
      <c r="C85" s="8">
        <f>'01_인적정보'!C33</f>
        <v/>
      </c>
      <c r="D85" s="8">
        <f>'01_인적정보'!E33</f>
        <v/>
      </c>
      <c r="E85" s="16">
        <f>'01_인적정보'!H33</f>
        <v/>
      </c>
      <c r="F85" s="55">
        <f>IFERROR(VLOOKUP('01_인적정보'!M33,'13_직무역할DB'!$A$6:$D$70,4,FALSE),"")</f>
        <v/>
      </c>
      <c r="G85" s="20">
        <f>'07b_하반기입력'!G33</f>
        <v/>
      </c>
      <c r="H85" s="20">
        <f>'07b_하반기입력'!H33</f>
        <v/>
      </c>
      <c r="I85" s="20">
        <f>'07b_하반기입력'!I33</f>
        <v/>
      </c>
      <c r="J85" s="20">
        <f>'07b_하반기입력'!J33</f>
        <v/>
      </c>
      <c r="K85" s="20">
        <f>'07b_하반기입력'!K33</f>
        <v/>
      </c>
      <c r="L85" s="56">
        <f>IFERROR((IF(G85="S",5,IF(G85="A",4,IF(G85="B",3,IF(G85="C",2,IF(G85="D",1,0)))))+IF(H85="S",5,IF(H85="A",4,IF(H85="B",3,IF(H85="C",2,IF(H85="D",1,0)))))+IF(I85="S",5,IF(I85="A",4,IF(I85="B",3,IF(I85="C",2,IF(I85="D",1,0)))))+IF(J85="S",5,IF(J85="A",4,IF(J85="B",3,IF(J85="C",2,IF(J85="D",1,0)))))+IF(K85="S",5,IF(K85="A",4,IF(K85="B",3,IF(K85="C",2,IF(K85="D",1,0))))))/5,"")</f>
        <v/>
      </c>
      <c r="M85" s="21">
        <f>'07b_하반기입력'!L33</f>
        <v/>
      </c>
      <c r="N85" s="21">
        <f>'07b_하반기입력'!M33</f>
        <v/>
      </c>
      <c r="O85" s="57">
        <f>IF(N85&lt;&gt;"",N85,IF(M85&lt;&gt;"",M85,IF(L85="","",IF(L85&gt;=4.5,"S",IF(L85&gt;=3.5,"A",IF(L85&gt;=2.5,"B",IF(L85&gt;=1.5,"C","D")))))))</f>
        <v/>
      </c>
      <c r="P85" s="58">
        <f>IF(O85="","",IF(O85="S",5,IF(O85="A",4,IF(O85="B",3,IF(O85="C",2,IF(O85="D",1,0))))))</f>
        <v/>
      </c>
      <c r="Q85" s="4" t="inlineStr"/>
    </row>
    <row r="86" ht="22" customHeight="1">
      <c r="A86" s="33">
        <f>'01_인적정보'!A34</f>
        <v/>
      </c>
      <c r="B86" s="33">
        <f>'01_인적정보'!B34</f>
        <v/>
      </c>
      <c r="C86" s="8">
        <f>'01_인적정보'!C34</f>
        <v/>
      </c>
      <c r="D86" s="8">
        <f>'01_인적정보'!E34</f>
        <v/>
      </c>
      <c r="E86" s="16">
        <f>'01_인적정보'!H34</f>
        <v/>
      </c>
      <c r="F86" s="55">
        <f>IFERROR(VLOOKUP('01_인적정보'!M34,'13_직무역할DB'!$A$6:$D$70,4,FALSE),"")</f>
        <v/>
      </c>
      <c r="G86" s="20">
        <f>'07b_하반기입력'!G34</f>
        <v/>
      </c>
      <c r="H86" s="20">
        <f>'07b_하반기입력'!H34</f>
        <v/>
      </c>
      <c r="I86" s="20">
        <f>'07b_하반기입력'!I34</f>
        <v/>
      </c>
      <c r="J86" s="20">
        <f>'07b_하반기입력'!J34</f>
        <v/>
      </c>
      <c r="K86" s="20">
        <f>'07b_하반기입력'!K34</f>
        <v/>
      </c>
      <c r="L86" s="56">
        <f>IFERROR((IF(G86="S",5,IF(G86="A",4,IF(G86="B",3,IF(G86="C",2,IF(G86="D",1,0)))))+IF(H86="S",5,IF(H86="A",4,IF(H86="B",3,IF(H86="C",2,IF(H86="D",1,0)))))+IF(I86="S",5,IF(I86="A",4,IF(I86="B",3,IF(I86="C",2,IF(I86="D",1,0)))))+IF(J86="S",5,IF(J86="A",4,IF(J86="B",3,IF(J86="C",2,IF(J86="D",1,0)))))+IF(K86="S",5,IF(K86="A",4,IF(K86="B",3,IF(K86="C",2,IF(K86="D",1,0))))))/5,"")</f>
        <v/>
      </c>
      <c r="M86" s="21">
        <f>'07b_하반기입력'!L34</f>
        <v/>
      </c>
      <c r="N86" s="21">
        <f>'07b_하반기입력'!M34</f>
        <v/>
      </c>
      <c r="O86" s="57">
        <f>IF(N86&lt;&gt;"",N86,IF(M86&lt;&gt;"",M86,IF(L86="","",IF(L86&gt;=4.5,"S",IF(L86&gt;=3.5,"A",IF(L86&gt;=2.5,"B",IF(L86&gt;=1.5,"C","D")))))))</f>
        <v/>
      </c>
      <c r="P86" s="58">
        <f>IF(O86="","",IF(O86="S",5,IF(O86="A",4,IF(O86="B",3,IF(O86="C",2,IF(O86="D",1,0))))))</f>
        <v/>
      </c>
      <c r="Q86" s="4" t="inlineStr"/>
    </row>
    <row r="87" ht="22" customHeight="1">
      <c r="A87" s="33">
        <f>'01_인적정보'!A35</f>
        <v/>
      </c>
      <c r="B87" s="33">
        <f>'01_인적정보'!B35</f>
        <v/>
      </c>
      <c r="C87" s="8">
        <f>'01_인적정보'!C35</f>
        <v/>
      </c>
      <c r="D87" s="8">
        <f>'01_인적정보'!E35</f>
        <v/>
      </c>
      <c r="E87" s="16">
        <f>'01_인적정보'!H35</f>
        <v/>
      </c>
      <c r="F87" s="55">
        <f>IFERROR(VLOOKUP('01_인적정보'!M35,'13_직무역할DB'!$A$6:$D$70,4,FALSE),"")</f>
        <v/>
      </c>
      <c r="G87" s="20">
        <f>'07b_하반기입력'!G35</f>
        <v/>
      </c>
      <c r="H87" s="20">
        <f>'07b_하반기입력'!H35</f>
        <v/>
      </c>
      <c r="I87" s="20">
        <f>'07b_하반기입력'!I35</f>
        <v/>
      </c>
      <c r="J87" s="20">
        <f>'07b_하반기입력'!J35</f>
        <v/>
      </c>
      <c r="K87" s="20">
        <f>'07b_하반기입력'!K35</f>
        <v/>
      </c>
      <c r="L87" s="56">
        <f>IFERROR((IF(G87="S",5,IF(G87="A",4,IF(G87="B",3,IF(G87="C",2,IF(G87="D",1,0)))))+IF(H87="S",5,IF(H87="A",4,IF(H87="B",3,IF(H87="C",2,IF(H87="D",1,0)))))+IF(I87="S",5,IF(I87="A",4,IF(I87="B",3,IF(I87="C",2,IF(I87="D",1,0)))))+IF(J87="S",5,IF(J87="A",4,IF(J87="B",3,IF(J87="C",2,IF(J87="D",1,0)))))+IF(K87="S",5,IF(K87="A",4,IF(K87="B",3,IF(K87="C",2,IF(K87="D",1,0))))))/5,"")</f>
        <v/>
      </c>
      <c r="M87" s="21">
        <f>'07b_하반기입력'!L35</f>
        <v/>
      </c>
      <c r="N87" s="21">
        <f>'07b_하반기입력'!M35</f>
        <v/>
      </c>
      <c r="O87" s="57">
        <f>IF(N87&lt;&gt;"",N87,IF(M87&lt;&gt;"",M87,IF(L87="","",IF(L87&gt;=4.5,"S",IF(L87&gt;=3.5,"A",IF(L87&gt;=2.5,"B",IF(L87&gt;=1.5,"C","D")))))))</f>
        <v/>
      </c>
      <c r="P87" s="58">
        <f>IF(O87="","",IF(O87="S",5,IF(O87="A",4,IF(O87="B",3,IF(O87="C",2,IF(O87="D",1,0))))))</f>
        <v/>
      </c>
      <c r="Q87" s="4" t="inlineStr"/>
    </row>
    <row r="88" ht="22" customHeight="1">
      <c r="A88" s="33">
        <f>'01_인적정보'!A36</f>
        <v/>
      </c>
      <c r="B88" s="33">
        <f>'01_인적정보'!B36</f>
        <v/>
      </c>
      <c r="C88" s="8">
        <f>'01_인적정보'!C36</f>
        <v/>
      </c>
      <c r="D88" s="8">
        <f>'01_인적정보'!E36</f>
        <v/>
      </c>
      <c r="E88" s="16">
        <f>'01_인적정보'!H36</f>
        <v/>
      </c>
      <c r="F88" s="55">
        <f>IFERROR(VLOOKUP('01_인적정보'!M36,'13_직무역할DB'!$A$6:$D$70,4,FALSE),"")</f>
        <v/>
      </c>
      <c r="G88" s="20">
        <f>'07b_하반기입력'!G36</f>
        <v/>
      </c>
      <c r="H88" s="20">
        <f>'07b_하반기입력'!H36</f>
        <v/>
      </c>
      <c r="I88" s="20">
        <f>'07b_하반기입력'!I36</f>
        <v/>
      </c>
      <c r="J88" s="20">
        <f>'07b_하반기입력'!J36</f>
        <v/>
      </c>
      <c r="K88" s="20">
        <f>'07b_하반기입력'!K36</f>
        <v/>
      </c>
      <c r="L88" s="56">
        <f>IFERROR((IF(G88="S",5,IF(G88="A",4,IF(G88="B",3,IF(G88="C",2,IF(G88="D",1,0)))))+IF(H88="S",5,IF(H88="A",4,IF(H88="B",3,IF(H88="C",2,IF(H88="D",1,0)))))+IF(I88="S",5,IF(I88="A",4,IF(I88="B",3,IF(I88="C",2,IF(I88="D",1,0)))))+IF(J88="S",5,IF(J88="A",4,IF(J88="B",3,IF(J88="C",2,IF(J88="D",1,0)))))+IF(K88="S",5,IF(K88="A",4,IF(K88="B",3,IF(K88="C",2,IF(K88="D",1,0))))))/5,"")</f>
        <v/>
      </c>
      <c r="M88" s="21">
        <f>'07b_하반기입력'!L36</f>
        <v/>
      </c>
      <c r="N88" s="21">
        <f>'07b_하반기입력'!M36</f>
        <v/>
      </c>
      <c r="O88" s="57">
        <f>IF(N88&lt;&gt;"",N88,IF(M88&lt;&gt;"",M88,IF(L88="","",IF(L88&gt;=4.5,"S",IF(L88&gt;=3.5,"A",IF(L88&gt;=2.5,"B",IF(L88&gt;=1.5,"C","D")))))))</f>
        <v/>
      </c>
      <c r="P88" s="58">
        <f>IF(O88="","",IF(O88="S",5,IF(O88="A",4,IF(O88="B",3,IF(O88="C",2,IF(O88="D",1,0))))))</f>
        <v/>
      </c>
      <c r="Q88" s="4" t="inlineStr"/>
    </row>
    <row r="89" ht="22" customHeight="1">
      <c r="A89" s="33">
        <f>'01_인적정보'!A37</f>
        <v/>
      </c>
      <c r="B89" s="33">
        <f>'01_인적정보'!B37</f>
        <v/>
      </c>
      <c r="C89" s="8">
        <f>'01_인적정보'!C37</f>
        <v/>
      </c>
      <c r="D89" s="8">
        <f>'01_인적정보'!E37</f>
        <v/>
      </c>
      <c r="E89" s="16">
        <f>'01_인적정보'!H37</f>
        <v/>
      </c>
      <c r="F89" s="55">
        <f>IFERROR(VLOOKUP('01_인적정보'!M37,'13_직무역할DB'!$A$6:$D$70,4,FALSE),"")</f>
        <v/>
      </c>
      <c r="G89" s="20">
        <f>'07b_하반기입력'!G37</f>
        <v/>
      </c>
      <c r="H89" s="20">
        <f>'07b_하반기입력'!H37</f>
        <v/>
      </c>
      <c r="I89" s="20">
        <f>'07b_하반기입력'!I37</f>
        <v/>
      </c>
      <c r="J89" s="20">
        <f>'07b_하반기입력'!J37</f>
        <v/>
      </c>
      <c r="K89" s="20">
        <f>'07b_하반기입력'!K37</f>
        <v/>
      </c>
      <c r="L89" s="56">
        <f>IFERROR((IF(G89="S",5,IF(G89="A",4,IF(G89="B",3,IF(G89="C",2,IF(G89="D",1,0)))))+IF(H89="S",5,IF(H89="A",4,IF(H89="B",3,IF(H89="C",2,IF(H89="D",1,0)))))+IF(I89="S",5,IF(I89="A",4,IF(I89="B",3,IF(I89="C",2,IF(I89="D",1,0)))))+IF(J89="S",5,IF(J89="A",4,IF(J89="B",3,IF(J89="C",2,IF(J89="D",1,0)))))+IF(K89="S",5,IF(K89="A",4,IF(K89="B",3,IF(K89="C",2,IF(K89="D",1,0))))))/5,"")</f>
        <v/>
      </c>
      <c r="M89" s="21">
        <f>'07b_하반기입력'!L37</f>
        <v/>
      </c>
      <c r="N89" s="21">
        <f>'07b_하반기입력'!M37</f>
        <v/>
      </c>
      <c r="O89" s="57">
        <f>IF(N89&lt;&gt;"",N89,IF(M89&lt;&gt;"",M89,IF(L89="","",IF(L89&gt;=4.5,"S",IF(L89&gt;=3.5,"A",IF(L89&gt;=2.5,"B",IF(L89&gt;=1.5,"C","D")))))))</f>
        <v/>
      </c>
      <c r="P89" s="58">
        <f>IF(O89="","",IF(O89="S",5,IF(O89="A",4,IF(O89="B",3,IF(O89="C",2,IF(O89="D",1,0))))))</f>
        <v/>
      </c>
      <c r="Q89" s="4" t="inlineStr"/>
    </row>
    <row r="90" ht="22" customHeight="1">
      <c r="A90" s="33">
        <f>'01_인적정보'!A38</f>
        <v/>
      </c>
      <c r="B90" s="33">
        <f>'01_인적정보'!B38</f>
        <v/>
      </c>
      <c r="C90" s="8">
        <f>'01_인적정보'!C38</f>
        <v/>
      </c>
      <c r="D90" s="8">
        <f>'01_인적정보'!E38</f>
        <v/>
      </c>
      <c r="E90" s="16">
        <f>'01_인적정보'!H38</f>
        <v/>
      </c>
      <c r="F90" s="55">
        <f>IFERROR(VLOOKUP('01_인적정보'!M38,'13_직무역할DB'!$A$6:$D$70,4,FALSE),"")</f>
        <v/>
      </c>
      <c r="G90" s="20">
        <f>'07b_하반기입력'!G38</f>
        <v/>
      </c>
      <c r="H90" s="20">
        <f>'07b_하반기입력'!H38</f>
        <v/>
      </c>
      <c r="I90" s="20">
        <f>'07b_하반기입력'!I38</f>
        <v/>
      </c>
      <c r="J90" s="20">
        <f>'07b_하반기입력'!J38</f>
        <v/>
      </c>
      <c r="K90" s="20">
        <f>'07b_하반기입력'!K38</f>
        <v/>
      </c>
      <c r="L90" s="56">
        <f>IFERROR((IF(G90="S",5,IF(G90="A",4,IF(G90="B",3,IF(G90="C",2,IF(G90="D",1,0)))))+IF(H90="S",5,IF(H90="A",4,IF(H90="B",3,IF(H90="C",2,IF(H90="D",1,0)))))+IF(I90="S",5,IF(I90="A",4,IF(I90="B",3,IF(I90="C",2,IF(I90="D",1,0)))))+IF(J90="S",5,IF(J90="A",4,IF(J90="B",3,IF(J90="C",2,IF(J90="D",1,0)))))+IF(K90="S",5,IF(K90="A",4,IF(K90="B",3,IF(K90="C",2,IF(K90="D",1,0))))))/5,"")</f>
        <v/>
      </c>
      <c r="M90" s="21">
        <f>'07b_하반기입력'!L38</f>
        <v/>
      </c>
      <c r="N90" s="21">
        <f>'07b_하반기입력'!M38</f>
        <v/>
      </c>
      <c r="O90" s="57">
        <f>IF(N90&lt;&gt;"",N90,IF(M90&lt;&gt;"",M90,IF(L90="","",IF(L90&gt;=4.5,"S",IF(L90&gt;=3.5,"A",IF(L90&gt;=2.5,"B",IF(L90&gt;=1.5,"C","D")))))))</f>
        <v/>
      </c>
      <c r="P90" s="58">
        <f>IF(O90="","",IF(O90="S",5,IF(O90="A",4,IF(O90="B",3,IF(O90="C",2,IF(O90="D",1,0))))))</f>
        <v/>
      </c>
      <c r="Q90" s="4" t="inlineStr"/>
    </row>
    <row r="91" ht="22" customHeight="1">
      <c r="A91" s="33">
        <f>'01_인적정보'!A39</f>
        <v/>
      </c>
      <c r="B91" s="33">
        <f>'01_인적정보'!B39</f>
        <v/>
      </c>
      <c r="C91" s="8">
        <f>'01_인적정보'!C39</f>
        <v/>
      </c>
      <c r="D91" s="8">
        <f>'01_인적정보'!E39</f>
        <v/>
      </c>
      <c r="E91" s="16">
        <f>'01_인적정보'!H39</f>
        <v/>
      </c>
      <c r="F91" s="55">
        <f>IFERROR(VLOOKUP('01_인적정보'!M39,'13_직무역할DB'!$A$6:$D$70,4,FALSE),"")</f>
        <v/>
      </c>
      <c r="G91" s="20">
        <f>'07b_하반기입력'!G39</f>
        <v/>
      </c>
      <c r="H91" s="20">
        <f>'07b_하반기입력'!H39</f>
        <v/>
      </c>
      <c r="I91" s="20">
        <f>'07b_하반기입력'!I39</f>
        <v/>
      </c>
      <c r="J91" s="20">
        <f>'07b_하반기입력'!J39</f>
        <v/>
      </c>
      <c r="K91" s="20">
        <f>'07b_하반기입력'!K39</f>
        <v/>
      </c>
      <c r="L91" s="56">
        <f>IFERROR((IF(G91="S",5,IF(G91="A",4,IF(G91="B",3,IF(G91="C",2,IF(G91="D",1,0)))))+IF(H91="S",5,IF(H91="A",4,IF(H91="B",3,IF(H91="C",2,IF(H91="D",1,0)))))+IF(I91="S",5,IF(I91="A",4,IF(I91="B",3,IF(I91="C",2,IF(I91="D",1,0)))))+IF(J91="S",5,IF(J91="A",4,IF(J91="B",3,IF(J91="C",2,IF(J91="D",1,0)))))+IF(K91="S",5,IF(K91="A",4,IF(K91="B",3,IF(K91="C",2,IF(K91="D",1,0))))))/5,"")</f>
        <v/>
      </c>
      <c r="M91" s="21">
        <f>'07b_하반기입력'!L39</f>
        <v/>
      </c>
      <c r="N91" s="21">
        <f>'07b_하반기입력'!M39</f>
        <v/>
      </c>
      <c r="O91" s="57">
        <f>IF(N91&lt;&gt;"",N91,IF(M91&lt;&gt;"",M91,IF(L91="","",IF(L91&gt;=4.5,"S",IF(L91&gt;=3.5,"A",IF(L91&gt;=2.5,"B",IF(L91&gt;=1.5,"C","D")))))))</f>
        <v/>
      </c>
      <c r="P91" s="58">
        <f>IF(O91="","",IF(O91="S",5,IF(O91="A",4,IF(O91="B",3,IF(O91="C",2,IF(O91="D",1,0))))))</f>
        <v/>
      </c>
      <c r="Q91" s="4" t="inlineStr"/>
    </row>
  </sheetData>
  <mergeCells count="10">
    <mergeCell ref="A4:H4"/>
    <mergeCell ref="B8:H8"/>
    <mergeCell ref="A56:Q56"/>
    <mergeCell ref="B9:H9"/>
    <mergeCell ref="A2:R2"/>
    <mergeCell ref="A1:Y1"/>
    <mergeCell ref="B6:H6"/>
    <mergeCell ref="B7:H7"/>
    <mergeCell ref="A11:Q11"/>
    <mergeCell ref="B5:H5"/>
  </mergeCells>
  <conditionalFormatting sqref="G13:O46">
    <cfRule type="cellIs" priority="1" operator="equal" dxfId="2">
      <formula>"S"</formula>
    </cfRule>
    <cfRule type="cellIs" priority="2" operator="equal" dxfId="3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conditionalFormatting sqref="G58:O91">
    <cfRule type="cellIs" priority="5" operator="equal" dxfId="2">
      <formula>"S"</formula>
    </cfRule>
    <cfRule type="cellIs" priority="6" operator="equal" dxfId="3">
      <formula>"A"</formula>
    </cfRule>
    <cfRule type="cellIs" priority="7" operator="equal" dxfId="1">
      <formula>"C"</formula>
    </cfRule>
    <cfRule type="cellIs" priority="8" operator="equal" dxfId="0">
      <formula>"D"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135"/>
    <outlinePr summaryBelow="1" summaryRight="1"/>
    <pageSetUpPr/>
  </sheetPr>
  <dimension ref="A1:AC79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7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8" customWidth="1" min="17" max="17"/>
    <col width="20" customWidth="1" min="18" max="18"/>
  </cols>
  <sheetData>
    <row r="1" ht="28" customHeight="1">
      <c r="A1" s="1" t="inlineStr">
        <is>
          <t>공통역량평가 — 전사 공통 11개 역량 (1·2차 평가자 평균)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9" t="n"/>
    </row>
    <row r="2" ht="24" customHeight="1">
      <c r="A2" s="89" t="inlineStr">
        <is>
          <t>★ [자동 산출 시트] - 07a/07b의 11개 역량 등급을 가중합산. 결과 검토용.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9" t="n"/>
    </row>
    <row r="3"/>
    <row r="4">
      <c r="A4" s="54" t="inlineStr">
        <is>
          <t>■ 상반기 공통역량평가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9" t="n"/>
    </row>
    <row r="5" ht="32" customHeight="1">
      <c r="A5" s="59" t="inlineStr">
        <is>
          <t>No.</t>
        </is>
      </c>
      <c r="B5" s="59" t="inlineStr">
        <is>
          <t>사번</t>
        </is>
      </c>
      <c r="C5" s="59" t="inlineStr">
        <is>
          <t>성명</t>
        </is>
      </c>
      <c r="D5" s="59" t="inlineStr">
        <is>
          <t>역할등급</t>
        </is>
      </c>
      <c r="E5" s="59" t="inlineStr">
        <is>
          <t>C-1 직무 전문성</t>
        </is>
      </c>
      <c r="F5" s="59" t="inlineStr">
        <is>
          <t>C-2 분석력</t>
        </is>
      </c>
      <c r="G5" s="59" t="inlineStr">
        <is>
          <t>C-3 기획/실행력</t>
        </is>
      </c>
      <c r="H5" s="59" t="inlineStr">
        <is>
          <t>C-4 자원·시간 관리</t>
        </is>
      </c>
      <c r="I5" s="59" t="inlineStr">
        <is>
          <t>C-5 협업 능력</t>
        </is>
      </c>
      <c r="J5" s="59" t="inlineStr">
        <is>
          <t>C-6 소통 능력</t>
        </is>
      </c>
      <c r="K5" s="59" t="inlineStr">
        <is>
          <t>C-7 윤리/책임감</t>
        </is>
      </c>
      <c r="L5" s="59" t="inlineStr">
        <is>
          <t>C-8 업무 태도</t>
        </is>
      </c>
      <c r="M5" s="59" t="inlineStr">
        <is>
          <t>C-9 혁신 역량</t>
        </is>
      </c>
      <c r="N5" s="59" t="inlineStr">
        <is>
          <t>C-10 프로세스 개선</t>
        </is>
      </c>
      <c r="O5" s="59" t="inlineStr">
        <is>
          <t>C-11 지속가능 기여</t>
        </is>
      </c>
      <c r="P5" s="59" t="inlineStr">
        <is>
          <t>가중합산</t>
        </is>
      </c>
      <c r="Q5" s="59" t="inlineStr">
        <is>
          <t>등급</t>
        </is>
      </c>
      <c r="R5" s="59" t="inlineStr">
        <is>
          <t>소견</t>
        </is>
      </c>
    </row>
    <row r="6" ht="22" customHeight="1">
      <c r="A6" s="33">
        <f>'01_인적정보'!A6</f>
        <v/>
      </c>
      <c r="B6" s="33">
        <f>'01_인적정보'!B6</f>
        <v/>
      </c>
      <c r="C6" s="8">
        <f>'01_인적정보'!C6</f>
        <v/>
      </c>
      <c r="D6" s="16">
        <f>'01_인적정보'!H6</f>
        <v/>
      </c>
      <c r="E6" s="20">
        <f>'07a_상반기입력'!N6</f>
        <v/>
      </c>
      <c r="F6" s="20">
        <f>'07a_상반기입력'!O6</f>
        <v/>
      </c>
      <c r="G6" s="20">
        <f>'07a_상반기입력'!P6</f>
        <v/>
      </c>
      <c r="H6" s="20">
        <f>'07a_상반기입력'!Q6</f>
        <v/>
      </c>
      <c r="I6" s="20">
        <f>'07a_상반기입력'!R6</f>
        <v/>
      </c>
      <c r="J6" s="20">
        <f>'07a_상반기입력'!S6</f>
        <v/>
      </c>
      <c r="K6" s="20">
        <f>'07a_상반기입력'!T6</f>
        <v/>
      </c>
      <c r="L6" s="20">
        <f>'07a_상반기입력'!U6</f>
        <v/>
      </c>
      <c r="M6" s="20">
        <f>'07a_상반기입력'!V6</f>
        <v/>
      </c>
      <c r="N6" s="20">
        <f>'07a_상반기입력'!W6</f>
        <v/>
      </c>
      <c r="O6" s="20">
        <f>'07a_상반기입력'!X6</f>
        <v/>
      </c>
      <c r="P6" s="56">
        <f>IFERROR(IF(COUNTBLANK(E6:O6)&gt;0,"",0.15*IF(E6="S",5,IF(E6="A",4,IF(E6="B",3,IF(E6="C",2,IF(E6="D",1,0)))))+0.1*IF(F6="S",5,IF(F6="A",4,IF(F6="B",3,IF(F6="C",2,IF(F6="D",1,0)))))+0.1*IF(G6="S",5,IF(G6="A",4,IF(G6="B",3,IF(G6="C",2,IF(G6="D",1,0)))))+0.1*IF(H6="S",5,IF(H6="A",4,IF(H6="B",3,IF(H6="C",2,IF(H6="D",1,0)))))+0.1*IF(I6="S",5,IF(I6="A",4,IF(I6="B",3,IF(I6="C",2,IF(I6="D",1,0)))))+0.1*IF(J6="S",5,IF(J6="A",4,IF(J6="B",3,IF(J6="C",2,IF(J6="D",1,0)))))+0.1*IF(K6="S",5,IF(K6="A",4,IF(K6="B",3,IF(K6="C",2,IF(K6="D",1,0)))))+0.1*IF(L6="S",5,IF(L6="A",4,IF(L6="B",3,IF(L6="C",2,IF(L6="D",1,0)))))+0.05*IF(M6="S",5,IF(M6="A",4,IF(M6="B",3,IF(M6="C",2,IF(M6="D",1,0)))))+0.05*IF(N6="S",5,IF(N6="A",4,IF(N6="B",3,IF(N6="C",2,IF(N6="D",1,0)))))+0.05*IF(O6="S",5,IF(O6="A",4,IF(O6="B",3,IF(O6="C",2,IF(O6="D",1,0)))))),"")</f>
        <v/>
      </c>
      <c r="Q6" s="57">
        <f>IF(P6="","",IF(P6&gt;=4.5,"S",IF(P6&gt;=3.5,"A",IF(P6&gt;=2.5,"B",IF(P6&gt;=1.5,"C","D")))))</f>
        <v/>
      </c>
      <c r="R6" s="4" t="inlineStr"/>
    </row>
    <row r="7" ht="22" customHeight="1">
      <c r="A7" s="33">
        <f>'01_인적정보'!A7</f>
        <v/>
      </c>
      <c r="B7" s="33">
        <f>'01_인적정보'!B7</f>
        <v/>
      </c>
      <c r="C7" s="8">
        <f>'01_인적정보'!C7</f>
        <v/>
      </c>
      <c r="D7" s="16">
        <f>'01_인적정보'!H7</f>
        <v/>
      </c>
      <c r="E7" s="20">
        <f>'07a_상반기입력'!N7</f>
        <v/>
      </c>
      <c r="F7" s="20">
        <f>'07a_상반기입력'!O7</f>
        <v/>
      </c>
      <c r="G7" s="20">
        <f>'07a_상반기입력'!P7</f>
        <v/>
      </c>
      <c r="H7" s="20">
        <f>'07a_상반기입력'!Q7</f>
        <v/>
      </c>
      <c r="I7" s="20">
        <f>'07a_상반기입력'!R7</f>
        <v/>
      </c>
      <c r="J7" s="20">
        <f>'07a_상반기입력'!S7</f>
        <v/>
      </c>
      <c r="K7" s="20">
        <f>'07a_상반기입력'!T7</f>
        <v/>
      </c>
      <c r="L7" s="20">
        <f>'07a_상반기입력'!U7</f>
        <v/>
      </c>
      <c r="M7" s="20">
        <f>'07a_상반기입력'!V7</f>
        <v/>
      </c>
      <c r="N7" s="20">
        <f>'07a_상반기입력'!W7</f>
        <v/>
      </c>
      <c r="O7" s="20">
        <f>'07a_상반기입력'!X7</f>
        <v/>
      </c>
      <c r="P7" s="56">
        <f>IFERROR(IF(COUNTBLANK(E7:O7)&gt;0,"",0.15*IF(E7="S",5,IF(E7="A",4,IF(E7="B",3,IF(E7="C",2,IF(E7="D",1,0)))))+0.1*IF(F7="S",5,IF(F7="A",4,IF(F7="B",3,IF(F7="C",2,IF(F7="D",1,0)))))+0.1*IF(G7="S",5,IF(G7="A",4,IF(G7="B",3,IF(G7="C",2,IF(G7="D",1,0)))))+0.1*IF(H7="S",5,IF(H7="A",4,IF(H7="B",3,IF(H7="C",2,IF(H7="D",1,0)))))+0.1*IF(I7="S",5,IF(I7="A",4,IF(I7="B",3,IF(I7="C",2,IF(I7="D",1,0)))))+0.1*IF(J7="S",5,IF(J7="A",4,IF(J7="B",3,IF(J7="C",2,IF(J7="D",1,0)))))+0.1*IF(K7="S",5,IF(K7="A",4,IF(K7="B",3,IF(K7="C",2,IF(K7="D",1,0)))))+0.1*IF(L7="S",5,IF(L7="A",4,IF(L7="B",3,IF(L7="C",2,IF(L7="D",1,0)))))+0.05*IF(M7="S",5,IF(M7="A",4,IF(M7="B",3,IF(M7="C",2,IF(M7="D",1,0)))))+0.05*IF(N7="S",5,IF(N7="A",4,IF(N7="B",3,IF(N7="C",2,IF(N7="D",1,0)))))+0.05*IF(O7="S",5,IF(O7="A",4,IF(O7="B",3,IF(O7="C",2,IF(O7="D",1,0)))))),"")</f>
        <v/>
      </c>
      <c r="Q7" s="57">
        <f>IF(P7="","",IF(P7&gt;=4.5,"S",IF(P7&gt;=3.5,"A",IF(P7&gt;=2.5,"B",IF(P7&gt;=1.5,"C","D")))))</f>
        <v/>
      </c>
      <c r="R7" s="4" t="inlineStr"/>
    </row>
    <row r="8" ht="22" customHeight="1">
      <c r="A8" s="33">
        <f>'01_인적정보'!A8</f>
        <v/>
      </c>
      <c r="B8" s="33">
        <f>'01_인적정보'!B8</f>
        <v/>
      </c>
      <c r="C8" s="8">
        <f>'01_인적정보'!C8</f>
        <v/>
      </c>
      <c r="D8" s="16">
        <f>'01_인적정보'!H8</f>
        <v/>
      </c>
      <c r="E8" s="20">
        <f>'07a_상반기입력'!N8</f>
        <v/>
      </c>
      <c r="F8" s="20">
        <f>'07a_상반기입력'!O8</f>
        <v/>
      </c>
      <c r="G8" s="20">
        <f>'07a_상반기입력'!P8</f>
        <v/>
      </c>
      <c r="H8" s="20">
        <f>'07a_상반기입력'!Q8</f>
        <v/>
      </c>
      <c r="I8" s="20">
        <f>'07a_상반기입력'!R8</f>
        <v/>
      </c>
      <c r="J8" s="20">
        <f>'07a_상반기입력'!S8</f>
        <v/>
      </c>
      <c r="K8" s="20">
        <f>'07a_상반기입력'!T8</f>
        <v/>
      </c>
      <c r="L8" s="20">
        <f>'07a_상반기입력'!U8</f>
        <v/>
      </c>
      <c r="M8" s="20">
        <f>'07a_상반기입력'!V8</f>
        <v/>
      </c>
      <c r="N8" s="20">
        <f>'07a_상반기입력'!W8</f>
        <v/>
      </c>
      <c r="O8" s="20">
        <f>'07a_상반기입력'!X8</f>
        <v/>
      </c>
      <c r="P8" s="56">
        <f>IFERROR(IF(COUNTBLANK(E8:O8)&gt;0,"",0.15*IF(E8="S",5,IF(E8="A",4,IF(E8="B",3,IF(E8="C",2,IF(E8="D",1,0)))))+0.1*IF(F8="S",5,IF(F8="A",4,IF(F8="B",3,IF(F8="C",2,IF(F8="D",1,0)))))+0.1*IF(G8="S",5,IF(G8="A",4,IF(G8="B",3,IF(G8="C",2,IF(G8="D",1,0)))))+0.1*IF(H8="S",5,IF(H8="A",4,IF(H8="B",3,IF(H8="C",2,IF(H8="D",1,0)))))+0.1*IF(I8="S",5,IF(I8="A",4,IF(I8="B",3,IF(I8="C",2,IF(I8="D",1,0)))))+0.1*IF(J8="S",5,IF(J8="A",4,IF(J8="B",3,IF(J8="C",2,IF(J8="D",1,0)))))+0.1*IF(K8="S",5,IF(K8="A",4,IF(K8="B",3,IF(K8="C",2,IF(K8="D",1,0)))))+0.1*IF(L8="S",5,IF(L8="A",4,IF(L8="B",3,IF(L8="C",2,IF(L8="D",1,0)))))+0.05*IF(M8="S",5,IF(M8="A",4,IF(M8="B",3,IF(M8="C",2,IF(M8="D",1,0)))))+0.05*IF(N8="S",5,IF(N8="A",4,IF(N8="B",3,IF(N8="C",2,IF(N8="D",1,0)))))+0.05*IF(O8="S",5,IF(O8="A",4,IF(O8="B",3,IF(O8="C",2,IF(O8="D",1,0)))))),"")</f>
        <v/>
      </c>
      <c r="Q8" s="57">
        <f>IF(P8="","",IF(P8&gt;=4.5,"S",IF(P8&gt;=3.5,"A",IF(P8&gt;=2.5,"B",IF(P8&gt;=1.5,"C","D")))))</f>
        <v/>
      </c>
      <c r="R8" s="4" t="inlineStr"/>
    </row>
    <row r="9" ht="22" customHeight="1">
      <c r="A9" s="33">
        <f>'01_인적정보'!A9</f>
        <v/>
      </c>
      <c r="B9" s="33">
        <f>'01_인적정보'!B9</f>
        <v/>
      </c>
      <c r="C9" s="8">
        <f>'01_인적정보'!C9</f>
        <v/>
      </c>
      <c r="D9" s="16">
        <f>'01_인적정보'!H9</f>
        <v/>
      </c>
      <c r="E9" s="20">
        <f>'07a_상반기입력'!N9</f>
        <v/>
      </c>
      <c r="F9" s="20">
        <f>'07a_상반기입력'!O9</f>
        <v/>
      </c>
      <c r="G9" s="20">
        <f>'07a_상반기입력'!P9</f>
        <v/>
      </c>
      <c r="H9" s="20">
        <f>'07a_상반기입력'!Q9</f>
        <v/>
      </c>
      <c r="I9" s="20">
        <f>'07a_상반기입력'!R9</f>
        <v/>
      </c>
      <c r="J9" s="20">
        <f>'07a_상반기입력'!S9</f>
        <v/>
      </c>
      <c r="K9" s="20">
        <f>'07a_상반기입력'!T9</f>
        <v/>
      </c>
      <c r="L9" s="20">
        <f>'07a_상반기입력'!U9</f>
        <v/>
      </c>
      <c r="M9" s="20">
        <f>'07a_상반기입력'!V9</f>
        <v/>
      </c>
      <c r="N9" s="20">
        <f>'07a_상반기입력'!W9</f>
        <v/>
      </c>
      <c r="O9" s="20">
        <f>'07a_상반기입력'!X9</f>
        <v/>
      </c>
      <c r="P9" s="56">
        <f>IFERROR(IF(COUNTBLANK(E9:O9)&gt;0,"",0.15*IF(E9="S",5,IF(E9="A",4,IF(E9="B",3,IF(E9="C",2,IF(E9="D",1,0)))))+0.1*IF(F9="S",5,IF(F9="A",4,IF(F9="B",3,IF(F9="C",2,IF(F9="D",1,0)))))+0.1*IF(G9="S",5,IF(G9="A",4,IF(G9="B",3,IF(G9="C",2,IF(G9="D",1,0)))))+0.1*IF(H9="S",5,IF(H9="A",4,IF(H9="B",3,IF(H9="C",2,IF(H9="D",1,0)))))+0.1*IF(I9="S",5,IF(I9="A",4,IF(I9="B",3,IF(I9="C",2,IF(I9="D",1,0)))))+0.1*IF(J9="S",5,IF(J9="A",4,IF(J9="B",3,IF(J9="C",2,IF(J9="D",1,0)))))+0.1*IF(K9="S",5,IF(K9="A",4,IF(K9="B",3,IF(K9="C",2,IF(K9="D",1,0)))))+0.1*IF(L9="S",5,IF(L9="A",4,IF(L9="B",3,IF(L9="C",2,IF(L9="D",1,0)))))+0.05*IF(M9="S",5,IF(M9="A",4,IF(M9="B",3,IF(M9="C",2,IF(M9="D",1,0)))))+0.05*IF(N9="S",5,IF(N9="A",4,IF(N9="B",3,IF(N9="C",2,IF(N9="D",1,0)))))+0.05*IF(O9="S",5,IF(O9="A",4,IF(O9="B",3,IF(O9="C",2,IF(O9="D",1,0)))))),"")</f>
        <v/>
      </c>
      <c r="Q9" s="57">
        <f>IF(P9="","",IF(P9&gt;=4.5,"S",IF(P9&gt;=3.5,"A",IF(P9&gt;=2.5,"B",IF(P9&gt;=1.5,"C","D")))))</f>
        <v/>
      </c>
      <c r="R9" s="4" t="inlineStr"/>
    </row>
    <row r="10" ht="22" customHeight="1">
      <c r="A10" s="33">
        <f>'01_인적정보'!A10</f>
        <v/>
      </c>
      <c r="B10" s="33">
        <f>'01_인적정보'!B10</f>
        <v/>
      </c>
      <c r="C10" s="8">
        <f>'01_인적정보'!C10</f>
        <v/>
      </c>
      <c r="D10" s="16">
        <f>'01_인적정보'!H10</f>
        <v/>
      </c>
      <c r="E10" s="20">
        <f>'07a_상반기입력'!N10</f>
        <v/>
      </c>
      <c r="F10" s="20">
        <f>'07a_상반기입력'!O10</f>
        <v/>
      </c>
      <c r="G10" s="20">
        <f>'07a_상반기입력'!P10</f>
        <v/>
      </c>
      <c r="H10" s="20">
        <f>'07a_상반기입력'!Q10</f>
        <v/>
      </c>
      <c r="I10" s="20">
        <f>'07a_상반기입력'!R10</f>
        <v/>
      </c>
      <c r="J10" s="20">
        <f>'07a_상반기입력'!S10</f>
        <v/>
      </c>
      <c r="K10" s="20">
        <f>'07a_상반기입력'!T10</f>
        <v/>
      </c>
      <c r="L10" s="20">
        <f>'07a_상반기입력'!U10</f>
        <v/>
      </c>
      <c r="M10" s="20">
        <f>'07a_상반기입력'!V10</f>
        <v/>
      </c>
      <c r="N10" s="20">
        <f>'07a_상반기입력'!W10</f>
        <v/>
      </c>
      <c r="O10" s="20">
        <f>'07a_상반기입력'!X10</f>
        <v/>
      </c>
      <c r="P10" s="56">
        <f>IFERROR(IF(COUNTBLANK(E10:O10)&gt;0,"",0.15*IF(E10="S",5,IF(E10="A",4,IF(E10="B",3,IF(E10="C",2,IF(E10="D",1,0)))))+0.1*IF(F10="S",5,IF(F10="A",4,IF(F10="B",3,IF(F10="C",2,IF(F10="D",1,0)))))+0.1*IF(G10="S",5,IF(G10="A",4,IF(G10="B",3,IF(G10="C",2,IF(G10="D",1,0)))))+0.1*IF(H10="S",5,IF(H10="A",4,IF(H10="B",3,IF(H10="C",2,IF(H10="D",1,0)))))+0.1*IF(I10="S",5,IF(I10="A",4,IF(I10="B",3,IF(I10="C",2,IF(I10="D",1,0)))))+0.1*IF(J10="S",5,IF(J10="A",4,IF(J10="B",3,IF(J10="C",2,IF(J10="D",1,0)))))+0.1*IF(K10="S",5,IF(K10="A",4,IF(K10="B",3,IF(K10="C",2,IF(K10="D",1,0)))))+0.1*IF(L10="S",5,IF(L10="A",4,IF(L10="B",3,IF(L10="C",2,IF(L10="D",1,0)))))+0.05*IF(M10="S",5,IF(M10="A",4,IF(M10="B",3,IF(M10="C",2,IF(M10="D",1,0)))))+0.05*IF(N10="S",5,IF(N10="A",4,IF(N10="B",3,IF(N10="C",2,IF(N10="D",1,0)))))+0.05*IF(O10="S",5,IF(O10="A",4,IF(O10="B",3,IF(O10="C",2,IF(O10="D",1,0)))))),"")</f>
        <v/>
      </c>
      <c r="Q10" s="57">
        <f>IF(P10="","",IF(P10&gt;=4.5,"S",IF(P10&gt;=3.5,"A",IF(P10&gt;=2.5,"B",IF(P10&gt;=1.5,"C","D")))))</f>
        <v/>
      </c>
      <c r="R10" s="4" t="inlineStr"/>
    </row>
    <row r="11" ht="22" customHeight="1">
      <c r="A11" s="33">
        <f>'01_인적정보'!A11</f>
        <v/>
      </c>
      <c r="B11" s="33">
        <f>'01_인적정보'!B11</f>
        <v/>
      </c>
      <c r="C11" s="8">
        <f>'01_인적정보'!C11</f>
        <v/>
      </c>
      <c r="D11" s="16">
        <f>'01_인적정보'!H11</f>
        <v/>
      </c>
      <c r="E11" s="20">
        <f>'07a_상반기입력'!N11</f>
        <v/>
      </c>
      <c r="F11" s="20">
        <f>'07a_상반기입력'!O11</f>
        <v/>
      </c>
      <c r="G11" s="20">
        <f>'07a_상반기입력'!P11</f>
        <v/>
      </c>
      <c r="H11" s="20">
        <f>'07a_상반기입력'!Q11</f>
        <v/>
      </c>
      <c r="I11" s="20">
        <f>'07a_상반기입력'!R11</f>
        <v/>
      </c>
      <c r="J11" s="20">
        <f>'07a_상반기입력'!S11</f>
        <v/>
      </c>
      <c r="K11" s="20">
        <f>'07a_상반기입력'!T11</f>
        <v/>
      </c>
      <c r="L11" s="20">
        <f>'07a_상반기입력'!U11</f>
        <v/>
      </c>
      <c r="M11" s="20">
        <f>'07a_상반기입력'!V11</f>
        <v/>
      </c>
      <c r="N11" s="20">
        <f>'07a_상반기입력'!W11</f>
        <v/>
      </c>
      <c r="O11" s="20">
        <f>'07a_상반기입력'!X11</f>
        <v/>
      </c>
      <c r="P11" s="56">
        <f>IFERROR(IF(COUNTBLANK(E11:O11)&gt;0,"",0.15*IF(E11="S",5,IF(E11="A",4,IF(E11="B",3,IF(E11="C",2,IF(E11="D",1,0)))))+0.1*IF(F11="S",5,IF(F11="A",4,IF(F11="B",3,IF(F11="C",2,IF(F11="D",1,0)))))+0.1*IF(G11="S",5,IF(G11="A",4,IF(G11="B",3,IF(G11="C",2,IF(G11="D",1,0)))))+0.1*IF(H11="S",5,IF(H11="A",4,IF(H11="B",3,IF(H11="C",2,IF(H11="D",1,0)))))+0.1*IF(I11="S",5,IF(I11="A",4,IF(I11="B",3,IF(I11="C",2,IF(I11="D",1,0)))))+0.1*IF(J11="S",5,IF(J11="A",4,IF(J11="B",3,IF(J11="C",2,IF(J11="D",1,0)))))+0.1*IF(K11="S",5,IF(K11="A",4,IF(K11="B",3,IF(K11="C",2,IF(K11="D",1,0)))))+0.1*IF(L11="S",5,IF(L11="A",4,IF(L11="B",3,IF(L11="C",2,IF(L11="D",1,0)))))+0.05*IF(M11="S",5,IF(M11="A",4,IF(M11="B",3,IF(M11="C",2,IF(M11="D",1,0)))))+0.05*IF(N11="S",5,IF(N11="A",4,IF(N11="B",3,IF(N11="C",2,IF(N11="D",1,0)))))+0.05*IF(O11="S",5,IF(O11="A",4,IF(O11="B",3,IF(O11="C",2,IF(O11="D",1,0)))))),"")</f>
        <v/>
      </c>
      <c r="Q11" s="57">
        <f>IF(P11="","",IF(P11&gt;=4.5,"S",IF(P11&gt;=3.5,"A",IF(P11&gt;=2.5,"B",IF(P11&gt;=1.5,"C","D")))))</f>
        <v/>
      </c>
      <c r="R11" s="4" t="inlineStr"/>
    </row>
    <row r="12" ht="22" customHeight="1">
      <c r="A12" s="33">
        <f>'01_인적정보'!A12</f>
        <v/>
      </c>
      <c r="B12" s="33">
        <f>'01_인적정보'!B12</f>
        <v/>
      </c>
      <c r="C12" s="8">
        <f>'01_인적정보'!C12</f>
        <v/>
      </c>
      <c r="D12" s="16">
        <f>'01_인적정보'!H12</f>
        <v/>
      </c>
      <c r="E12" s="20">
        <f>'07a_상반기입력'!N12</f>
        <v/>
      </c>
      <c r="F12" s="20">
        <f>'07a_상반기입력'!O12</f>
        <v/>
      </c>
      <c r="G12" s="20">
        <f>'07a_상반기입력'!P12</f>
        <v/>
      </c>
      <c r="H12" s="20">
        <f>'07a_상반기입력'!Q12</f>
        <v/>
      </c>
      <c r="I12" s="20">
        <f>'07a_상반기입력'!R12</f>
        <v/>
      </c>
      <c r="J12" s="20">
        <f>'07a_상반기입력'!S12</f>
        <v/>
      </c>
      <c r="K12" s="20">
        <f>'07a_상반기입력'!T12</f>
        <v/>
      </c>
      <c r="L12" s="20">
        <f>'07a_상반기입력'!U12</f>
        <v/>
      </c>
      <c r="M12" s="20">
        <f>'07a_상반기입력'!V12</f>
        <v/>
      </c>
      <c r="N12" s="20">
        <f>'07a_상반기입력'!W12</f>
        <v/>
      </c>
      <c r="O12" s="20">
        <f>'07a_상반기입력'!X12</f>
        <v/>
      </c>
      <c r="P12" s="56">
        <f>IFERROR(IF(COUNTBLANK(E12:O12)&gt;0,"",0.15*IF(E12="S",5,IF(E12="A",4,IF(E12="B",3,IF(E12="C",2,IF(E12="D",1,0)))))+0.1*IF(F12="S",5,IF(F12="A",4,IF(F12="B",3,IF(F12="C",2,IF(F12="D",1,0)))))+0.1*IF(G12="S",5,IF(G12="A",4,IF(G12="B",3,IF(G12="C",2,IF(G12="D",1,0)))))+0.1*IF(H12="S",5,IF(H12="A",4,IF(H12="B",3,IF(H12="C",2,IF(H12="D",1,0)))))+0.1*IF(I12="S",5,IF(I12="A",4,IF(I12="B",3,IF(I12="C",2,IF(I12="D",1,0)))))+0.1*IF(J12="S",5,IF(J12="A",4,IF(J12="B",3,IF(J12="C",2,IF(J12="D",1,0)))))+0.1*IF(K12="S",5,IF(K12="A",4,IF(K12="B",3,IF(K12="C",2,IF(K12="D",1,0)))))+0.1*IF(L12="S",5,IF(L12="A",4,IF(L12="B",3,IF(L12="C",2,IF(L12="D",1,0)))))+0.05*IF(M12="S",5,IF(M12="A",4,IF(M12="B",3,IF(M12="C",2,IF(M12="D",1,0)))))+0.05*IF(N12="S",5,IF(N12="A",4,IF(N12="B",3,IF(N12="C",2,IF(N12="D",1,0)))))+0.05*IF(O12="S",5,IF(O12="A",4,IF(O12="B",3,IF(O12="C",2,IF(O12="D",1,0)))))),"")</f>
        <v/>
      </c>
      <c r="Q12" s="57">
        <f>IF(P12="","",IF(P12&gt;=4.5,"S",IF(P12&gt;=3.5,"A",IF(P12&gt;=2.5,"B",IF(P12&gt;=1.5,"C","D")))))</f>
        <v/>
      </c>
      <c r="R12" s="4" t="inlineStr"/>
    </row>
    <row r="13" ht="22" customHeight="1">
      <c r="A13" s="33">
        <f>'01_인적정보'!A13</f>
        <v/>
      </c>
      <c r="B13" s="33">
        <f>'01_인적정보'!B13</f>
        <v/>
      </c>
      <c r="C13" s="8">
        <f>'01_인적정보'!C13</f>
        <v/>
      </c>
      <c r="D13" s="16">
        <f>'01_인적정보'!H13</f>
        <v/>
      </c>
      <c r="E13" s="20">
        <f>'07a_상반기입력'!N13</f>
        <v/>
      </c>
      <c r="F13" s="20">
        <f>'07a_상반기입력'!O13</f>
        <v/>
      </c>
      <c r="G13" s="20">
        <f>'07a_상반기입력'!P13</f>
        <v/>
      </c>
      <c r="H13" s="20">
        <f>'07a_상반기입력'!Q13</f>
        <v/>
      </c>
      <c r="I13" s="20">
        <f>'07a_상반기입력'!R13</f>
        <v/>
      </c>
      <c r="J13" s="20">
        <f>'07a_상반기입력'!S13</f>
        <v/>
      </c>
      <c r="K13" s="20">
        <f>'07a_상반기입력'!T13</f>
        <v/>
      </c>
      <c r="L13" s="20">
        <f>'07a_상반기입력'!U13</f>
        <v/>
      </c>
      <c r="M13" s="20">
        <f>'07a_상반기입력'!V13</f>
        <v/>
      </c>
      <c r="N13" s="20">
        <f>'07a_상반기입력'!W13</f>
        <v/>
      </c>
      <c r="O13" s="20">
        <f>'07a_상반기입력'!X13</f>
        <v/>
      </c>
      <c r="P13" s="56">
        <f>IFERROR(IF(COUNTBLANK(E13:O13)&gt;0,"",0.15*IF(E13="S",5,IF(E13="A",4,IF(E13="B",3,IF(E13="C",2,IF(E13="D",1,0)))))+0.1*IF(F13="S",5,IF(F13="A",4,IF(F13="B",3,IF(F13="C",2,IF(F13="D",1,0)))))+0.1*IF(G13="S",5,IF(G13="A",4,IF(G13="B",3,IF(G13="C",2,IF(G13="D",1,0)))))+0.1*IF(H13="S",5,IF(H13="A",4,IF(H13="B",3,IF(H13="C",2,IF(H13="D",1,0)))))+0.1*IF(I13="S",5,IF(I13="A",4,IF(I13="B",3,IF(I13="C",2,IF(I13="D",1,0)))))+0.1*IF(J13="S",5,IF(J13="A",4,IF(J13="B",3,IF(J13="C",2,IF(J13="D",1,0)))))+0.1*IF(K13="S",5,IF(K13="A",4,IF(K13="B",3,IF(K13="C",2,IF(K13="D",1,0)))))+0.1*IF(L13="S",5,IF(L13="A",4,IF(L13="B",3,IF(L13="C",2,IF(L13="D",1,0)))))+0.05*IF(M13="S",5,IF(M13="A",4,IF(M13="B",3,IF(M13="C",2,IF(M13="D",1,0)))))+0.05*IF(N13="S",5,IF(N13="A",4,IF(N13="B",3,IF(N13="C",2,IF(N13="D",1,0)))))+0.05*IF(O13="S",5,IF(O13="A",4,IF(O13="B",3,IF(O13="C",2,IF(O13="D",1,0)))))),"")</f>
        <v/>
      </c>
      <c r="Q13" s="57">
        <f>IF(P13="","",IF(P13&gt;=4.5,"S",IF(P13&gt;=3.5,"A",IF(P13&gt;=2.5,"B",IF(P13&gt;=1.5,"C","D")))))</f>
        <v/>
      </c>
      <c r="R13" s="4" t="inlineStr"/>
    </row>
    <row r="14" ht="22" customHeight="1">
      <c r="A14" s="33">
        <f>'01_인적정보'!A14</f>
        <v/>
      </c>
      <c r="B14" s="33">
        <f>'01_인적정보'!B14</f>
        <v/>
      </c>
      <c r="C14" s="8">
        <f>'01_인적정보'!C14</f>
        <v/>
      </c>
      <c r="D14" s="16">
        <f>'01_인적정보'!H14</f>
        <v/>
      </c>
      <c r="E14" s="20">
        <f>'07a_상반기입력'!N14</f>
        <v/>
      </c>
      <c r="F14" s="20">
        <f>'07a_상반기입력'!O14</f>
        <v/>
      </c>
      <c r="G14" s="20">
        <f>'07a_상반기입력'!P14</f>
        <v/>
      </c>
      <c r="H14" s="20">
        <f>'07a_상반기입력'!Q14</f>
        <v/>
      </c>
      <c r="I14" s="20">
        <f>'07a_상반기입력'!R14</f>
        <v/>
      </c>
      <c r="J14" s="20">
        <f>'07a_상반기입력'!S14</f>
        <v/>
      </c>
      <c r="K14" s="20">
        <f>'07a_상반기입력'!T14</f>
        <v/>
      </c>
      <c r="L14" s="20">
        <f>'07a_상반기입력'!U14</f>
        <v/>
      </c>
      <c r="M14" s="20">
        <f>'07a_상반기입력'!V14</f>
        <v/>
      </c>
      <c r="N14" s="20">
        <f>'07a_상반기입력'!W14</f>
        <v/>
      </c>
      <c r="O14" s="20">
        <f>'07a_상반기입력'!X14</f>
        <v/>
      </c>
      <c r="P14" s="56">
        <f>IFERROR(IF(COUNTBLANK(E14:O14)&gt;0,"",0.15*IF(E14="S",5,IF(E14="A",4,IF(E14="B",3,IF(E14="C",2,IF(E14="D",1,0)))))+0.1*IF(F14="S",5,IF(F14="A",4,IF(F14="B",3,IF(F14="C",2,IF(F14="D",1,0)))))+0.1*IF(G14="S",5,IF(G14="A",4,IF(G14="B",3,IF(G14="C",2,IF(G14="D",1,0)))))+0.1*IF(H14="S",5,IF(H14="A",4,IF(H14="B",3,IF(H14="C",2,IF(H14="D",1,0)))))+0.1*IF(I14="S",5,IF(I14="A",4,IF(I14="B",3,IF(I14="C",2,IF(I14="D",1,0)))))+0.1*IF(J14="S",5,IF(J14="A",4,IF(J14="B",3,IF(J14="C",2,IF(J14="D",1,0)))))+0.1*IF(K14="S",5,IF(K14="A",4,IF(K14="B",3,IF(K14="C",2,IF(K14="D",1,0)))))+0.1*IF(L14="S",5,IF(L14="A",4,IF(L14="B",3,IF(L14="C",2,IF(L14="D",1,0)))))+0.05*IF(M14="S",5,IF(M14="A",4,IF(M14="B",3,IF(M14="C",2,IF(M14="D",1,0)))))+0.05*IF(N14="S",5,IF(N14="A",4,IF(N14="B",3,IF(N14="C",2,IF(N14="D",1,0)))))+0.05*IF(O14="S",5,IF(O14="A",4,IF(O14="B",3,IF(O14="C",2,IF(O14="D",1,0)))))),"")</f>
        <v/>
      </c>
      <c r="Q14" s="57">
        <f>IF(P14="","",IF(P14&gt;=4.5,"S",IF(P14&gt;=3.5,"A",IF(P14&gt;=2.5,"B",IF(P14&gt;=1.5,"C","D")))))</f>
        <v/>
      </c>
      <c r="R14" s="4" t="inlineStr"/>
    </row>
    <row r="15" ht="22" customHeight="1">
      <c r="A15" s="33">
        <f>'01_인적정보'!A15</f>
        <v/>
      </c>
      <c r="B15" s="33">
        <f>'01_인적정보'!B15</f>
        <v/>
      </c>
      <c r="C15" s="8">
        <f>'01_인적정보'!C15</f>
        <v/>
      </c>
      <c r="D15" s="16">
        <f>'01_인적정보'!H15</f>
        <v/>
      </c>
      <c r="E15" s="20">
        <f>'07a_상반기입력'!N15</f>
        <v/>
      </c>
      <c r="F15" s="20">
        <f>'07a_상반기입력'!O15</f>
        <v/>
      </c>
      <c r="G15" s="20">
        <f>'07a_상반기입력'!P15</f>
        <v/>
      </c>
      <c r="H15" s="20">
        <f>'07a_상반기입력'!Q15</f>
        <v/>
      </c>
      <c r="I15" s="20">
        <f>'07a_상반기입력'!R15</f>
        <v/>
      </c>
      <c r="J15" s="20">
        <f>'07a_상반기입력'!S15</f>
        <v/>
      </c>
      <c r="K15" s="20">
        <f>'07a_상반기입력'!T15</f>
        <v/>
      </c>
      <c r="L15" s="20">
        <f>'07a_상반기입력'!U15</f>
        <v/>
      </c>
      <c r="M15" s="20">
        <f>'07a_상반기입력'!V15</f>
        <v/>
      </c>
      <c r="N15" s="20">
        <f>'07a_상반기입력'!W15</f>
        <v/>
      </c>
      <c r="O15" s="20">
        <f>'07a_상반기입력'!X15</f>
        <v/>
      </c>
      <c r="P15" s="56">
        <f>IFERROR(IF(COUNTBLANK(E15:O15)&gt;0,"",0.15*IF(E15="S",5,IF(E15="A",4,IF(E15="B",3,IF(E15="C",2,IF(E15="D",1,0)))))+0.1*IF(F15="S",5,IF(F15="A",4,IF(F15="B",3,IF(F15="C",2,IF(F15="D",1,0)))))+0.1*IF(G15="S",5,IF(G15="A",4,IF(G15="B",3,IF(G15="C",2,IF(G15="D",1,0)))))+0.1*IF(H15="S",5,IF(H15="A",4,IF(H15="B",3,IF(H15="C",2,IF(H15="D",1,0)))))+0.1*IF(I15="S",5,IF(I15="A",4,IF(I15="B",3,IF(I15="C",2,IF(I15="D",1,0)))))+0.1*IF(J15="S",5,IF(J15="A",4,IF(J15="B",3,IF(J15="C",2,IF(J15="D",1,0)))))+0.1*IF(K15="S",5,IF(K15="A",4,IF(K15="B",3,IF(K15="C",2,IF(K15="D",1,0)))))+0.1*IF(L15="S",5,IF(L15="A",4,IF(L15="B",3,IF(L15="C",2,IF(L15="D",1,0)))))+0.05*IF(M15="S",5,IF(M15="A",4,IF(M15="B",3,IF(M15="C",2,IF(M15="D",1,0)))))+0.05*IF(N15="S",5,IF(N15="A",4,IF(N15="B",3,IF(N15="C",2,IF(N15="D",1,0)))))+0.05*IF(O15="S",5,IF(O15="A",4,IF(O15="B",3,IF(O15="C",2,IF(O15="D",1,0)))))),"")</f>
        <v/>
      </c>
      <c r="Q15" s="57">
        <f>IF(P15="","",IF(P15&gt;=4.5,"S",IF(P15&gt;=3.5,"A",IF(P15&gt;=2.5,"B",IF(P15&gt;=1.5,"C","D")))))</f>
        <v/>
      </c>
      <c r="R15" s="4" t="inlineStr"/>
    </row>
    <row r="16" ht="22" customHeight="1">
      <c r="A16" s="33">
        <f>'01_인적정보'!A16</f>
        <v/>
      </c>
      <c r="B16" s="33">
        <f>'01_인적정보'!B16</f>
        <v/>
      </c>
      <c r="C16" s="8">
        <f>'01_인적정보'!C16</f>
        <v/>
      </c>
      <c r="D16" s="16">
        <f>'01_인적정보'!H16</f>
        <v/>
      </c>
      <c r="E16" s="20">
        <f>'07a_상반기입력'!N16</f>
        <v/>
      </c>
      <c r="F16" s="20">
        <f>'07a_상반기입력'!O16</f>
        <v/>
      </c>
      <c r="G16" s="20">
        <f>'07a_상반기입력'!P16</f>
        <v/>
      </c>
      <c r="H16" s="20">
        <f>'07a_상반기입력'!Q16</f>
        <v/>
      </c>
      <c r="I16" s="20">
        <f>'07a_상반기입력'!R16</f>
        <v/>
      </c>
      <c r="J16" s="20">
        <f>'07a_상반기입력'!S16</f>
        <v/>
      </c>
      <c r="K16" s="20">
        <f>'07a_상반기입력'!T16</f>
        <v/>
      </c>
      <c r="L16" s="20">
        <f>'07a_상반기입력'!U16</f>
        <v/>
      </c>
      <c r="M16" s="20">
        <f>'07a_상반기입력'!V16</f>
        <v/>
      </c>
      <c r="N16" s="20">
        <f>'07a_상반기입력'!W16</f>
        <v/>
      </c>
      <c r="O16" s="20">
        <f>'07a_상반기입력'!X16</f>
        <v/>
      </c>
      <c r="P16" s="56">
        <f>IFERROR(IF(COUNTBLANK(E16:O16)&gt;0,"",0.15*IF(E16="S",5,IF(E16="A",4,IF(E16="B",3,IF(E16="C",2,IF(E16="D",1,0)))))+0.1*IF(F16="S",5,IF(F16="A",4,IF(F16="B",3,IF(F16="C",2,IF(F16="D",1,0)))))+0.1*IF(G16="S",5,IF(G16="A",4,IF(G16="B",3,IF(G16="C",2,IF(G16="D",1,0)))))+0.1*IF(H16="S",5,IF(H16="A",4,IF(H16="B",3,IF(H16="C",2,IF(H16="D",1,0)))))+0.1*IF(I16="S",5,IF(I16="A",4,IF(I16="B",3,IF(I16="C",2,IF(I16="D",1,0)))))+0.1*IF(J16="S",5,IF(J16="A",4,IF(J16="B",3,IF(J16="C",2,IF(J16="D",1,0)))))+0.1*IF(K16="S",5,IF(K16="A",4,IF(K16="B",3,IF(K16="C",2,IF(K16="D",1,0)))))+0.1*IF(L16="S",5,IF(L16="A",4,IF(L16="B",3,IF(L16="C",2,IF(L16="D",1,0)))))+0.05*IF(M16="S",5,IF(M16="A",4,IF(M16="B",3,IF(M16="C",2,IF(M16="D",1,0)))))+0.05*IF(N16="S",5,IF(N16="A",4,IF(N16="B",3,IF(N16="C",2,IF(N16="D",1,0)))))+0.05*IF(O16="S",5,IF(O16="A",4,IF(O16="B",3,IF(O16="C",2,IF(O16="D",1,0)))))),"")</f>
        <v/>
      </c>
      <c r="Q16" s="57">
        <f>IF(P16="","",IF(P16&gt;=4.5,"S",IF(P16&gt;=3.5,"A",IF(P16&gt;=2.5,"B",IF(P16&gt;=1.5,"C","D")))))</f>
        <v/>
      </c>
      <c r="R16" s="4" t="inlineStr"/>
    </row>
    <row r="17" ht="22" customHeight="1">
      <c r="A17" s="33">
        <f>'01_인적정보'!A17</f>
        <v/>
      </c>
      <c r="B17" s="33">
        <f>'01_인적정보'!B17</f>
        <v/>
      </c>
      <c r="C17" s="8">
        <f>'01_인적정보'!C17</f>
        <v/>
      </c>
      <c r="D17" s="16">
        <f>'01_인적정보'!H17</f>
        <v/>
      </c>
      <c r="E17" s="20">
        <f>'07a_상반기입력'!N17</f>
        <v/>
      </c>
      <c r="F17" s="20">
        <f>'07a_상반기입력'!O17</f>
        <v/>
      </c>
      <c r="G17" s="20">
        <f>'07a_상반기입력'!P17</f>
        <v/>
      </c>
      <c r="H17" s="20">
        <f>'07a_상반기입력'!Q17</f>
        <v/>
      </c>
      <c r="I17" s="20">
        <f>'07a_상반기입력'!R17</f>
        <v/>
      </c>
      <c r="J17" s="20">
        <f>'07a_상반기입력'!S17</f>
        <v/>
      </c>
      <c r="K17" s="20">
        <f>'07a_상반기입력'!T17</f>
        <v/>
      </c>
      <c r="L17" s="20">
        <f>'07a_상반기입력'!U17</f>
        <v/>
      </c>
      <c r="M17" s="20">
        <f>'07a_상반기입력'!V17</f>
        <v/>
      </c>
      <c r="N17" s="20">
        <f>'07a_상반기입력'!W17</f>
        <v/>
      </c>
      <c r="O17" s="20">
        <f>'07a_상반기입력'!X17</f>
        <v/>
      </c>
      <c r="P17" s="56">
        <f>IFERROR(IF(COUNTBLANK(E17:O17)&gt;0,"",0.15*IF(E17="S",5,IF(E17="A",4,IF(E17="B",3,IF(E17="C",2,IF(E17="D",1,0)))))+0.1*IF(F17="S",5,IF(F17="A",4,IF(F17="B",3,IF(F17="C",2,IF(F17="D",1,0)))))+0.1*IF(G17="S",5,IF(G17="A",4,IF(G17="B",3,IF(G17="C",2,IF(G17="D",1,0)))))+0.1*IF(H17="S",5,IF(H17="A",4,IF(H17="B",3,IF(H17="C",2,IF(H17="D",1,0)))))+0.1*IF(I17="S",5,IF(I17="A",4,IF(I17="B",3,IF(I17="C",2,IF(I17="D",1,0)))))+0.1*IF(J17="S",5,IF(J17="A",4,IF(J17="B",3,IF(J17="C",2,IF(J17="D",1,0)))))+0.1*IF(K17="S",5,IF(K17="A",4,IF(K17="B",3,IF(K17="C",2,IF(K17="D",1,0)))))+0.1*IF(L17="S",5,IF(L17="A",4,IF(L17="B",3,IF(L17="C",2,IF(L17="D",1,0)))))+0.05*IF(M17="S",5,IF(M17="A",4,IF(M17="B",3,IF(M17="C",2,IF(M17="D",1,0)))))+0.05*IF(N17="S",5,IF(N17="A",4,IF(N17="B",3,IF(N17="C",2,IF(N17="D",1,0)))))+0.05*IF(O17="S",5,IF(O17="A",4,IF(O17="B",3,IF(O17="C",2,IF(O17="D",1,0)))))),"")</f>
        <v/>
      </c>
      <c r="Q17" s="57">
        <f>IF(P17="","",IF(P17&gt;=4.5,"S",IF(P17&gt;=3.5,"A",IF(P17&gt;=2.5,"B",IF(P17&gt;=1.5,"C","D")))))</f>
        <v/>
      </c>
      <c r="R17" s="4" t="inlineStr"/>
    </row>
    <row r="18" ht="22" customHeight="1">
      <c r="A18" s="33">
        <f>'01_인적정보'!A18</f>
        <v/>
      </c>
      <c r="B18" s="33">
        <f>'01_인적정보'!B18</f>
        <v/>
      </c>
      <c r="C18" s="8">
        <f>'01_인적정보'!C18</f>
        <v/>
      </c>
      <c r="D18" s="16">
        <f>'01_인적정보'!H18</f>
        <v/>
      </c>
      <c r="E18" s="20">
        <f>'07a_상반기입력'!N18</f>
        <v/>
      </c>
      <c r="F18" s="20">
        <f>'07a_상반기입력'!O18</f>
        <v/>
      </c>
      <c r="G18" s="20">
        <f>'07a_상반기입력'!P18</f>
        <v/>
      </c>
      <c r="H18" s="20">
        <f>'07a_상반기입력'!Q18</f>
        <v/>
      </c>
      <c r="I18" s="20">
        <f>'07a_상반기입력'!R18</f>
        <v/>
      </c>
      <c r="J18" s="20">
        <f>'07a_상반기입력'!S18</f>
        <v/>
      </c>
      <c r="K18" s="20">
        <f>'07a_상반기입력'!T18</f>
        <v/>
      </c>
      <c r="L18" s="20">
        <f>'07a_상반기입력'!U18</f>
        <v/>
      </c>
      <c r="M18" s="20">
        <f>'07a_상반기입력'!V18</f>
        <v/>
      </c>
      <c r="N18" s="20">
        <f>'07a_상반기입력'!W18</f>
        <v/>
      </c>
      <c r="O18" s="20">
        <f>'07a_상반기입력'!X18</f>
        <v/>
      </c>
      <c r="P18" s="56">
        <f>IFERROR(IF(COUNTBLANK(E18:O18)&gt;0,"",0.15*IF(E18="S",5,IF(E18="A",4,IF(E18="B",3,IF(E18="C",2,IF(E18="D",1,0)))))+0.1*IF(F18="S",5,IF(F18="A",4,IF(F18="B",3,IF(F18="C",2,IF(F18="D",1,0)))))+0.1*IF(G18="S",5,IF(G18="A",4,IF(G18="B",3,IF(G18="C",2,IF(G18="D",1,0)))))+0.1*IF(H18="S",5,IF(H18="A",4,IF(H18="B",3,IF(H18="C",2,IF(H18="D",1,0)))))+0.1*IF(I18="S",5,IF(I18="A",4,IF(I18="B",3,IF(I18="C",2,IF(I18="D",1,0)))))+0.1*IF(J18="S",5,IF(J18="A",4,IF(J18="B",3,IF(J18="C",2,IF(J18="D",1,0)))))+0.1*IF(K18="S",5,IF(K18="A",4,IF(K18="B",3,IF(K18="C",2,IF(K18="D",1,0)))))+0.1*IF(L18="S",5,IF(L18="A",4,IF(L18="B",3,IF(L18="C",2,IF(L18="D",1,0)))))+0.05*IF(M18="S",5,IF(M18="A",4,IF(M18="B",3,IF(M18="C",2,IF(M18="D",1,0)))))+0.05*IF(N18="S",5,IF(N18="A",4,IF(N18="B",3,IF(N18="C",2,IF(N18="D",1,0)))))+0.05*IF(O18="S",5,IF(O18="A",4,IF(O18="B",3,IF(O18="C",2,IF(O18="D",1,0)))))),"")</f>
        <v/>
      </c>
      <c r="Q18" s="57">
        <f>IF(P18="","",IF(P18&gt;=4.5,"S",IF(P18&gt;=3.5,"A",IF(P18&gt;=2.5,"B",IF(P18&gt;=1.5,"C","D")))))</f>
        <v/>
      </c>
      <c r="R18" s="4" t="inlineStr"/>
    </row>
    <row r="19" ht="22" customHeight="1">
      <c r="A19" s="33">
        <f>'01_인적정보'!A19</f>
        <v/>
      </c>
      <c r="B19" s="33">
        <f>'01_인적정보'!B19</f>
        <v/>
      </c>
      <c r="C19" s="8">
        <f>'01_인적정보'!C19</f>
        <v/>
      </c>
      <c r="D19" s="16">
        <f>'01_인적정보'!H19</f>
        <v/>
      </c>
      <c r="E19" s="20">
        <f>'07a_상반기입력'!N19</f>
        <v/>
      </c>
      <c r="F19" s="20">
        <f>'07a_상반기입력'!O19</f>
        <v/>
      </c>
      <c r="G19" s="20">
        <f>'07a_상반기입력'!P19</f>
        <v/>
      </c>
      <c r="H19" s="20">
        <f>'07a_상반기입력'!Q19</f>
        <v/>
      </c>
      <c r="I19" s="20">
        <f>'07a_상반기입력'!R19</f>
        <v/>
      </c>
      <c r="J19" s="20">
        <f>'07a_상반기입력'!S19</f>
        <v/>
      </c>
      <c r="K19" s="20">
        <f>'07a_상반기입력'!T19</f>
        <v/>
      </c>
      <c r="L19" s="20">
        <f>'07a_상반기입력'!U19</f>
        <v/>
      </c>
      <c r="M19" s="20">
        <f>'07a_상반기입력'!V19</f>
        <v/>
      </c>
      <c r="N19" s="20">
        <f>'07a_상반기입력'!W19</f>
        <v/>
      </c>
      <c r="O19" s="20">
        <f>'07a_상반기입력'!X19</f>
        <v/>
      </c>
      <c r="P19" s="56">
        <f>IFERROR(IF(COUNTBLANK(E19:O19)&gt;0,"",0.15*IF(E19="S",5,IF(E19="A",4,IF(E19="B",3,IF(E19="C",2,IF(E19="D",1,0)))))+0.1*IF(F19="S",5,IF(F19="A",4,IF(F19="B",3,IF(F19="C",2,IF(F19="D",1,0)))))+0.1*IF(G19="S",5,IF(G19="A",4,IF(G19="B",3,IF(G19="C",2,IF(G19="D",1,0)))))+0.1*IF(H19="S",5,IF(H19="A",4,IF(H19="B",3,IF(H19="C",2,IF(H19="D",1,0)))))+0.1*IF(I19="S",5,IF(I19="A",4,IF(I19="B",3,IF(I19="C",2,IF(I19="D",1,0)))))+0.1*IF(J19="S",5,IF(J19="A",4,IF(J19="B",3,IF(J19="C",2,IF(J19="D",1,0)))))+0.1*IF(K19="S",5,IF(K19="A",4,IF(K19="B",3,IF(K19="C",2,IF(K19="D",1,0)))))+0.1*IF(L19="S",5,IF(L19="A",4,IF(L19="B",3,IF(L19="C",2,IF(L19="D",1,0)))))+0.05*IF(M19="S",5,IF(M19="A",4,IF(M19="B",3,IF(M19="C",2,IF(M19="D",1,0)))))+0.05*IF(N19="S",5,IF(N19="A",4,IF(N19="B",3,IF(N19="C",2,IF(N19="D",1,0)))))+0.05*IF(O19="S",5,IF(O19="A",4,IF(O19="B",3,IF(O19="C",2,IF(O19="D",1,0)))))),"")</f>
        <v/>
      </c>
      <c r="Q19" s="57">
        <f>IF(P19="","",IF(P19&gt;=4.5,"S",IF(P19&gt;=3.5,"A",IF(P19&gt;=2.5,"B",IF(P19&gt;=1.5,"C","D")))))</f>
        <v/>
      </c>
      <c r="R19" s="4" t="inlineStr"/>
    </row>
    <row r="20" ht="22" customHeight="1">
      <c r="A20" s="33">
        <f>'01_인적정보'!A20</f>
        <v/>
      </c>
      <c r="B20" s="33">
        <f>'01_인적정보'!B20</f>
        <v/>
      </c>
      <c r="C20" s="8">
        <f>'01_인적정보'!C20</f>
        <v/>
      </c>
      <c r="D20" s="16">
        <f>'01_인적정보'!H20</f>
        <v/>
      </c>
      <c r="E20" s="20">
        <f>'07a_상반기입력'!N20</f>
        <v/>
      </c>
      <c r="F20" s="20">
        <f>'07a_상반기입력'!O20</f>
        <v/>
      </c>
      <c r="G20" s="20">
        <f>'07a_상반기입력'!P20</f>
        <v/>
      </c>
      <c r="H20" s="20">
        <f>'07a_상반기입력'!Q20</f>
        <v/>
      </c>
      <c r="I20" s="20">
        <f>'07a_상반기입력'!R20</f>
        <v/>
      </c>
      <c r="J20" s="20">
        <f>'07a_상반기입력'!S20</f>
        <v/>
      </c>
      <c r="K20" s="20">
        <f>'07a_상반기입력'!T20</f>
        <v/>
      </c>
      <c r="L20" s="20">
        <f>'07a_상반기입력'!U20</f>
        <v/>
      </c>
      <c r="M20" s="20">
        <f>'07a_상반기입력'!V20</f>
        <v/>
      </c>
      <c r="N20" s="20">
        <f>'07a_상반기입력'!W20</f>
        <v/>
      </c>
      <c r="O20" s="20">
        <f>'07a_상반기입력'!X20</f>
        <v/>
      </c>
      <c r="P20" s="56">
        <f>IFERROR(IF(COUNTBLANK(E20:O20)&gt;0,"",0.15*IF(E20="S",5,IF(E20="A",4,IF(E20="B",3,IF(E20="C",2,IF(E20="D",1,0)))))+0.1*IF(F20="S",5,IF(F20="A",4,IF(F20="B",3,IF(F20="C",2,IF(F20="D",1,0)))))+0.1*IF(G20="S",5,IF(G20="A",4,IF(G20="B",3,IF(G20="C",2,IF(G20="D",1,0)))))+0.1*IF(H20="S",5,IF(H20="A",4,IF(H20="B",3,IF(H20="C",2,IF(H20="D",1,0)))))+0.1*IF(I20="S",5,IF(I20="A",4,IF(I20="B",3,IF(I20="C",2,IF(I20="D",1,0)))))+0.1*IF(J20="S",5,IF(J20="A",4,IF(J20="B",3,IF(J20="C",2,IF(J20="D",1,0)))))+0.1*IF(K20="S",5,IF(K20="A",4,IF(K20="B",3,IF(K20="C",2,IF(K20="D",1,0)))))+0.1*IF(L20="S",5,IF(L20="A",4,IF(L20="B",3,IF(L20="C",2,IF(L20="D",1,0)))))+0.05*IF(M20="S",5,IF(M20="A",4,IF(M20="B",3,IF(M20="C",2,IF(M20="D",1,0)))))+0.05*IF(N20="S",5,IF(N20="A",4,IF(N20="B",3,IF(N20="C",2,IF(N20="D",1,0)))))+0.05*IF(O20="S",5,IF(O20="A",4,IF(O20="B",3,IF(O20="C",2,IF(O20="D",1,0)))))),"")</f>
        <v/>
      </c>
      <c r="Q20" s="57">
        <f>IF(P20="","",IF(P20&gt;=4.5,"S",IF(P20&gt;=3.5,"A",IF(P20&gt;=2.5,"B",IF(P20&gt;=1.5,"C","D")))))</f>
        <v/>
      </c>
      <c r="R20" s="4" t="inlineStr"/>
    </row>
    <row r="21" ht="22" customHeight="1">
      <c r="A21" s="33">
        <f>'01_인적정보'!A21</f>
        <v/>
      </c>
      <c r="B21" s="33">
        <f>'01_인적정보'!B21</f>
        <v/>
      </c>
      <c r="C21" s="8">
        <f>'01_인적정보'!C21</f>
        <v/>
      </c>
      <c r="D21" s="16">
        <f>'01_인적정보'!H21</f>
        <v/>
      </c>
      <c r="E21" s="20">
        <f>'07a_상반기입력'!N21</f>
        <v/>
      </c>
      <c r="F21" s="20">
        <f>'07a_상반기입력'!O21</f>
        <v/>
      </c>
      <c r="G21" s="20">
        <f>'07a_상반기입력'!P21</f>
        <v/>
      </c>
      <c r="H21" s="20">
        <f>'07a_상반기입력'!Q21</f>
        <v/>
      </c>
      <c r="I21" s="20">
        <f>'07a_상반기입력'!R21</f>
        <v/>
      </c>
      <c r="J21" s="20">
        <f>'07a_상반기입력'!S21</f>
        <v/>
      </c>
      <c r="K21" s="20">
        <f>'07a_상반기입력'!T21</f>
        <v/>
      </c>
      <c r="L21" s="20">
        <f>'07a_상반기입력'!U21</f>
        <v/>
      </c>
      <c r="M21" s="20">
        <f>'07a_상반기입력'!V21</f>
        <v/>
      </c>
      <c r="N21" s="20">
        <f>'07a_상반기입력'!W21</f>
        <v/>
      </c>
      <c r="O21" s="20">
        <f>'07a_상반기입력'!X21</f>
        <v/>
      </c>
      <c r="P21" s="56">
        <f>IFERROR(IF(COUNTBLANK(E21:O21)&gt;0,"",0.15*IF(E21="S",5,IF(E21="A",4,IF(E21="B",3,IF(E21="C",2,IF(E21="D",1,0)))))+0.1*IF(F21="S",5,IF(F21="A",4,IF(F21="B",3,IF(F21="C",2,IF(F21="D",1,0)))))+0.1*IF(G21="S",5,IF(G21="A",4,IF(G21="B",3,IF(G21="C",2,IF(G21="D",1,0)))))+0.1*IF(H21="S",5,IF(H21="A",4,IF(H21="B",3,IF(H21="C",2,IF(H21="D",1,0)))))+0.1*IF(I21="S",5,IF(I21="A",4,IF(I21="B",3,IF(I21="C",2,IF(I21="D",1,0)))))+0.1*IF(J21="S",5,IF(J21="A",4,IF(J21="B",3,IF(J21="C",2,IF(J21="D",1,0)))))+0.1*IF(K21="S",5,IF(K21="A",4,IF(K21="B",3,IF(K21="C",2,IF(K21="D",1,0)))))+0.1*IF(L21="S",5,IF(L21="A",4,IF(L21="B",3,IF(L21="C",2,IF(L21="D",1,0)))))+0.05*IF(M21="S",5,IF(M21="A",4,IF(M21="B",3,IF(M21="C",2,IF(M21="D",1,0)))))+0.05*IF(N21="S",5,IF(N21="A",4,IF(N21="B",3,IF(N21="C",2,IF(N21="D",1,0)))))+0.05*IF(O21="S",5,IF(O21="A",4,IF(O21="B",3,IF(O21="C",2,IF(O21="D",1,0)))))),"")</f>
        <v/>
      </c>
      <c r="Q21" s="57">
        <f>IF(P21="","",IF(P21&gt;=4.5,"S",IF(P21&gt;=3.5,"A",IF(P21&gt;=2.5,"B",IF(P21&gt;=1.5,"C","D")))))</f>
        <v/>
      </c>
      <c r="R21" s="4" t="inlineStr"/>
    </row>
    <row r="22" ht="22" customHeight="1">
      <c r="A22" s="33">
        <f>'01_인적정보'!A22</f>
        <v/>
      </c>
      <c r="B22" s="33">
        <f>'01_인적정보'!B22</f>
        <v/>
      </c>
      <c r="C22" s="8">
        <f>'01_인적정보'!C22</f>
        <v/>
      </c>
      <c r="D22" s="16">
        <f>'01_인적정보'!H22</f>
        <v/>
      </c>
      <c r="E22" s="20">
        <f>'07a_상반기입력'!N22</f>
        <v/>
      </c>
      <c r="F22" s="20">
        <f>'07a_상반기입력'!O22</f>
        <v/>
      </c>
      <c r="G22" s="20">
        <f>'07a_상반기입력'!P22</f>
        <v/>
      </c>
      <c r="H22" s="20">
        <f>'07a_상반기입력'!Q22</f>
        <v/>
      </c>
      <c r="I22" s="20">
        <f>'07a_상반기입력'!R22</f>
        <v/>
      </c>
      <c r="J22" s="20">
        <f>'07a_상반기입력'!S22</f>
        <v/>
      </c>
      <c r="K22" s="20">
        <f>'07a_상반기입력'!T22</f>
        <v/>
      </c>
      <c r="L22" s="20">
        <f>'07a_상반기입력'!U22</f>
        <v/>
      </c>
      <c r="M22" s="20">
        <f>'07a_상반기입력'!V22</f>
        <v/>
      </c>
      <c r="N22" s="20">
        <f>'07a_상반기입력'!W22</f>
        <v/>
      </c>
      <c r="O22" s="20">
        <f>'07a_상반기입력'!X22</f>
        <v/>
      </c>
      <c r="P22" s="56">
        <f>IFERROR(IF(COUNTBLANK(E22:O22)&gt;0,"",0.15*IF(E22="S",5,IF(E22="A",4,IF(E22="B",3,IF(E22="C",2,IF(E22="D",1,0)))))+0.1*IF(F22="S",5,IF(F22="A",4,IF(F22="B",3,IF(F22="C",2,IF(F22="D",1,0)))))+0.1*IF(G22="S",5,IF(G22="A",4,IF(G22="B",3,IF(G22="C",2,IF(G22="D",1,0)))))+0.1*IF(H22="S",5,IF(H22="A",4,IF(H22="B",3,IF(H22="C",2,IF(H22="D",1,0)))))+0.1*IF(I22="S",5,IF(I22="A",4,IF(I22="B",3,IF(I22="C",2,IF(I22="D",1,0)))))+0.1*IF(J22="S",5,IF(J22="A",4,IF(J22="B",3,IF(J22="C",2,IF(J22="D",1,0)))))+0.1*IF(K22="S",5,IF(K22="A",4,IF(K22="B",3,IF(K22="C",2,IF(K22="D",1,0)))))+0.1*IF(L22="S",5,IF(L22="A",4,IF(L22="B",3,IF(L22="C",2,IF(L22="D",1,0)))))+0.05*IF(M22="S",5,IF(M22="A",4,IF(M22="B",3,IF(M22="C",2,IF(M22="D",1,0)))))+0.05*IF(N22="S",5,IF(N22="A",4,IF(N22="B",3,IF(N22="C",2,IF(N22="D",1,0)))))+0.05*IF(O22="S",5,IF(O22="A",4,IF(O22="B",3,IF(O22="C",2,IF(O22="D",1,0)))))),"")</f>
        <v/>
      </c>
      <c r="Q22" s="57">
        <f>IF(P22="","",IF(P22&gt;=4.5,"S",IF(P22&gt;=3.5,"A",IF(P22&gt;=2.5,"B",IF(P22&gt;=1.5,"C","D")))))</f>
        <v/>
      </c>
      <c r="R22" s="4" t="inlineStr"/>
    </row>
    <row r="23" ht="22" customHeight="1">
      <c r="A23" s="33">
        <f>'01_인적정보'!A23</f>
        <v/>
      </c>
      <c r="B23" s="33">
        <f>'01_인적정보'!B23</f>
        <v/>
      </c>
      <c r="C23" s="8">
        <f>'01_인적정보'!C23</f>
        <v/>
      </c>
      <c r="D23" s="16">
        <f>'01_인적정보'!H23</f>
        <v/>
      </c>
      <c r="E23" s="20">
        <f>'07a_상반기입력'!N23</f>
        <v/>
      </c>
      <c r="F23" s="20">
        <f>'07a_상반기입력'!O23</f>
        <v/>
      </c>
      <c r="G23" s="20">
        <f>'07a_상반기입력'!P23</f>
        <v/>
      </c>
      <c r="H23" s="20">
        <f>'07a_상반기입력'!Q23</f>
        <v/>
      </c>
      <c r="I23" s="20">
        <f>'07a_상반기입력'!R23</f>
        <v/>
      </c>
      <c r="J23" s="20">
        <f>'07a_상반기입력'!S23</f>
        <v/>
      </c>
      <c r="K23" s="20">
        <f>'07a_상반기입력'!T23</f>
        <v/>
      </c>
      <c r="L23" s="20">
        <f>'07a_상반기입력'!U23</f>
        <v/>
      </c>
      <c r="M23" s="20">
        <f>'07a_상반기입력'!V23</f>
        <v/>
      </c>
      <c r="N23" s="20">
        <f>'07a_상반기입력'!W23</f>
        <v/>
      </c>
      <c r="O23" s="20">
        <f>'07a_상반기입력'!X23</f>
        <v/>
      </c>
      <c r="P23" s="56">
        <f>IFERROR(IF(COUNTBLANK(E23:O23)&gt;0,"",0.15*IF(E23="S",5,IF(E23="A",4,IF(E23="B",3,IF(E23="C",2,IF(E23="D",1,0)))))+0.1*IF(F23="S",5,IF(F23="A",4,IF(F23="B",3,IF(F23="C",2,IF(F23="D",1,0)))))+0.1*IF(G23="S",5,IF(G23="A",4,IF(G23="B",3,IF(G23="C",2,IF(G23="D",1,0)))))+0.1*IF(H23="S",5,IF(H23="A",4,IF(H23="B",3,IF(H23="C",2,IF(H23="D",1,0)))))+0.1*IF(I23="S",5,IF(I23="A",4,IF(I23="B",3,IF(I23="C",2,IF(I23="D",1,0)))))+0.1*IF(J23="S",5,IF(J23="A",4,IF(J23="B",3,IF(J23="C",2,IF(J23="D",1,0)))))+0.1*IF(K23="S",5,IF(K23="A",4,IF(K23="B",3,IF(K23="C",2,IF(K23="D",1,0)))))+0.1*IF(L23="S",5,IF(L23="A",4,IF(L23="B",3,IF(L23="C",2,IF(L23="D",1,0)))))+0.05*IF(M23="S",5,IF(M23="A",4,IF(M23="B",3,IF(M23="C",2,IF(M23="D",1,0)))))+0.05*IF(N23="S",5,IF(N23="A",4,IF(N23="B",3,IF(N23="C",2,IF(N23="D",1,0)))))+0.05*IF(O23="S",5,IF(O23="A",4,IF(O23="B",3,IF(O23="C",2,IF(O23="D",1,0)))))),"")</f>
        <v/>
      </c>
      <c r="Q23" s="57">
        <f>IF(P23="","",IF(P23&gt;=4.5,"S",IF(P23&gt;=3.5,"A",IF(P23&gt;=2.5,"B",IF(P23&gt;=1.5,"C","D")))))</f>
        <v/>
      </c>
      <c r="R23" s="4" t="inlineStr"/>
    </row>
    <row r="24" ht="22" customHeight="1">
      <c r="A24" s="33">
        <f>'01_인적정보'!A24</f>
        <v/>
      </c>
      <c r="B24" s="33">
        <f>'01_인적정보'!B24</f>
        <v/>
      </c>
      <c r="C24" s="8">
        <f>'01_인적정보'!C24</f>
        <v/>
      </c>
      <c r="D24" s="16">
        <f>'01_인적정보'!H24</f>
        <v/>
      </c>
      <c r="E24" s="20">
        <f>'07a_상반기입력'!N24</f>
        <v/>
      </c>
      <c r="F24" s="20">
        <f>'07a_상반기입력'!O24</f>
        <v/>
      </c>
      <c r="G24" s="20">
        <f>'07a_상반기입력'!P24</f>
        <v/>
      </c>
      <c r="H24" s="20">
        <f>'07a_상반기입력'!Q24</f>
        <v/>
      </c>
      <c r="I24" s="20">
        <f>'07a_상반기입력'!R24</f>
        <v/>
      </c>
      <c r="J24" s="20">
        <f>'07a_상반기입력'!S24</f>
        <v/>
      </c>
      <c r="K24" s="20">
        <f>'07a_상반기입력'!T24</f>
        <v/>
      </c>
      <c r="L24" s="20">
        <f>'07a_상반기입력'!U24</f>
        <v/>
      </c>
      <c r="M24" s="20">
        <f>'07a_상반기입력'!V24</f>
        <v/>
      </c>
      <c r="N24" s="20">
        <f>'07a_상반기입력'!W24</f>
        <v/>
      </c>
      <c r="O24" s="20">
        <f>'07a_상반기입력'!X24</f>
        <v/>
      </c>
      <c r="P24" s="56">
        <f>IFERROR(IF(COUNTBLANK(E24:O24)&gt;0,"",0.15*IF(E24="S",5,IF(E24="A",4,IF(E24="B",3,IF(E24="C",2,IF(E24="D",1,0)))))+0.1*IF(F24="S",5,IF(F24="A",4,IF(F24="B",3,IF(F24="C",2,IF(F24="D",1,0)))))+0.1*IF(G24="S",5,IF(G24="A",4,IF(G24="B",3,IF(G24="C",2,IF(G24="D",1,0)))))+0.1*IF(H24="S",5,IF(H24="A",4,IF(H24="B",3,IF(H24="C",2,IF(H24="D",1,0)))))+0.1*IF(I24="S",5,IF(I24="A",4,IF(I24="B",3,IF(I24="C",2,IF(I24="D",1,0)))))+0.1*IF(J24="S",5,IF(J24="A",4,IF(J24="B",3,IF(J24="C",2,IF(J24="D",1,0)))))+0.1*IF(K24="S",5,IF(K24="A",4,IF(K24="B",3,IF(K24="C",2,IF(K24="D",1,0)))))+0.1*IF(L24="S",5,IF(L24="A",4,IF(L24="B",3,IF(L24="C",2,IF(L24="D",1,0)))))+0.05*IF(M24="S",5,IF(M24="A",4,IF(M24="B",3,IF(M24="C",2,IF(M24="D",1,0)))))+0.05*IF(N24="S",5,IF(N24="A",4,IF(N24="B",3,IF(N24="C",2,IF(N24="D",1,0)))))+0.05*IF(O24="S",5,IF(O24="A",4,IF(O24="B",3,IF(O24="C",2,IF(O24="D",1,0)))))),"")</f>
        <v/>
      </c>
      <c r="Q24" s="57">
        <f>IF(P24="","",IF(P24&gt;=4.5,"S",IF(P24&gt;=3.5,"A",IF(P24&gt;=2.5,"B",IF(P24&gt;=1.5,"C","D")))))</f>
        <v/>
      </c>
      <c r="R24" s="4" t="inlineStr"/>
    </row>
    <row r="25" ht="22" customHeight="1">
      <c r="A25" s="33">
        <f>'01_인적정보'!A25</f>
        <v/>
      </c>
      <c r="B25" s="33">
        <f>'01_인적정보'!B25</f>
        <v/>
      </c>
      <c r="C25" s="8">
        <f>'01_인적정보'!C25</f>
        <v/>
      </c>
      <c r="D25" s="16">
        <f>'01_인적정보'!H25</f>
        <v/>
      </c>
      <c r="E25" s="20">
        <f>'07a_상반기입력'!N25</f>
        <v/>
      </c>
      <c r="F25" s="20">
        <f>'07a_상반기입력'!O25</f>
        <v/>
      </c>
      <c r="G25" s="20">
        <f>'07a_상반기입력'!P25</f>
        <v/>
      </c>
      <c r="H25" s="20">
        <f>'07a_상반기입력'!Q25</f>
        <v/>
      </c>
      <c r="I25" s="20">
        <f>'07a_상반기입력'!R25</f>
        <v/>
      </c>
      <c r="J25" s="20">
        <f>'07a_상반기입력'!S25</f>
        <v/>
      </c>
      <c r="K25" s="20">
        <f>'07a_상반기입력'!T25</f>
        <v/>
      </c>
      <c r="L25" s="20">
        <f>'07a_상반기입력'!U25</f>
        <v/>
      </c>
      <c r="M25" s="20">
        <f>'07a_상반기입력'!V25</f>
        <v/>
      </c>
      <c r="N25" s="20">
        <f>'07a_상반기입력'!W25</f>
        <v/>
      </c>
      <c r="O25" s="20">
        <f>'07a_상반기입력'!X25</f>
        <v/>
      </c>
      <c r="P25" s="56">
        <f>IFERROR(IF(COUNTBLANK(E25:O25)&gt;0,"",0.15*IF(E25="S",5,IF(E25="A",4,IF(E25="B",3,IF(E25="C",2,IF(E25="D",1,0)))))+0.1*IF(F25="S",5,IF(F25="A",4,IF(F25="B",3,IF(F25="C",2,IF(F25="D",1,0)))))+0.1*IF(G25="S",5,IF(G25="A",4,IF(G25="B",3,IF(G25="C",2,IF(G25="D",1,0)))))+0.1*IF(H25="S",5,IF(H25="A",4,IF(H25="B",3,IF(H25="C",2,IF(H25="D",1,0)))))+0.1*IF(I25="S",5,IF(I25="A",4,IF(I25="B",3,IF(I25="C",2,IF(I25="D",1,0)))))+0.1*IF(J25="S",5,IF(J25="A",4,IF(J25="B",3,IF(J25="C",2,IF(J25="D",1,0)))))+0.1*IF(K25="S",5,IF(K25="A",4,IF(K25="B",3,IF(K25="C",2,IF(K25="D",1,0)))))+0.1*IF(L25="S",5,IF(L25="A",4,IF(L25="B",3,IF(L25="C",2,IF(L25="D",1,0)))))+0.05*IF(M25="S",5,IF(M25="A",4,IF(M25="B",3,IF(M25="C",2,IF(M25="D",1,0)))))+0.05*IF(N25="S",5,IF(N25="A",4,IF(N25="B",3,IF(N25="C",2,IF(N25="D",1,0)))))+0.05*IF(O25="S",5,IF(O25="A",4,IF(O25="B",3,IF(O25="C",2,IF(O25="D",1,0)))))),"")</f>
        <v/>
      </c>
      <c r="Q25" s="57">
        <f>IF(P25="","",IF(P25&gt;=4.5,"S",IF(P25&gt;=3.5,"A",IF(P25&gt;=2.5,"B",IF(P25&gt;=1.5,"C","D")))))</f>
        <v/>
      </c>
      <c r="R25" s="4" t="inlineStr"/>
    </row>
    <row r="26" ht="22" customHeight="1">
      <c r="A26" s="33">
        <f>'01_인적정보'!A26</f>
        <v/>
      </c>
      <c r="B26" s="33">
        <f>'01_인적정보'!B26</f>
        <v/>
      </c>
      <c r="C26" s="8">
        <f>'01_인적정보'!C26</f>
        <v/>
      </c>
      <c r="D26" s="16">
        <f>'01_인적정보'!H26</f>
        <v/>
      </c>
      <c r="E26" s="20">
        <f>'07a_상반기입력'!N26</f>
        <v/>
      </c>
      <c r="F26" s="20">
        <f>'07a_상반기입력'!O26</f>
        <v/>
      </c>
      <c r="G26" s="20">
        <f>'07a_상반기입력'!P26</f>
        <v/>
      </c>
      <c r="H26" s="20">
        <f>'07a_상반기입력'!Q26</f>
        <v/>
      </c>
      <c r="I26" s="20">
        <f>'07a_상반기입력'!R26</f>
        <v/>
      </c>
      <c r="J26" s="20">
        <f>'07a_상반기입력'!S26</f>
        <v/>
      </c>
      <c r="K26" s="20">
        <f>'07a_상반기입력'!T26</f>
        <v/>
      </c>
      <c r="L26" s="20">
        <f>'07a_상반기입력'!U26</f>
        <v/>
      </c>
      <c r="M26" s="20">
        <f>'07a_상반기입력'!V26</f>
        <v/>
      </c>
      <c r="N26" s="20">
        <f>'07a_상반기입력'!W26</f>
        <v/>
      </c>
      <c r="O26" s="20">
        <f>'07a_상반기입력'!X26</f>
        <v/>
      </c>
      <c r="P26" s="56">
        <f>IFERROR(IF(COUNTBLANK(E26:O26)&gt;0,"",0.15*IF(E26="S",5,IF(E26="A",4,IF(E26="B",3,IF(E26="C",2,IF(E26="D",1,0)))))+0.1*IF(F26="S",5,IF(F26="A",4,IF(F26="B",3,IF(F26="C",2,IF(F26="D",1,0)))))+0.1*IF(G26="S",5,IF(G26="A",4,IF(G26="B",3,IF(G26="C",2,IF(G26="D",1,0)))))+0.1*IF(H26="S",5,IF(H26="A",4,IF(H26="B",3,IF(H26="C",2,IF(H26="D",1,0)))))+0.1*IF(I26="S",5,IF(I26="A",4,IF(I26="B",3,IF(I26="C",2,IF(I26="D",1,0)))))+0.1*IF(J26="S",5,IF(J26="A",4,IF(J26="B",3,IF(J26="C",2,IF(J26="D",1,0)))))+0.1*IF(K26="S",5,IF(K26="A",4,IF(K26="B",3,IF(K26="C",2,IF(K26="D",1,0)))))+0.1*IF(L26="S",5,IF(L26="A",4,IF(L26="B",3,IF(L26="C",2,IF(L26="D",1,0)))))+0.05*IF(M26="S",5,IF(M26="A",4,IF(M26="B",3,IF(M26="C",2,IF(M26="D",1,0)))))+0.05*IF(N26="S",5,IF(N26="A",4,IF(N26="B",3,IF(N26="C",2,IF(N26="D",1,0)))))+0.05*IF(O26="S",5,IF(O26="A",4,IF(O26="B",3,IF(O26="C",2,IF(O26="D",1,0)))))),"")</f>
        <v/>
      </c>
      <c r="Q26" s="57">
        <f>IF(P26="","",IF(P26&gt;=4.5,"S",IF(P26&gt;=3.5,"A",IF(P26&gt;=2.5,"B",IF(P26&gt;=1.5,"C","D")))))</f>
        <v/>
      </c>
      <c r="R26" s="4" t="inlineStr"/>
    </row>
    <row r="27" ht="22" customHeight="1">
      <c r="A27" s="33">
        <f>'01_인적정보'!A27</f>
        <v/>
      </c>
      <c r="B27" s="33">
        <f>'01_인적정보'!B27</f>
        <v/>
      </c>
      <c r="C27" s="8">
        <f>'01_인적정보'!C27</f>
        <v/>
      </c>
      <c r="D27" s="16">
        <f>'01_인적정보'!H27</f>
        <v/>
      </c>
      <c r="E27" s="20">
        <f>'07a_상반기입력'!N27</f>
        <v/>
      </c>
      <c r="F27" s="20">
        <f>'07a_상반기입력'!O27</f>
        <v/>
      </c>
      <c r="G27" s="20">
        <f>'07a_상반기입력'!P27</f>
        <v/>
      </c>
      <c r="H27" s="20">
        <f>'07a_상반기입력'!Q27</f>
        <v/>
      </c>
      <c r="I27" s="20">
        <f>'07a_상반기입력'!R27</f>
        <v/>
      </c>
      <c r="J27" s="20">
        <f>'07a_상반기입력'!S27</f>
        <v/>
      </c>
      <c r="K27" s="20">
        <f>'07a_상반기입력'!T27</f>
        <v/>
      </c>
      <c r="L27" s="20">
        <f>'07a_상반기입력'!U27</f>
        <v/>
      </c>
      <c r="M27" s="20">
        <f>'07a_상반기입력'!V27</f>
        <v/>
      </c>
      <c r="N27" s="20">
        <f>'07a_상반기입력'!W27</f>
        <v/>
      </c>
      <c r="O27" s="20">
        <f>'07a_상반기입력'!X27</f>
        <v/>
      </c>
      <c r="P27" s="56">
        <f>IFERROR(IF(COUNTBLANK(E27:O27)&gt;0,"",0.15*IF(E27="S",5,IF(E27="A",4,IF(E27="B",3,IF(E27="C",2,IF(E27="D",1,0)))))+0.1*IF(F27="S",5,IF(F27="A",4,IF(F27="B",3,IF(F27="C",2,IF(F27="D",1,0)))))+0.1*IF(G27="S",5,IF(G27="A",4,IF(G27="B",3,IF(G27="C",2,IF(G27="D",1,0)))))+0.1*IF(H27="S",5,IF(H27="A",4,IF(H27="B",3,IF(H27="C",2,IF(H27="D",1,0)))))+0.1*IF(I27="S",5,IF(I27="A",4,IF(I27="B",3,IF(I27="C",2,IF(I27="D",1,0)))))+0.1*IF(J27="S",5,IF(J27="A",4,IF(J27="B",3,IF(J27="C",2,IF(J27="D",1,0)))))+0.1*IF(K27="S",5,IF(K27="A",4,IF(K27="B",3,IF(K27="C",2,IF(K27="D",1,0)))))+0.1*IF(L27="S",5,IF(L27="A",4,IF(L27="B",3,IF(L27="C",2,IF(L27="D",1,0)))))+0.05*IF(M27="S",5,IF(M27="A",4,IF(M27="B",3,IF(M27="C",2,IF(M27="D",1,0)))))+0.05*IF(N27="S",5,IF(N27="A",4,IF(N27="B",3,IF(N27="C",2,IF(N27="D",1,0)))))+0.05*IF(O27="S",5,IF(O27="A",4,IF(O27="B",3,IF(O27="C",2,IF(O27="D",1,0)))))),"")</f>
        <v/>
      </c>
      <c r="Q27" s="57">
        <f>IF(P27="","",IF(P27&gt;=4.5,"S",IF(P27&gt;=3.5,"A",IF(P27&gt;=2.5,"B",IF(P27&gt;=1.5,"C","D")))))</f>
        <v/>
      </c>
      <c r="R27" s="4" t="inlineStr"/>
    </row>
    <row r="28" ht="22" customHeight="1">
      <c r="A28" s="33">
        <f>'01_인적정보'!A28</f>
        <v/>
      </c>
      <c r="B28" s="33">
        <f>'01_인적정보'!B28</f>
        <v/>
      </c>
      <c r="C28" s="8">
        <f>'01_인적정보'!C28</f>
        <v/>
      </c>
      <c r="D28" s="16">
        <f>'01_인적정보'!H28</f>
        <v/>
      </c>
      <c r="E28" s="20">
        <f>'07a_상반기입력'!N28</f>
        <v/>
      </c>
      <c r="F28" s="20">
        <f>'07a_상반기입력'!O28</f>
        <v/>
      </c>
      <c r="G28" s="20">
        <f>'07a_상반기입력'!P28</f>
        <v/>
      </c>
      <c r="H28" s="20">
        <f>'07a_상반기입력'!Q28</f>
        <v/>
      </c>
      <c r="I28" s="20">
        <f>'07a_상반기입력'!R28</f>
        <v/>
      </c>
      <c r="J28" s="20">
        <f>'07a_상반기입력'!S28</f>
        <v/>
      </c>
      <c r="K28" s="20">
        <f>'07a_상반기입력'!T28</f>
        <v/>
      </c>
      <c r="L28" s="20">
        <f>'07a_상반기입력'!U28</f>
        <v/>
      </c>
      <c r="M28" s="20">
        <f>'07a_상반기입력'!V28</f>
        <v/>
      </c>
      <c r="N28" s="20">
        <f>'07a_상반기입력'!W28</f>
        <v/>
      </c>
      <c r="O28" s="20">
        <f>'07a_상반기입력'!X28</f>
        <v/>
      </c>
      <c r="P28" s="56">
        <f>IFERROR(IF(COUNTBLANK(E28:O28)&gt;0,"",0.15*IF(E28="S",5,IF(E28="A",4,IF(E28="B",3,IF(E28="C",2,IF(E28="D",1,0)))))+0.1*IF(F28="S",5,IF(F28="A",4,IF(F28="B",3,IF(F28="C",2,IF(F28="D",1,0)))))+0.1*IF(G28="S",5,IF(G28="A",4,IF(G28="B",3,IF(G28="C",2,IF(G28="D",1,0)))))+0.1*IF(H28="S",5,IF(H28="A",4,IF(H28="B",3,IF(H28="C",2,IF(H28="D",1,0)))))+0.1*IF(I28="S",5,IF(I28="A",4,IF(I28="B",3,IF(I28="C",2,IF(I28="D",1,0)))))+0.1*IF(J28="S",5,IF(J28="A",4,IF(J28="B",3,IF(J28="C",2,IF(J28="D",1,0)))))+0.1*IF(K28="S",5,IF(K28="A",4,IF(K28="B",3,IF(K28="C",2,IF(K28="D",1,0)))))+0.1*IF(L28="S",5,IF(L28="A",4,IF(L28="B",3,IF(L28="C",2,IF(L28="D",1,0)))))+0.05*IF(M28="S",5,IF(M28="A",4,IF(M28="B",3,IF(M28="C",2,IF(M28="D",1,0)))))+0.05*IF(N28="S",5,IF(N28="A",4,IF(N28="B",3,IF(N28="C",2,IF(N28="D",1,0)))))+0.05*IF(O28="S",5,IF(O28="A",4,IF(O28="B",3,IF(O28="C",2,IF(O28="D",1,0)))))),"")</f>
        <v/>
      </c>
      <c r="Q28" s="57">
        <f>IF(P28="","",IF(P28&gt;=4.5,"S",IF(P28&gt;=3.5,"A",IF(P28&gt;=2.5,"B",IF(P28&gt;=1.5,"C","D")))))</f>
        <v/>
      </c>
      <c r="R28" s="4" t="inlineStr"/>
    </row>
    <row r="29" ht="22" customHeight="1">
      <c r="A29" s="33">
        <f>'01_인적정보'!A29</f>
        <v/>
      </c>
      <c r="B29" s="33">
        <f>'01_인적정보'!B29</f>
        <v/>
      </c>
      <c r="C29" s="8">
        <f>'01_인적정보'!C29</f>
        <v/>
      </c>
      <c r="D29" s="16">
        <f>'01_인적정보'!H29</f>
        <v/>
      </c>
      <c r="E29" s="20">
        <f>'07a_상반기입력'!N29</f>
        <v/>
      </c>
      <c r="F29" s="20">
        <f>'07a_상반기입력'!O29</f>
        <v/>
      </c>
      <c r="G29" s="20">
        <f>'07a_상반기입력'!P29</f>
        <v/>
      </c>
      <c r="H29" s="20">
        <f>'07a_상반기입력'!Q29</f>
        <v/>
      </c>
      <c r="I29" s="20">
        <f>'07a_상반기입력'!R29</f>
        <v/>
      </c>
      <c r="J29" s="20">
        <f>'07a_상반기입력'!S29</f>
        <v/>
      </c>
      <c r="K29" s="20">
        <f>'07a_상반기입력'!T29</f>
        <v/>
      </c>
      <c r="L29" s="20">
        <f>'07a_상반기입력'!U29</f>
        <v/>
      </c>
      <c r="M29" s="20">
        <f>'07a_상반기입력'!V29</f>
        <v/>
      </c>
      <c r="N29" s="20">
        <f>'07a_상반기입력'!W29</f>
        <v/>
      </c>
      <c r="O29" s="20">
        <f>'07a_상반기입력'!X29</f>
        <v/>
      </c>
      <c r="P29" s="56">
        <f>IFERROR(IF(COUNTBLANK(E29:O29)&gt;0,"",0.15*IF(E29="S",5,IF(E29="A",4,IF(E29="B",3,IF(E29="C",2,IF(E29="D",1,0)))))+0.1*IF(F29="S",5,IF(F29="A",4,IF(F29="B",3,IF(F29="C",2,IF(F29="D",1,0)))))+0.1*IF(G29="S",5,IF(G29="A",4,IF(G29="B",3,IF(G29="C",2,IF(G29="D",1,0)))))+0.1*IF(H29="S",5,IF(H29="A",4,IF(H29="B",3,IF(H29="C",2,IF(H29="D",1,0)))))+0.1*IF(I29="S",5,IF(I29="A",4,IF(I29="B",3,IF(I29="C",2,IF(I29="D",1,0)))))+0.1*IF(J29="S",5,IF(J29="A",4,IF(J29="B",3,IF(J29="C",2,IF(J29="D",1,0)))))+0.1*IF(K29="S",5,IF(K29="A",4,IF(K29="B",3,IF(K29="C",2,IF(K29="D",1,0)))))+0.1*IF(L29="S",5,IF(L29="A",4,IF(L29="B",3,IF(L29="C",2,IF(L29="D",1,0)))))+0.05*IF(M29="S",5,IF(M29="A",4,IF(M29="B",3,IF(M29="C",2,IF(M29="D",1,0)))))+0.05*IF(N29="S",5,IF(N29="A",4,IF(N29="B",3,IF(N29="C",2,IF(N29="D",1,0)))))+0.05*IF(O29="S",5,IF(O29="A",4,IF(O29="B",3,IF(O29="C",2,IF(O29="D",1,0)))))),"")</f>
        <v/>
      </c>
      <c r="Q29" s="57">
        <f>IF(P29="","",IF(P29&gt;=4.5,"S",IF(P29&gt;=3.5,"A",IF(P29&gt;=2.5,"B",IF(P29&gt;=1.5,"C","D")))))</f>
        <v/>
      </c>
      <c r="R29" s="4" t="inlineStr"/>
    </row>
    <row r="30" ht="22" customHeight="1">
      <c r="A30" s="33">
        <f>'01_인적정보'!A30</f>
        <v/>
      </c>
      <c r="B30" s="33">
        <f>'01_인적정보'!B30</f>
        <v/>
      </c>
      <c r="C30" s="8">
        <f>'01_인적정보'!C30</f>
        <v/>
      </c>
      <c r="D30" s="16">
        <f>'01_인적정보'!H30</f>
        <v/>
      </c>
      <c r="E30" s="20">
        <f>'07a_상반기입력'!N30</f>
        <v/>
      </c>
      <c r="F30" s="20">
        <f>'07a_상반기입력'!O30</f>
        <v/>
      </c>
      <c r="G30" s="20">
        <f>'07a_상반기입력'!P30</f>
        <v/>
      </c>
      <c r="H30" s="20">
        <f>'07a_상반기입력'!Q30</f>
        <v/>
      </c>
      <c r="I30" s="20">
        <f>'07a_상반기입력'!R30</f>
        <v/>
      </c>
      <c r="J30" s="20">
        <f>'07a_상반기입력'!S30</f>
        <v/>
      </c>
      <c r="K30" s="20">
        <f>'07a_상반기입력'!T30</f>
        <v/>
      </c>
      <c r="L30" s="20">
        <f>'07a_상반기입력'!U30</f>
        <v/>
      </c>
      <c r="M30" s="20">
        <f>'07a_상반기입력'!V30</f>
        <v/>
      </c>
      <c r="N30" s="20">
        <f>'07a_상반기입력'!W30</f>
        <v/>
      </c>
      <c r="O30" s="20">
        <f>'07a_상반기입력'!X30</f>
        <v/>
      </c>
      <c r="P30" s="56">
        <f>IFERROR(IF(COUNTBLANK(E30:O30)&gt;0,"",0.15*IF(E30="S",5,IF(E30="A",4,IF(E30="B",3,IF(E30="C",2,IF(E30="D",1,0)))))+0.1*IF(F30="S",5,IF(F30="A",4,IF(F30="B",3,IF(F30="C",2,IF(F30="D",1,0)))))+0.1*IF(G30="S",5,IF(G30="A",4,IF(G30="B",3,IF(G30="C",2,IF(G30="D",1,0)))))+0.1*IF(H30="S",5,IF(H30="A",4,IF(H30="B",3,IF(H30="C",2,IF(H30="D",1,0)))))+0.1*IF(I30="S",5,IF(I30="A",4,IF(I30="B",3,IF(I30="C",2,IF(I30="D",1,0)))))+0.1*IF(J30="S",5,IF(J30="A",4,IF(J30="B",3,IF(J30="C",2,IF(J30="D",1,0)))))+0.1*IF(K30="S",5,IF(K30="A",4,IF(K30="B",3,IF(K30="C",2,IF(K30="D",1,0)))))+0.1*IF(L30="S",5,IF(L30="A",4,IF(L30="B",3,IF(L30="C",2,IF(L30="D",1,0)))))+0.05*IF(M30="S",5,IF(M30="A",4,IF(M30="B",3,IF(M30="C",2,IF(M30="D",1,0)))))+0.05*IF(N30="S",5,IF(N30="A",4,IF(N30="B",3,IF(N30="C",2,IF(N30="D",1,0)))))+0.05*IF(O30="S",5,IF(O30="A",4,IF(O30="B",3,IF(O30="C",2,IF(O30="D",1,0)))))),"")</f>
        <v/>
      </c>
      <c r="Q30" s="57">
        <f>IF(P30="","",IF(P30&gt;=4.5,"S",IF(P30&gt;=3.5,"A",IF(P30&gt;=2.5,"B",IF(P30&gt;=1.5,"C","D")))))</f>
        <v/>
      </c>
      <c r="R30" s="4" t="inlineStr"/>
    </row>
    <row r="31" ht="22" customHeight="1">
      <c r="A31" s="33">
        <f>'01_인적정보'!A31</f>
        <v/>
      </c>
      <c r="B31" s="33">
        <f>'01_인적정보'!B31</f>
        <v/>
      </c>
      <c r="C31" s="8">
        <f>'01_인적정보'!C31</f>
        <v/>
      </c>
      <c r="D31" s="16">
        <f>'01_인적정보'!H31</f>
        <v/>
      </c>
      <c r="E31" s="20">
        <f>'07a_상반기입력'!N31</f>
        <v/>
      </c>
      <c r="F31" s="20">
        <f>'07a_상반기입력'!O31</f>
        <v/>
      </c>
      <c r="G31" s="20">
        <f>'07a_상반기입력'!P31</f>
        <v/>
      </c>
      <c r="H31" s="20">
        <f>'07a_상반기입력'!Q31</f>
        <v/>
      </c>
      <c r="I31" s="20">
        <f>'07a_상반기입력'!R31</f>
        <v/>
      </c>
      <c r="J31" s="20">
        <f>'07a_상반기입력'!S31</f>
        <v/>
      </c>
      <c r="K31" s="20">
        <f>'07a_상반기입력'!T31</f>
        <v/>
      </c>
      <c r="L31" s="20">
        <f>'07a_상반기입력'!U31</f>
        <v/>
      </c>
      <c r="M31" s="20">
        <f>'07a_상반기입력'!V31</f>
        <v/>
      </c>
      <c r="N31" s="20">
        <f>'07a_상반기입력'!W31</f>
        <v/>
      </c>
      <c r="O31" s="20">
        <f>'07a_상반기입력'!X31</f>
        <v/>
      </c>
      <c r="P31" s="56">
        <f>IFERROR(IF(COUNTBLANK(E31:O31)&gt;0,"",0.15*IF(E31="S",5,IF(E31="A",4,IF(E31="B",3,IF(E31="C",2,IF(E31="D",1,0)))))+0.1*IF(F31="S",5,IF(F31="A",4,IF(F31="B",3,IF(F31="C",2,IF(F31="D",1,0)))))+0.1*IF(G31="S",5,IF(G31="A",4,IF(G31="B",3,IF(G31="C",2,IF(G31="D",1,0)))))+0.1*IF(H31="S",5,IF(H31="A",4,IF(H31="B",3,IF(H31="C",2,IF(H31="D",1,0)))))+0.1*IF(I31="S",5,IF(I31="A",4,IF(I31="B",3,IF(I31="C",2,IF(I31="D",1,0)))))+0.1*IF(J31="S",5,IF(J31="A",4,IF(J31="B",3,IF(J31="C",2,IF(J31="D",1,0)))))+0.1*IF(K31="S",5,IF(K31="A",4,IF(K31="B",3,IF(K31="C",2,IF(K31="D",1,0)))))+0.1*IF(L31="S",5,IF(L31="A",4,IF(L31="B",3,IF(L31="C",2,IF(L31="D",1,0)))))+0.05*IF(M31="S",5,IF(M31="A",4,IF(M31="B",3,IF(M31="C",2,IF(M31="D",1,0)))))+0.05*IF(N31="S",5,IF(N31="A",4,IF(N31="B",3,IF(N31="C",2,IF(N31="D",1,0)))))+0.05*IF(O31="S",5,IF(O31="A",4,IF(O31="B",3,IF(O31="C",2,IF(O31="D",1,0)))))),"")</f>
        <v/>
      </c>
      <c r="Q31" s="57">
        <f>IF(P31="","",IF(P31&gt;=4.5,"S",IF(P31&gt;=3.5,"A",IF(P31&gt;=2.5,"B",IF(P31&gt;=1.5,"C","D")))))</f>
        <v/>
      </c>
      <c r="R31" s="4" t="inlineStr"/>
    </row>
    <row r="32" ht="22" customHeight="1">
      <c r="A32" s="33">
        <f>'01_인적정보'!A32</f>
        <v/>
      </c>
      <c r="B32" s="33">
        <f>'01_인적정보'!B32</f>
        <v/>
      </c>
      <c r="C32" s="8">
        <f>'01_인적정보'!C32</f>
        <v/>
      </c>
      <c r="D32" s="16">
        <f>'01_인적정보'!H32</f>
        <v/>
      </c>
      <c r="E32" s="20">
        <f>'07a_상반기입력'!N32</f>
        <v/>
      </c>
      <c r="F32" s="20">
        <f>'07a_상반기입력'!O32</f>
        <v/>
      </c>
      <c r="G32" s="20">
        <f>'07a_상반기입력'!P32</f>
        <v/>
      </c>
      <c r="H32" s="20">
        <f>'07a_상반기입력'!Q32</f>
        <v/>
      </c>
      <c r="I32" s="20">
        <f>'07a_상반기입력'!R32</f>
        <v/>
      </c>
      <c r="J32" s="20">
        <f>'07a_상반기입력'!S32</f>
        <v/>
      </c>
      <c r="K32" s="20">
        <f>'07a_상반기입력'!T32</f>
        <v/>
      </c>
      <c r="L32" s="20">
        <f>'07a_상반기입력'!U32</f>
        <v/>
      </c>
      <c r="M32" s="20">
        <f>'07a_상반기입력'!V32</f>
        <v/>
      </c>
      <c r="N32" s="20">
        <f>'07a_상반기입력'!W32</f>
        <v/>
      </c>
      <c r="O32" s="20">
        <f>'07a_상반기입력'!X32</f>
        <v/>
      </c>
      <c r="P32" s="56">
        <f>IFERROR(IF(COUNTBLANK(E32:O32)&gt;0,"",0.15*IF(E32="S",5,IF(E32="A",4,IF(E32="B",3,IF(E32="C",2,IF(E32="D",1,0)))))+0.1*IF(F32="S",5,IF(F32="A",4,IF(F32="B",3,IF(F32="C",2,IF(F32="D",1,0)))))+0.1*IF(G32="S",5,IF(G32="A",4,IF(G32="B",3,IF(G32="C",2,IF(G32="D",1,0)))))+0.1*IF(H32="S",5,IF(H32="A",4,IF(H32="B",3,IF(H32="C",2,IF(H32="D",1,0)))))+0.1*IF(I32="S",5,IF(I32="A",4,IF(I32="B",3,IF(I32="C",2,IF(I32="D",1,0)))))+0.1*IF(J32="S",5,IF(J32="A",4,IF(J32="B",3,IF(J32="C",2,IF(J32="D",1,0)))))+0.1*IF(K32="S",5,IF(K32="A",4,IF(K32="B",3,IF(K32="C",2,IF(K32="D",1,0)))))+0.1*IF(L32="S",5,IF(L32="A",4,IF(L32="B",3,IF(L32="C",2,IF(L32="D",1,0)))))+0.05*IF(M32="S",5,IF(M32="A",4,IF(M32="B",3,IF(M32="C",2,IF(M32="D",1,0)))))+0.05*IF(N32="S",5,IF(N32="A",4,IF(N32="B",3,IF(N32="C",2,IF(N32="D",1,0)))))+0.05*IF(O32="S",5,IF(O32="A",4,IF(O32="B",3,IF(O32="C",2,IF(O32="D",1,0)))))),"")</f>
        <v/>
      </c>
      <c r="Q32" s="57">
        <f>IF(P32="","",IF(P32&gt;=4.5,"S",IF(P32&gt;=3.5,"A",IF(P32&gt;=2.5,"B",IF(P32&gt;=1.5,"C","D")))))</f>
        <v/>
      </c>
      <c r="R32" s="4" t="inlineStr"/>
    </row>
    <row r="33" ht="22" customHeight="1">
      <c r="A33" s="33">
        <f>'01_인적정보'!A33</f>
        <v/>
      </c>
      <c r="B33" s="33">
        <f>'01_인적정보'!B33</f>
        <v/>
      </c>
      <c r="C33" s="8">
        <f>'01_인적정보'!C33</f>
        <v/>
      </c>
      <c r="D33" s="16">
        <f>'01_인적정보'!H33</f>
        <v/>
      </c>
      <c r="E33" s="20">
        <f>'07a_상반기입력'!N33</f>
        <v/>
      </c>
      <c r="F33" s="20">
        <f>'07a_상반기입력'!O33</f>
        <v/>
      </c>
      <c r="G33" s="20">
        <f>'07a_상반기입력'!P33</f>
        <v/>
      </c>
      <c r="H33" s="20">
        <f>'07a_상반기입력'!Q33</f>
        <v/>
      </c>
      <c r="I33" s="20">
        <f>'07a_상반기입력'!R33</f>
        <v/>
      </c>
      <c r="J33" s="20">
        <f>'07a_상반기입력'!S33</f>
        <v/>
      </c>
      <c r="K33" s="20">
        <f>'07a_상반기입력'!T33</f>
        <v/>
      </c>
      <c r="L33" s="20">
        <f>'07a_상반기입력'!U33</f>
        <v/>
      </c>
      <c r="M33" s="20">
        <f>'07a_상반기입력'!V33</f>
        <v/>
      </c>
      <c r="N33" s="20">
        <f>'07a_상반기입력'!W33</f>
        <v/>
      </c>
      <c r="O33" s="20">
        <f>'07a_상반기입력'!X33</f>
        <v/>
      </c>
      <c r="P33" s="56">
        <f>IFERROR(IF(COUNTBLANK(E33:O33)&gt;0,"",0.15*IF(E33="S",5,IF(E33="A",4,IF(E33="B",3,IF(E33="C",2,IF(E33="D",1,0)))))+0.1*IF(F33="S",5,IF(F33="A",4,IF(F33="B",3,IF(F33="C",2,IF(F33="D",1,0)))))+0.1*IF(G33="S",5,IF(G33="A",4,IF(G33="B",3,IF(G33="C",2,IF(G33="D",1,0)))))+0.1*IF(H33="S",5,IF(H33="A",4,IF(H33="B",3,IF(H33="C",2,IF(H33="D",1,0)))))+0.1*IF(I33="S",5,IF(I33="A",4,IF(I33="B",3,IF(I33="C",2,IF(I33="D",1,0)))))+0.1*IF(J33="S",5,IF(J33="A",4,IF(J33="B",3,IF(J33="C",2,IF(J33="D",1,0)))))+0.1*IF(K33="S",5,IF(K33="A",4,IF(K33="B",3,IF(K33="C",2,IF(K33="D",1,0)))))+0.1*IF(L33="S",5,IF(L33="A",4,IF(L33="B",3,IF(L33="C",2,IF(L33="D",1,0)))))+0.05*IF(M33="S",5,IF(M33="A",4,IF(M33="B",3,IF(M33="C",2,IF(M33="D",1,0)))))+0.05*IF(N33="S",5,IF(N33="A",4,IF(N33="B",3,IF(N33="C",2,IF(N33="D",1,0)))))+0.05*IF(O33="S",5,IF(O33="A",4,IF(O33="B",3,IF(O33="C",2,IF(O33="D",1,0)))))),"")</f>
        <v/>
      </c>
      <c r="Q33" s="57">
        <f>IF(P33="","",IF(P33&gt;=4.5,"S",IF(P33&gt;=3.5,"A",IF(P33&gt;=2.5,"B",IF(P33&gt;=1.5,"C","D")))))</f>
        <v/>
      </c>
      <c r="R33" s="4" t="inlineStr"/>
    </row>
    <row r="34" ht="22" customHeight="1">
      <c r="A34" s="33">
        <f>'01_인적정보'!A34</f>
        <v/>
      </c>
      <c r="B34" s="33">
        <f>'01_인적정보'!B34</f>
        <v/>
      </c>
      <c r="C34" s="8">
        <f>'01_인적정보'!C34</f>
        <v/>
      </c>
      <c r="D34" s="16">
        <f>'01_인적정보'!H34</f>
        <v/>
      </c>
      <c r="E34" s="20">
        <f>'07a_상반기입력'!N34</f>
        <v/>
      </c>
      <c r="F34" s="20">
        <f>'07a_상반기입력'!O34</f>
        <v/>
      </c>
      <c r="G34" s="20">
        <f>'07a_상반기입력'!P34</f>
        <v/>
      </c>
      <c r="H34" s="20">
        <f>'07a_상반기입력'!Q34</f>
        <v/>
      </c>
      <c r="I34" s="20">
        <f>'07a_상반기입력'!R34</f>
        <v/>
      </c>
      <c r="J34" s="20">
        <f>'07a_상반기입력'!S34</f>
        <v/>
      </c>
      <c r="K34" s="20">
        <f>'07a_상반기입력'!T34</f>
        <v/>
      </c>
      <c r="L34" s="20">
        <f>'07a_상반기입력'!U34</f>
        <v/>
      </c>
      <c r="M34" s="20">
        <f>'07a_상반기입력'!V34</f>
        <v/>
      </c>
      <c r="N34" s="20">
        <f>'07a_상반기입력'!W34</f>
        <v/>
      </c>
      <c r="O34" s="20">
        <f>'07a_상반기입력'!X34</f>
        <v/>
      </c>
      <c r="P34" s="56">
        <f>IFERROR(IF(COUNTBLANK(E34:O34)&gt;0,"",0.15*IF(E34="S",5,IF(E34="A",4,IF(E34="B",3,IF(E34="C",2,IF(E34="D",1,0)))))+0.1*IF(F34="S",5,IF(F34="A",4,IF(F34="B",3,IF(F34="C",2,IF(F34="D",1,0)))))+0.1*IF(G34="S",5,IF(G34="A",4,IF(G34="B",3,IF(G34="C",2,IF(G34="D",1,0)))))+0.1*IF(H34="S",5,IF(H34="A",4,IF(H34="B",3,IF(H34="C",2,IF(H34="D",1,0)))))+0.1*IF(I34="S",5,IF(I34="A",4,IF(I34="B",3,IF(I34="C",2,IF(I34="D",1,0)))))+0.1*IF(J34="S",5,IF(J34="A",4,IF(J34="B",3,IF(J34="C",2,IF(J34="D",1,0)))))+0.1*IF(K34="S",5,IF(K34="A",4,IF(K34="B",3,IF(K34="C",2,IF(K34="D",1,0)))))+0.1*IF(L34="S",5,IF(L34="A",4,IF(L34="B",3,IF(L34="C",2,IF(L34="D",1,0)))))+0.05*IF(M34="S",5,IF(M34="A",4,IF(M34="B",3,IF(M34="C",2,IF(M34="D",1,0)))))+0.05*IF(N34="S",5,IF(N34="A",4,IF(N34="B",3,IF(N34="C",2,IF(N34="D",1,0)))))+0.05*IF(O34="S",5,IF(O34="A",4,IF(O34="B",3,IF(O34="C",2,IF(O34="D",1,0)))))),"")</f>
        <v/>
      </c>
      <c r="Q34" s="57">
        <f>IF(P34="","",IF(P34&gt;=4.5,"S",IF(P34&gt;=3.5,"A",IF(P34&gt;=2.5,"B",IF(P34&gt;=1.5,"C","D")))))</f>
        <v/>
      </c>
      <c r="R34" s="4" t="inlineStr"/>
    </row>
    <row r="35" ht="22" customHeight="1">
      <c r="A35" s="33">
        <f>'01_인적정보'!A35</f>
        <v/>
      </c>
      <c r="B35" s="33">
        <f>'01_인적정보'!B35</f>
        <v/>
      </c>
      <c r="C35" s="8">
        <f>'01_인적정보'!C35</f>
        <v/>
      </c>
      <c r="D35" s="16">
        <f>'01_인적정보'!H35</f>
        <v/>
      </c>
      <c r="E35" s="20">
        <f>'07a_상반기입력'!N35</f>
        <v/>
      </c>
      <c r="F35" s="20">
        <f>'07a_상반기입력'!O35</f>
        <v/>
      </c>
      <c r="G35" s="20">
        <f>'07a_상반기입력'!P35</f>
        <v/>
      </c>
      <c r="H35" s="20">
        <f>'07a_상반기입력'!Q35</f>
        <v/>
      </c>
      <c r="I35" s="20">
        <f>'07a_상반기입력'!R35</f>
        <v/>
      </c>
      <c r="J35" s="20">
        <f>'07a_상반기입력'!S35</f>
        <v/>
      </c>
      <c r="K35" s="20">
        <f>'07a_상반기입력'!T35</f>
        <v/>
      </c>
      <c r="L35" s="20">
        <f>'07a_상반기입력'!U35</f>
        <v/>
      </c>
      <c r="M35" s="20">
        <f>'07a_상반기입력'!V35</f>
        <v/>
      </c>
      <c r="N35" s="20">
        <f>'07a_상반기입력'!W35</f>
        <v/>
      </c>
      <c r="O35" s="20">
        <f>'07a_상반기입력'!X35</f>
        <v/>
      </c>
      <c r="P35" s="56">
        <f>IFERROR(IF(COUNTBLANK(E35:O35)&gt;0,"",0.15*IF(E35="S",5,IF(E35="A",4,IF(E35="B",3,IF(E35="C",2,IF(E35="D",1,0)))))+0.1*IF(F35="S",5,IF(F35="A",4,IF(F35="B",3,IF(F35="C",2,IF(F35="D",1,0)))))+0.1*IF(G35="S",5,IF(G35="A",4,IF(G35="B",3,IF(G35="C",2,IF(G35="D",1,0)))))+0.1*IF(H35="S",5,IF(H35="A",4,IF(H35="B",3,IF(H35="C",2,IF(H35="D",1,0)))))+0.1*IF(I35="S",5,IF(I35="A",4,IF(I35="B",3,IF(I35="C",2,IF(I35="D",1,0)))))+0.1*IF(J35="S",5,IF(J35="A",4,IF(J35="B",3,IF(J35="C",2,IF(J35="D",1,0)))))+0.1*IF(K35="S",5,IF(K35="A",4,IF(K35="B",3,IF(K35="C",2,IF(K35="D",1,0)))))+0.1*IF(L35="S",5,IF(L35="A",4,IF(L35="B",3,IF(L35="C",2,IF(L35="D",1,0)))))+0.05*IF(M35="S",5,IF(M35="A",4,IF(M35="B",3,IF(M35="C",2,IF(M35="D",1,0)))))+0.05*IF(N35="S",5,IF(N35="A",4,IF(N35="B",3,IF(N35="C",2,IF(N35="D",1,0)))))+0.05*IF(O35="S",5,IF(O35="A",4,IF(O35="B",3,IF(O35="C",2,IF(O35="D",1,0)))))),"")</f>
        <v/>
      </c>
      <c r="Q35" s="57">
        <f>IF(P35="","",IF(P35&gt;=4.5,"S",IF(P35&gt;=3.5,"A",IF(P35&gt;=2.5,"B",IF(P35&gt;=1.5,"C","D")))))</f>
        <v/>
      </c>
      <c r="R35" s="4" t="inlineStr"/>
    </row>
    <row r="36" ht="22" customHeight="1">
      <c r="A36" s="33">
        <f>'01_인적정보'!A36</f>
        <v/>
      </c>
      <c r="B36" s="33">
        <f>'01_인적정보'!B36</f>
        <v/>
      </c>
      <c r="C36" s="8">
        <f>'01_인적정보'!C36</f>
        <v/>
      </c>
      <c r="D36" s="16">
        <f>'01_인적정보'!H36</f>
        <v/>
      </c>
      <c r="E36" s="20">
        <f>'07a_상반기입력'!N36</f>
        <v/>
      </c>
      <c r="F36" s="20">
        <f>'07a_상반기입력'!O36</f>
        <v/>
      </c>
      <c r="G36" s="20">
        <f>'07a_상반기입력'!P36</f>
        <v/>
      </c>
      <c r="H36" s="20">
        <f>'07a_상반기입력'!Q36</f>
        <v/>
      </c>
      <c r="I36" s="20">
        <f>'07a_상반기입력'!R36</f>
        <v/>
      </c>
      <c r="J36" s="20">
        <f>'07a_상반기입력'!S36</f>
        <v/>
      </c>
      <c r="K36" s="20">
        <f>'07a_상반기입력'!T36</f>
        <v/>
      </c>
      <c r="L36" s="20">
        <f>'07a_상반기입력'!U36</f>
        <v/>
      </c>
      <c r="M36" s="20">
        <f>'07a_상반기입력'!V36</f>
        <v/>
      </c>
      <c r="N36" s="20">
        <f>'07a_상반기입력'!W36</f>
        <v/>
      </c>
      <c r="O36" s="20">
        <f>'07a_상반기입력'!X36</f>
        <v/>
      </c>
      <c r="P36" s="56">
        <f>IFERROR(IF(COUNTBLANK(E36:O36)&gt;0,"",0.15*IF(E36="S",5,IF(E36="A",4,IF(E36="B",3,IF(E36="C",2,IF(E36="D",1,0)))))+0.1*IF(F36="S",5,IF(F36="A",4,IF(F36="B",3,IF(F36="C",2,IF(F36="D",1,0)))))+0.1*IF(G36="S",5,IF(G36="A",4,IF(G36="B",3,IF(G36="C",2,IF(G36="D",1,0)))))+0.1*IF(H36="S",5,IF(H36="A",4,IF(H36="B",3,IF(H36="C",2,IF(H36="D",1,0)))))+0.1*IF(I36="S",5,IF(I36="A",4,IF(I36="B",3,IF(I36="C",2,IF(I36="D",1,0)))))+0.1*IF(J36="S",5,IF(J36="A",4,IF(J36="B",3,IF(J36="C",2,IF(J36="D",1,0)))))+0.1*IF(K36="S",5,IF(K36="A",4,IF(K36="B",3,IF(K36="C",2,IF(K36="D",1,0)))))+0.1*IF(L36="S",5,IF(L36="A",4,IF(L36="B",3,IF(L36="C",2,IF(L36="D",1,0)))))+0.05*IF(M36="S",5,IF(M36="A",4,IF(M36="B",3,IF(M36="C",2,IF(M36="D",1,0)))))+0.05*IF(N36="S",5,IF(N36="A",4,IF(N36="B",3,IF(N36="C",2,IF(N36="D",1,0)))))+0.05*IF(O36="S",5,IF(O36="A",4,IF(O36="B",3,IF(O36="C",2,IF(O36="D",1,0)))))),"")</f>
        <v/>
      </c>
      <c r="Q36" s="57">
        <f>IF(P36="","",IF(P36&gt;=4.5,"S",IF(P36&gt;=3.5,"A",IF(P36&gt;=2.5,"B",IF(P36&gt;=1.5,"C","D")))))</f>
        <v/>
      </c>
      <c r="R36" s="4" t="inlineStr"/>
    </row>
    <row r="37" ht="22" customHeight="1">
      <c r="A37" s="33">
        <f>'01_인적정보'!A37</f>
        <v/>
      </c>
      <c r="B37" s="33">
        <f>'01_인적정보'!B37</f>
        <v/>
      </c>
      <c r="C37" s="8">
        <f>'01_인적정보'!C37</f>
        <v/>
      </c>
      <c r="D37" s="16">
        <f>'01_인적정보'!H37</f>
        <v/>
      </c>
      <c r="E37" s="20">
        <f>'07a_상반기입력'!N37</f>
        <v/>
      </c>
      <c r="F37" s="20">
        <f>'07a_상반기입력'!O37</f>
        <v/>
      </c>
      <c r="G37" s="20">
        <f>'07a_상반기입력'!P37</f>
        <v/>
      </c>
      <c r="H37" s="20">
        <f>'07a_상반기입력'!Q37</f>
        <v/>
      </c>
      <c r="I37" s="20">
        <f>'07a_상반기입력'!R37</f>
        <v/>
      </c>
      <c r="J37" s="20">
        <f>'07a_상반기입력'!S37</f>
        <v/>
      </c>
      <c r="K37" s="20">
        <f>'07a_상반기입력'!T37</f>
        <v/>
      </c>
      <c r="L37" s="20">
        <f>'07a_상반기입력'!U37</f>
        <v/>
      </c>
      <c r="M37" s="20">
        <f>'07a_상반기입력'!V37</f>
        <v/>
      </c>
      <c r="N37" s="20">
        <f>'07a_상반기입력'!W37</f>
        <v/>
      </c>
      <c r="O37" s="20">
        <f>'07a_상반기입력'!X37</f>
        <v/>
      </c>
      <c r="P37" s="56">
        <f>IFERROR(IF(COUNTBLANK(E37:O37)&gt;0,"",0.15*IF(E37="S",5,IF(E37="A",4,IF(E37="B",3,IF(E37="C",2,IF(E37="D",1,0)))))+0.1*IF(F37="S",5,IF(F37="A",4,IF(F37="B",3,IF(F37="C",2,IF(F37="D",1,0)))))+0.1*IF(G37="S",5,IF(G37="A",4,IF(G37="B",3,IF(G37="C",2,IF(G37="D",1,0)))))+0.1*IF(H37="S",5,IF(H37="A",4,IF(H37="B",3,IF(H37="C",2,IF(H37="D",1,0)))))+0.1*IF(I37="S",5,IF(I37="A",4,IF(I37="B",3,IF(I37="C",2,IF(I37="D",1,0)))))+0.1*IF(J37="S",5,IF(J37="A",4,IF(J37="B",3,IF(J37="C",2,IF(J37="D",1,0)))))+0.1*IF(K37="S",5,IF(K37="A",4,IF(K37="B",3,IF(K37="C",2,IF(K37="D",1,0)))))+0.1*IF(L37="S",5,IF(L37="A",4,IF(L37="B",3,IF(L37="C",2,IF(L37="D",1,0)))))+0.05*IF(M37="S",5,IF(M37="A",4,IF(M37="B",3,IF(M37="C",2,IF(M37="D",1,0)))))+0.05*IF(N37="S",5,IF(N37="A",4,IF(N37="B",3,IF(N37="C",2,IF(N37="D",1,0)))))+0.05*IF(O37="S",5,IF(O37="A",4,IF(O37="B",3,IF(O37="C",2,IF(O37="D",1,0)))))),"")</f>
        <v/>
      </c>
      <c r="Q37" s="57">
        <f>IF(P37="","",IF(P37&gt;=4.5,"S",IF(P37&gt;=3.5,"A",IF(P37&gt;=2.5,"B",IF(P37&gt;=1.5,"C","D")))))</f>
        <v/>
      </c>
      <c r="R37" s="4" t="inlineStr"/>
    </row>
    <row r="38" ht="22" customHeight="1">
      <c r="A38" s="33">
        <f>'01_인적정보'!A38</f>
        <v/>
      </c>
      <c r="B38" s="33">
        <f>'01_인적정보'!B38</f>
        <v/>
      </c>
      <c r="C38" s="8">
        <f>'01_인적정보'!C38</f>
        <v/>
      </c>
      <c r="D38" s="16">
        <f>'01_인적정보'!H38</f>
        <v/>
      </c>
      <c r="E38" s="20">
        <f>'07a_상반기입력'!N38</f>
        <v/>
      </c>
      <c r="F38" s="20">
        <f>'07a_상반기입력'!O38</f>
        <v/>
      </c>
      <c r="G38" s="20">
        <f>'07a_상반기입력'!P38</f>
        <v/>
      </c>
      <c r="H38" s="20">
        <f>'07a_상반기입력'!Q38</f>
        <v/>
      </c>
      <c r="I38" s="20">
        <f>'07a_상반기입력'!R38</f>
        <v/>
      </c>
      <c r="J38" s="20">
        <f>'07a_상반기입력'!S38</f>
        <v/>
      </c>
      <c r="K38" s="20">
        <f>'07a_상반기입력'!T38</f>
        <v/>
      </c>
      <c r="L38" s="20">
        <f>'07a_상반기입력'!U38</f>
        <v/>
      </c>
      <c r="M38" s="20">
        <f>'07a_상반기입력'!V38</f>
        <v/>
      </c>
      <c r="N38" s="20">
        <f>'07a_상반기입력'!W38</f>
        <v/>
      </c>
      <c r="O38" s="20">
        <f>'07a_상반기입력'!X38</f>
        <v/>
      </c>
      <c r="P38" s="56">
        <f>IFERROR(IF(COUNTBLANK(E38:O38)&gt;0,"",0.15*IF(E38="S",5,IF(E38="A",4,IF(E38="B",3,IF(E38="C",2,IF(E38="D",1,0)))))+0.1*IF(F38="S",5,IF(F38="A",4,IF(F38="B",3,IF(F38="C",2,IF(F38="D",1,0)))))+0.1*IF(G38="S",5,IF(G38="A",4,IF(G38="B",3,IF(G38="C",2,IF(G38="D",1,0)))))+0.1*IF(H38="S",5,IF(H38="A",4,IF(H38="B",3,IF(H38="C",2,IF(H38="D",1,0)))))+0.1*IF(I38="S",5,IF(I38="A",4,IF(I38="B",3,IF(I38="C",2,IF(I38="D",1,0)))))+0.1*IF(J38="S",5,IF(J38="A",4,IF(J38="B",3,IF(J38="C",2,IF(J38="D",1,0)))))+0.1*IF(K38="S",5,IF(K38="A",4,IF(K38="B",3,IF(K38="C",2,IF(K38="D",1,0)))))+0.1*IF(L38="S",5,IF(L38="A",4,IF(L38="B",3,IF(L38="C",2,IF(L38="D",1,0)))))+0.05*IF(M38="S",5,IF(M38="A",4,IF(M38="B",3,IF(M38="C",2,IF(M38="D",1,0)))))+0.05*IF(N38="S",5,IF(N38="A",4,IF(N38="B",3,IF(N38="C",2,IF(N38="D",1,0)))))+0.05*IF(O38="S",5,IF(O38="A",4,IF(O38="B",3,IF(O38="C",2,IF(O38="D",1,0)))))),"")</f>
        <v/>
      </c>
      <c r="Q38" s="57">
        <f>IF(P38="","",IF(P38&gt;=4.5,"S",IF(P38&gt;=3.5,"A",IF(P38&gt;=2.5,"B",IF(P38&gt;=1.5,"C","D")))))</f>
        <v/>
      </c>
      <c r="R38" s="4" t="inlineStr"/>
    </row>
    <row r="39" ht="22" customHeight="1">
      <c r="A39" s="33">
        <f>'01_인적정보'!A39</f>
        <v/>
      </c>
      <c r="B39" s="33">
        <f>'01_인적정보'!B39</f>
        <v/>
      </c>
      <c r="C39" s="8">
        <f>'01_인적정보'!C39</f>
        <v/>
      </c>
      <c r="D39" s="16">
        <f>'01_인적정보'!H39</f>
        <v/>
      </c>
      <c r="E39" s="20">
        <f>'07a_상반기입력'!N39</f>
        <v/>
      </c>
      <c r="F39" s="20">
        <f>'07a_상반기입력'!O39</f>
        <v/>
      </c>
      <c r="G39" s="20">
        <f>'07a_상반기입력'!P39</f>
        <v/>
      </c>
      <c r="H39" s="20">
        <f>'07a_상반기입력'!Q39</f>
        <v/>
      </c>
      <c r="I39" s="20">
        <f>'07a_상반기입력'!R39</f>
        <v/>
      </c>
      <c r="J39" s="20">
        <f>'07a_상반기입력'!S39</f>
        <v/>
      </c>
      <c r="K39" s="20">
        <f>'07a_상반기입력'!T39</f>
        <v/>
      </c>
      <c r="L39" s="20">
        <f>'07a_상반기입력'!U39</f>
        <v/>
      </c>
      <c r="M39" s="20">
        <f>'07a_상반기입력'!V39</f>
        <v/>
      </c>
      <c r="N39" s="20">
        <f>'07a_상반기입력'!W39</f>
        <v/>
      </c>
      <c r="O39" s="20">
        <f>'07a_상반기입력'!X39</f>
        <v/>
      </c>
      <c r="P39" s="56">
        <f>IFERROR(IF(COUNTBLANK(E39:O39)&gt;0,"",0.15*IF(E39="S",5,IF(E39="A",4,IF(E39="B",3,IF(E39="C",2,IF(E39="D",1,0)))))+0.1*IF(F39="S",5,IF(F39="A",4,IF(F39="B",3,IF(F39="C",2,IF(F39="D",1,0)))))+0.1*IF(G39="S",5,IF(G39="A",4,IF(G39="B",3,IF(G39="C",2,IF(G39="D",1,0)))))+0.1*IF(H39="S",5,IF(H39="A",4,IF(H39="B",3,IF(H39="C",2,IF(H39="D",1,0)))))+0.1*IF(I39="S",5,IF(I39="A",4,IF(I39="B",3,IF(I39="C",2,IF(I39="D",1,0)))))+0.1*IF(J39="S",5,IF(J39="A",4,IF(J39="B",3,IF(J39="C",2,IF(J39="D",1,0)))))+0.1*IF(K39="S",5,IF(K39="A",4,IF(K39="B",3,IF(K39="C",2,IF(K39="D",1,0)))))+0.1*IF(L39="S",5,IF(L39="A",4,IF(L39="B",3,IF(L39="C",2,IF(L39="D",1,0)))))+0.05*IF(M39="S",5,IF(M39="A",4,IF(M39="B",3,IF(M39="C",2,IF(M39="D",1,0)))))+0.05*IF(N39="S",5,IF(N39="A",4,IF(N39="B",3,IF(N39="C",2,IF(N39="D",1,0)))))+0.05*IF(O39="S",5,IF(O39="A",4,IF(O39="B",3,IF(O39="C",2,IF(O39="D",1,0)))))),"")</f>
        <v/>
      </c>
      <c r="Q39" s="57">
        <f>IF(P39="","",IF(P39&gt;=4.5,"S",IF(P39&gt;=3.5,"A",IF(P39&gt;=2.5,"B",IF(P39&gt;=1.5,"C","D")))))</f>
        <v/>
      </c>
      <c r="R39" s="4" t="inlineStr"/>
    </row>
    <row r="44">
      <c r="A44" s="54" t="inlineStr">
        <is>
          <t>■ 하반기 공통역량평가</t>
        </is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9" t="n"/>
    </row>
    <row r="45" ht="32" customHeight="1">
      <c r="A45" s="59" t="inlineStr">
        <is>
          <t>No.</t>
        </is>
      </c>
      <c r="B45" s="59" t="inlineStr">
        <is>
          <t>사번</t>
        </is>
      </c>
      <c r="C45" s="59" t="inlineStr">
        <is>
          <t>성명</t>
        </is>
      </c>
      <c r="D45" s="59" t="inlineStr">
        <is>
          <t>역할등급</t>
        </is>
      </c>
      <c r="E45" s="59" t="inlineStr">
        <is>
          <t>C-1 직무 전문성</t>
        </is>
      </c>
      <c r="F45" s="59" t="inlineStr">
        <is>
          <t>C-2 분석력</t>
        </is>
      </c>
      <c r="G45" s="59" t="inlineStr">
        <is>
          <t>C-3 기획/실행력</t>
        </is>
      </c>
      <c r="H45" s="59" t="inlineStr">
        <is>
          <t>C-4 자원·시간 관리</t>
        </is>
      </c>
      <c r="I45" s="59" t="inlineStr">
        <is>
          <t>C-5 협업 능력</t>
        </is>
      </c>
      <c r="J45" s="59" t="inlineStr">
        <is>
          <t>C-6 소통 능력</t>
        </is>
      </c>
      <c r="K45" s="59" t="inlineStr">
        <is>
          <t>C-7 윤리/책임감</t>
        </is>
      </c>
      <c r="L45" s="59" t="inlineStr">
        <is>
          <t>C-8 업무 태도</t>
        </is>
      </c>
      <c r="M45" s="59" t="inlineStr">
        <is>
          <t>C-9 혁신 역량</t>
        </is>
      </c>
      <c r="N45" s="59" t="inlineStr">
        <is>
          <t>C-10 프로세스 개선</t>
        </is>
      </c>
      <c r="O45" s="59" t="inlineStr">
        <is>
          <t>C-11 지속가능 기여</t>
        </is>
      </c>
      <c r="P45" s="59" t="inlineStr">
        <is>
          <t>가중합산</t>
        </is>
      </c>
      <c r="Q45" s="59" t="inlineStr">
        <is>
          <t>등급</t>
        </is>
      </c>
      <c r="R45" s="59" t="inlineStr">
        <is>
          <t>소견</t>
        </is>
      </c>
    </row>
    <row r="46" ht="22" customHeight="1">
      <c r="A46" s="33">
        <f>'01_인적정보'!A6</f>
        <v/>
      </c>
      <c r="B46" s="33">
        <f>'01_인적정보'!B6</f>
        <v/>
      </c>
      <c r="C46" s="8">
        <f>'01_인적정보'!C6</f>
        <v/>
      </c>
      <c r="D46" s="16">
        <f>'01_인적정보'!H6</f>
        <v/>
      </c>
      <c r="E46" s="20">
        <f>'07b_하반기입력'!N6</f>
        <v/>
      </c>
      <c r="F46" s="20">
        <f>'07b_하반기입력'!O6</f>
        <v/>
      </c>
      <c r="G46" s="20">
        <f>'07b_하반기입력'!P6</f>
        <v/>
      </c>
      <c r="H46" s="20">
        <f>'07b_하반기입력'!Q6</f>
        <v/>
      </c>
      <c r="I46" s="20">
        <f>'07b_하반기입력'!R6</f>
        <v/>
      </c>
      <c r="J46" s="20">
        <f>'07b_하반기입력'!S6</f>
        <v/>
      </c>
      <c r="K46" s="20">
        <f>'07b_하반기입력'!T6</f>
        <v/>
      </c>
      <c r="L46" s="20">
        <f>'07b_하반기입력'!U6</f>
        <v/>
      </c>
      <c r="M46" s="20">
        <f>'07b_하반기입력'!V6</f>
        <v/>
      </c>
      <c r="N46" s="20">
        <f>'07b_하반기입력'!W6</f>
        <v/>
      </c>
      <c r="O46" s="20">
        <f>'07b_하반기입력'!X6</f>
        <v/>
      </c>
      <c r="P46" s="56">
        <f>IFERROR(IF(COUNTBLANK(E46:O46)&gt;0,"",0.15*IF(E46="S",5,IF(E46="A",4,IF(E46="B",3,IF(E46="C",2,IF(E46="D",1,0)))))+0.1*IF(F46="S",5,IF(F46="A",4,IF(F46="B",3,IF(F46="C",2,IF(F46="D",1,0)))))+0.1*IF(G46="S",5,IF(G46="A",4,IF(G46="B",3,IF(G46="C",2,IF(G46="D",1,0)))))+0.1*IF(H46="S",5,IF(H46="A",4,IF(H46="B",3,IF(H46="C",2,IF(H46="D",1,0)))))+0.1*IF(I46="S",5,IF(I46="A",4,IF(I46="B",3,IF(I46="C",2,IF(I46="D",1,0)))))+0.1*IF(J46="S",5,IF(J46="A",4,IF(J46="B",3,IF(J46="C",2,IF(J46="D",1,0)))))+0.1*IF(K46="S",5,IF(K46="A",4,IF(K46="B",3,IF(K46="C",2,IF(K46="D",1,0)))))+0.1*IF(L46="S",5,IF(L46="A",4,IF(L46="B",3,IF(L46="C",2,IF(L46="D",1,0)))))+0.05*IF(M46="S",5,IF(M46="A",4,IF(M46="B",3,IF(M46="C",2,IF(M46="D",1,0)))))+0.05*IF(N46="S",5,IF(N46="A",4,IF(N46="B",3,IF(N46="C",2,IF(N46="D",1,0)))))+0.05*IF(O46="S",5,IF(O46="A",4,IF(O46="B",3,IF(O46="C",2,IF(O46="D",1,0)))))),"")</f>
        <v/>
      </c>
      <c r="Q46" s="57">
        <f>IF(P46="","",IF(P46&gt;=4.5,"S",IF(P46&gt;=3.5,"A",IF(P46&gt;=2.5,"B",IF(P46&gt;=1.5,"C","D")))))</f>
        <v/>
      </c>
      <c r="R46" s="4" t="inlineStr"/>
    </row>
    <row r="47" ht="22" customHeight="1">
      <c r="A47" s="33">
        <f>'01_인적정보'!A7</f>
        <v/>
      </c>
      <c r="B47" s="33">
        <f>'01_인적정보'!B7</f>
        <v/>
      </c>
      <c r="C47" s="8">
        <f>'01_인적정보'!C7</f>
        <v/>
      </c>
      <c r="D47" s="16">
        <f>'01_인적정보'!H7</f>
        <v/>
      </c>
      <c r="E47" s="20">
        <f>'07b_하반기입력'!N7</f>
        <v/>
      </c>
      <c r="F47" s="20">
        <f>'07b_하반기입력'!O7</f>
        <v/>
      </c>
      <c r="G47" s="20">
        <f>'07b_하반기입력'!P7</f>
        <v/>
      </c>
      <c r="H47" s="20">
        <f>'07b_하반기입력'!Q7</f>
        <v/>
      </c>
      <c r="I47" s="20">
        <f>'07b_하반기입력'!R7</f>
        <v/>
      </c>
      <c r="J47" s="20">
        <f>'07b_하반기입력'!S7</f>
        <v/>
      </c>
      <c r="K47" s="20">
        <f>'07b_하반기입력'!T7</f>
        <v/>
      </c>
      <c r="L47" s="20">
        <f>'07b_하반기입력'!U7</f>
        <v/>
      </c>
      <c r="M47" s="20">
        <f>'07b_하반기입력'!V7</f>
        <v/>
      </c>
      <c r="N47" s="20">
        <f>'07b_하반기입력'!W7</f>
        <v/>
      </c>
      <c r="O47" s="20">
        <f>'07b_하반기입력'!X7</f>
        <v/>
      </c>
      <c r="P47" s="56">
        <f>IFERROR(IF(COUNTBLANK(E47:O47)&gt;0,"",0.15*IF(E47="S",5,IF(E47="A",4,IF(E47="B",3,IF(E47="C",2,IF(E47="D",1,0)))))+0.1*IF(F47="S",5,IF(F47="A",4,IF(F47="B",3,IF(F47="C",2,IF(F47="D",1,0)))))+0.1*IF(G47="S",5,IF(G47="A",4,IF(G47="B",3,IF(G47="C",2,IF(G47="D",1,0)))))+0.1*IF(H47="S",5,IF(H47="A",4,IF(H47="B",3,IF(H47="C",2,IF(H47="D",1,0)))))+0.1*IF(I47="S",5,IF(I47="A",4,IF(I47="B",3,IF(I47="C",2,IF(I47="D",1,0)))))+0.1*IF(J47="S",5,IF(J47="A",4,IF(J47="B",3,IF(J47="C",2,IF(J47="D",1,0)))))+0.1*IF(K47="S",5,IF(K47="A",4,IF(K47="B",3,IF(K47="C",2,IF(K47="D",1,0)))))+0.1*IF(L47="S",5,IF(L47="A",4,IF(L47="B",3,IF(L47="C",2,IF(L47="D",1,0)))))+0.05*IF(M47="S",5,IF(M47="A",4,IF(M47="B",3,IF(M47="C",2,IF(M47="D",1,0)))))+0.05*IF(N47="S",5,IF(N47="A",4,IF(N47="B",3,IF(N47="C",2,IF(N47="D",1,0)))))+0.05*IF(O47="S",5,IF(O47="A",4,IF(O47="B",3,IF(O47="C",2,IF(O47="D",1,0)))))),"")</f>
        <v/>
      </c>
      <c r="Q47" s="57">
        <f>IF(P47="","",IF(P47&gt;=4.5,"S",IF(P47&gt;=3.5,"A",IF(P47&gt;=2.5,"B",IF(P47&gt;=1.5,"C","D")))))</f>
        <v/>
      </c>
      <c r="R47" s="4" t="inlineStr"/>
    </row>
    <row r="48" ht="22" customHeight="1">
      <c r="A48" s="33">
        <f>'01_인적정보'!A8</f>
        <v/>
      </c>
      <c r="B48" s="33">
        <f>'01_인적정보'!B8</f>
        <v/>
      </c>
      <c r="C48" s="8">
        <f>'01_인적정보'!C8</f>
        <v/>
      </c>
      <c r="D48" s="16">
        <f>'01_인적정보'!H8</f>
        <v/>
      </c>
      <c r="E48" s="20">
        <f>'07b_하반기입력'!N8</f>
        <v/>
      </c>
      <c r="F48" s="20">
        <f>'07b_하반기입력'!O8</f>
        <v/>
      </c>
      <c r="G48" s="20">
        <f>'07b_하반기입력'!P8</f>
        <v/>
      </c>
      <c r="H48" s="20">
        <f>'07b_하반기입력'!Q8</f>
        <v/>
      </c>
      <c r="I48" s="20">
        <f>'07b_하반기입력'!R8</f>
        <v/>
      </c>
      <c r="J48" s="20">
        <f>'07b_하반기입력'!S8</f>
        <v/>
      </c>
      <c r="K48" s="20">
        <f>'07b_하반기입력'!T8</f>
        <v/>
      </c>
      <c r="L48" s="20">
        <f>'07b_하반기입력'!U8</f>
        <v/>
      </c>
      <c r="M48" s="20">
        <f>'07b_하반기입력'!V8</f>
        <v/>
      </c>
      <c r="N48" s="20">
        <f>'07b_하반기입력'!W8</f>
        <v/>
      </c>
      <c r="O48" s="20">
        <f>'07b_하반기입력'!X8</f>
        <v/>
      </c>
      <c r="P48" s="56">
        <f>IFERROR(IF(COUNTBLANK(E48:O48)&gt;0,"",0.15*IF(E48="S",5,IF(E48="A",4,IF(E48="B",3,IF(E48="C",2,IF(E48="D",1,0)))))+0.1*IF(F48="S",5,IF(F48="A",4,IF(F48="B",3,IF(F48="C",2,IF(F48="D",1,0)))))+0.1*IF(G48="S",5,IF(G48="A",4,IF(G48="B",3,IF(G48="C",2,IF(G48="D",1,0)))))+0.1*IF(H48="S",5,IF(H48="A",4,IF(H48="B",3,IF(H48="C",2,IF(H48="D",1,0)))))+0.1*IF(I48="S",5,IF(I48="A",4,IF(I48="B",3,IF(I48="C",2,IF(I48="D",1,0)))))+0.1*IF(J48="S",5,IF(J48="A",4,IF(J48="B",3,IF(J48="C",2,IF(J48="D",1,0)))))+0.1*IF(K48="S",5,IF(K48="A",4,IF(K48="B",3,IF(K48="C",2,IF(K48="D",1,0)))))+0.1*IF(L48="S",5,IF(L48="A",4,IF(L48="B",3,IF(L48="C",2,IF(L48="D",1,0)))))+0.05*IF(M48="S",5,IF(M48="A",4,IF(M48="B",3,IF(M48="C",2,IF(M48="D",1,0)))))+0.05*IF(N48="S",5,IF(N48="A",4,IF(N48="B",3,IF(N48="C",2,IF(N48="D",1,0)))))+0.05*IF(O48="S",5,IF(O48="A",4,IF(O48="B",3,IF(O48="C",2,IF(O48="D",1,0)))))),"")</f>
        <v/>
      </c>
      <c r="Q48" s="57">
        <f>IF(P48="","",IF(P48&gt;=4.5,"S",IF(P48&gt;=3.5,"A",IF(P48&gt;=2.5,"B",IF(P48&gt;=1.5,"C","D")))))</f>
        <v/>
      </c>
      <c r="R48" s="4" t="inlineStr"/>
    </row>
    <row r="49" ht="22" customHeight="1">
      <c r="A49" s="33">
        <f>'01_인적정보'!A9</f>
        <v/>
      </c>
      <c r="B49" s="33">
        <f>'01_인적정보'!B9</f>
        <v/>
      </c>
      <c r="C49" s="8">
        <f>'01_인적정보'!C9</f>
        <v/>
      </c>
      <c r="D49" s="16">
        <f>'01_인적정보'!H9</f>
        <v/>
      </c>
      <c r="E49" s="20">
        <f>'07b_하반기입력'!N9</f>
        <v/>
      </c>
      <c r="F49" s="20">
        <f>'07b_하반기입력'!O9</f>
        <v/>
      </c>
      <c r="G49" s="20">
        <f>'07b_하반기입력'!P9</f>
        <v/>
      </c>
      <c r="H49" s="20">
        <f>'07b_하반기입력'!Q9</f>
        <v/>
      </c>
      <c r="I49" s="20">
        <f>'07b_하반기입력'!R9</f>
        <v/>
      </c>
      <c r="J49" s="20">
        <f>'07b_하반기입력'!S9</f>
        <v/>
      </c>
      <c r="K49" s="20">
        <f>'07b_하반기입력'!T9</f>
        <v/>
      </c>
      <c r="L49" s="20">
        <f>'07b_하반기입력'!U9</f>
        <v/>
      </c>
      <c r="M49" s="20">
        <f>'07b_하반기입력'!V9</f>
        <v/>
      </c>
      <c r="N49" s="20">
        <f>'07b_하반기입력'!W9</f>
        <v/>
      </c>
      <c r="O49" s="20">
        <f>'07b_하반기입력'!X9</f>
        <v/>
      </c>
      <c r="P49" s="56">
        <f>IFERROR(IF(COUNTBLANK(E49:O49)&gt;0,"",0.15*IF(E49="S",5,IF(E49="A",4,IF(E49="B",3,IF(E49="C",2,IF(E49="D",1,0)))))+0.1*IF(F49="S",5,IF(F49="A",4,IF(F49="B",3,IF(F49="C",2,IF(F49="D",1,0)))))+0.1*IF(G49="S",5,IF(G49="A",4,IF(G49="B",3,IF(G49="C",2,IF(G49="D",1,0)))))+0.1*IF(H49="S",5,IF(H49="A",4,IF(H49="B",3,IF(H49="C",2,IF(H49="D",1,0)))))+0.1*IF(I49="S",5,IF(I49="A",4,IF(I49="B",3,IF(I49="C",2,IF(I49="D",1,0)))))+0.1*IF(J49="S",5,IF(J49="A",4,IF(J49="B",3,IF(J49="C",2,IF(J49="D",1,0)))))+0.1*IF(K49="S",5,IF(K49="A",4,IF(K49="B",3,IF(K49="C",2,IF(K49="D",1,0)))))+0.1*IF(L49="S",5,IF(L49="A",4,IF(L49="B",3,IF(L49="C",2,IF(L49="D",1,0)))))+0.05*IF(M49="S",5,IF(M49="A",4,IF(M49="B",3,IF(M49="C",2,IF(M49="D",1,0)))))+0.05*IF(N49="S",5,IF(N49="A",4,IF(N49="B",3,IF(N49="C",2,IF(N49="D",1,0)))))+0.05*IF(O49="S",5,IF(O49="A",4,IF(O49="B",3,IF(O49="C",2,IF(O49="D",1,0)))))),"")</f>
        <v/>
      </c>
      <c r="Q49" s="57">
        <f>IF(P49="","",IF(P49&gt;=4.5,"S",IF(P49&gt;=3.5,"A",IF(P49&gt;=2.5,"B",IF(P49&gt;=1.5,"C","D")))))</f>
        <v/>
      </c>
      <c r="R49" s="4" t="inlineStr"/>
    </row>
    <row r="50" ht="22" customHeight="1">
      <c r="A50" s="33">
        <f>'01_인적정보'!A10</f>
        <v/>
      </c>
      <c r="B50" s="33">
        <f>'01_인적정보'!B10</f>
        <v/>
      </c>
      <c r="C50" s="8">
        <f>'01_인적정보'!C10</f>
        <v/>
      </c>
      <c r="D50" s="16">
        <f>'01_인적정보'!H10</f>
        <v/>
      </c>
      <c r="E50" s="20">
        <f>'07b_하반기입력'!N10</f>
        <v/>
      </c>
      <c r="F50" s="20">
        <f>'07b_하반기입력'!O10</f>
        <v/>
      </c>
      <c r="G50" s="20">
        <f>'07b_하반기입력'!P10</f>
        <v/>
      </c>
      <c r="H50" s="20">
        <f>'07b_하반기입력'!Q10</f>
        <v/>
      </c>
      <c r="I50" s="20">
        <f>'07b_하반기입력'!R10</f>
        <v/>
      </c>
      <c r="J50" s="20">
        <f>'07b_하반기입력'!S10</f>
        <v/>
      </c>
      <c r="K50" s="20">
        <f>'07b_하반기입력'!T10</f>
        <v/>
      </c>
      <c r="L50" s="20">
        <f>'07b_하반기입력'!U10</f>
        <v/>
      </c>
      <c r="M50" s="20">
        <f>'07b_하반기입력'!V10</f>
        <v/>
      </c>
      <c r="N50" s="20">
        <f>'07b_하반기입력'!W10</f>
        <v/>
      </c>
      <c r="O50" s="20">
        <f>'07b_하반기입력'!X10</f>
        <v/>
      </c>
      <c r="P50" s="56">
        <f>IFERROR(IF(COUNTBLANK(E50:O50)&gt;0,"",0.15*IF(E50="S",5,IF(E50="A",4,IF(E50="B",3,IF(E50="C",2,IF(E50="D",1,0)))))+0.1*IF(F50="S",5,IF(F50="A",4,IF(F50="B",3,IF(F50="C",2,IF(F50="D",1,0)))))+0.1*IF(G50="S",5,IF(G50="A",4,IF(G50="B",3,IF(G50="C",2,IF(G50="D",1,0)))))+0.1*IF(H50="S",5,IF(H50="A",4,IF(H50="B",3,IF(H50="C",2,IF(H50="D",1,0)))))+0.1*IF(I50="S",5,IF(I50="A",4,IF(I50="B",3,IF(I50="C",2,IF(I50="D",1,0)))))+0.1*IF(J50="S",5,IF(J50="A",4,IF(J50="B",3,IF(J50="C",2,IF(J50="D",1,0)))))+0.1*IF(K50="S",5,IF(K50="A",4,IF(K50="B",3,IF(K50="C",2,IF(K50="D",1,0)))))+0.1*IF(L50="S",5,IF(L50="A",4,IF(L50="B",3,IF(L50="C",2,IF(L50="D",1,0)))))+0.05*IF(M50="S",5,IF(M50="A",4,IF(M50="B",3,IF(M50="C",2,IF(M50="D",1,0)))))+0.05*IF(N50="S",5,IF(N50="A",4,IF(N50="B",3,IF(N50="C",2,IF(N50="D",1,0)))))+0.05*IF(O50="S",5,IF(O50="A",4,IF(O50="B",3,IF(O50="C",2,IF(O50="D",1,0)))))),"")</f>
        <v/>
      </c>
      <c r="Q50" s="57">
        <f>IF(P50="","",IF(P50&gt;=4.5,"S",IF(P50&gt;=3.5,"A",IF(P50&gt;=2.5,"B",IF(P50&gt;=1.5,"C","D")))))</f>
        <v/>
      </c>
      <c r="R50" s="4" t="inlineStr"/>
    </row>
    <row r="51" ht="22" customHeight="1">
      <c r="A51" s="33">
        <f>'01_인적정보'!A11</f>
        <v/>
      </c>
      <c r="B51" s="33">
        <f>'01_인적정보'!B11</f>
        <v/>
      </c>
      <c r="C51" s="8">
        <f>'01_인적정보'!C11</f>
        <v/>
      </c>
      <c r="D51" s="16">
        <f>'01_인적정보'!H11</f>
        <v/>
      </c>
      <c r="E51" s="20">
        <f>'07b_하반기입력'!N11</f>
        <v/>
      </c>
      <c r="F51" s="20">
        <f>'07b_하반기입력'!O11</f>
        <v/>
      </c>
      <c r="G51" s="20">
        <f>'07b_하반기입력'!P11</f>
        <v/>
      </c>
      <c r="H51" s="20">
        <f>'07b_하반기입력'!Q11</f>
        <v/>
      </c>
      <c r="I51" s="20">
        <f>'07b_하반기입력'!R11</f>
        <v/>
      </c>
      <c r="J51" s="20">
        <f>'07b_하반기입력'!S11</f>
        <v/>
      </c>
      <c r="K51" s="20">
        <f>'07b_하반기입력'!T11</f>
        <v/>
      </c>
      <c r="L51" s="20">
        <f>'07b_하반기입력'!U11</f>
        <v/>
      </c>
      <c r="M51" s="20">
        <f>'07b_하반기입력'!V11</f>
        <v/>
      </c>
      <c r="N51" s="20">
        <f>'07b_하반기입력'!W11</f>
        <v/>
      </c>
      <c r="O51" s="20">
        <f>'07b_하반기입력'!X11</f>
        <v/>
      </c>
      <c r="P51" s="56">
        <f>IFERROR(IF(COUNTBLANK(E51:O51)&gt;0,"",0.15*IF(E51="S",5,IF(E51="A",4,IF(E51="B",3,IF(E51="C",2,IF(E51="D",1,0)))))+0.1*IF(F51="S",5,IF(F51="A",4,IF(F51="B",3,IF(F51="C",2,IF(F51="D",1,0)))))+0.1*IF(G51="S",5,IF(G51="A",4,IF(G51="B",3,IF(G51="C",2,IF(G51="D",1,0)))))+0.1*IF(H51="S",5,IF(H51="A",4,IF(H51="B",3,IF(H51="C",2,IF(H51="D",1,0)))))+0.1*IF(I51="S",5,IF(I51="A",4,IF(I51="B",3,IF(I51="C",2,IF(I51="D",1,0)))))+0.1*IF(J51="S",5,IF(J51="A",4,IF(J51="B",3,IF(J51="C",2,IF(J51="D",1,0)))))+0.1*IF(K51="S",5,IF(K51="A",4,IF(K51="B",3,IF(K51="C",2,IF(K51="D",1,0)))))+0.1*IF(L51="S",5,IF(L51="A",4,IF(L51="B",3,IF(L51="C",2,IF(L51="D",1,0)))))+0.05*IF(M51="S",5,IF(M51="A",4,IF(M51="B",3,IF(M51="C",2,IF(M51="D",1,0)))))+0.05*IF(N51="S",5,IF(N51="A",4,IF(N51="B",3,IF(N51="C",2,IF(N51="D",1,0)))))+0.05*IF(O51="S",5,IF(O51="A",4,IF(O51="B",3,IF(O51="C",2,IF(O51="D",1,0)))))),"")</f>
        <v/>
      </c>
      <c r="Q51" s="57">
        <f>IF(P51="","",IF(P51&gt;=4.5,"S",IF(P51&gt;=3.5,"A",IF(P51&gt;=2.5,"B",IF(P51&gt;=1.5,"C","D")))))</f>
        <v/>
      </c>
      <c r="R51" s="4" t="inlineStr"/>
    </row>
    <row r="52" ht="22" customHeight="1">
      <c r="A52" s="33">
        <f>'01_인적정보'!A12</f>
        <v/>
      </c>
      <c r="B52" s="33">
        <f>'01_인적정보'!B12</f>
        <v/>
      </c>
      <c r="C52" s="8">
        <f>'01_인적정보'!C12</f>
        <v/>
      </c>
      <c r="D52" s="16">
        <f>'01_인적정보'!H12</f>
        <v/>
      </c>
      <c r="E52" s="20">
        <f>'07b_하반기입력'!N12</f>
        <v/>
      </c>
      <c r="F52" s="20">
        <f>'07b_하반기입력'!O12</f>
        <v/>
      </c>
      <c r="G52" s="20">
        <f>'07b_하반기입력'!P12</f>
        <v/>
      </c>
      <c r="H52" s="20">
        <f>'07b_하반기입력'!Q12</f>
        <v/>
      </c>
      <c r="I52" s="20">
        <f>'07b_하반기입력'!R12</f>
        <v/>
      </c>
      <c r="J52" s="20">
        <f>'07b_하반기입력'!S12</f>
        <v/>
      </c>
      <c r="K52" s="20">
        <f>'07b_하반기입력'!T12</f>
        <v/>
      </c>
      <c r="L52" s="20">
        <f>'07b_하반기입력'!U12</f>
        <v/>
      </c>
      <c r="M52" s="20">
        <f>'07b_하반기입력'!V12</f>
        <v/>
      </c>
      <c r="N52" s="20">
        <f>'07b_하반기입력'!W12</f>
        <v/>
      </c>
      <c r="O52" s="20">
        <f>'07b_하반기입력'!X12</f>
        <v/>
      </c>
      <c r="P52" s="56">
        <f>IFERROR(IF(COUNTBLANK(E52:O52)&gt;0,"",0.15*IF(E52="S",5,IF(E52="A",4,IF(E52="B",3,IF(E52="C",2,IF(E52="D",1,0)))))+0.1*IF(F52="S",5,IF(F52="A",4,IF(F52="B",3,IF(F52="C",2,IF(F52="D",1,0)))))+0.1*IF(G52="S",5,IF(G52="A",4,IF(G52="B",3,IF(G52="C",2,IF(G52="D",1,0)))))+0.1*IF(H52="S",5,IF(H52="A",4,IF(H52="B",3,IF(H52="C",2,IF(H52="D",1,0)))))+0.1*IF(I52="S",5,IF(I52="A",4,IF(I52="B",3,IF(I52="C",2,IF(I52="D",1,0)))))+0.1*IF(J52="S",5,IF(J52="A",4,IF(J52="B",3,IF(J52="C",2,IF(J52="D",1,0)))))+0.1*IF(K52="S",5,IF(K52="A",4,IF(K52="B",3,IF(K52="C",2,IF(K52="D",1,0)))))+0.1*IF(L52="S",5,IF(L52="A",4,IF(L52="B",3,IF(L52="C",2,IF(L52="D",1,0)))))+0.05*IF(M52="S",5,IF(M52="A",4,IF(M52="B",3,IF(M52="C",2,IF(M52="D",1,0)))))+0.05*IF(N52="S",5,IF(N52="A",4,IF(N52="B",3,IF(N52="C",2,IF(N52="D",1,0)))))+0.05*IF(O52="S",5,IF(O52="A",4,IF(O52="B",3,IF(O52="C",2,IF(O52="D",1,0)))))),"")</f>
        <v/>
      </c>
      <c r="Q52" s="57">
        <f>IF(P52="","",IF(P52&gt;=4.5,"S",IF(P52&gt;=3.5,"A",IF(P52&gt;=2.5,"B",IF(P52&gt;=1.5,"C","D")))))</f>
        <v/>
      </c>
      <c r="R52" s="4" t="inlineStr"/>
    </row>
    <row r="53" ht="22" customHeight="1">
      <c r="A53" s="33">
        <f>'01_인적정보'!A13</f>
        <v/>
      </c>
      <c r="B53" s="33">
        <f>'01_인적정보'!B13</f>
        <v/>
      </c>
      <c r="C53" s="8">
        <f>'01_인적정보'!C13</f>
        <v/>
      </c>
      <c r="D53" s="16">
        <f>'01_인적정보'!H13</f>
        <v/>
      </c>
      <c r="E53" s="20">
        <f>'07b_하반기입력'!N13</f>
        <v/>
      </c>
      <c r="F53" s="20">
        <f>'07b_하반기입력'!O13</f>
        <v/>
      </c>
      <c r="G53" s="20">
        <f>'07b_하반기입력'!P13</f>
        <v/>
      </c>
      <c r="H53" s="20">
        <f>'07b_하반기입력'!Q13</f>
        <v/>
      </c>
      <c r="I53" s="20">
        <f>'07b_하반기입력'!R13</f>
        <v/>
      </c>
      <c r="J53" s="20">
        <f>'07b_하반기입력'!S13</f>
        <v/>
      </c>
      <c r="K53" s="20">
        <f>'07b_하반기입력'!T13</f>
        <v/>
      </c>
      <c r="L53" s="20">
        <f>'07b_하반기입력'!U13</f>
        <v/>
      </c>
      <c r="M53" s="20">
        <f>'07b_하반기입력'!V13</f>
        <v/>
      </c>
      <c r="N53" s="20">
        <f>'07b_하반기입력'!W13</f>
        <v/>
      </c>
      <c r="O53" s="20">
        <f>'07b_하반기입력'!X13</f>
        <v/>
      </c>
      <c r="P53" s="56">
        <f>IFERROR(IF(COUNTBLANK(E53:O53)&gt;0,"",0.15*IF(E53="S",5,IF(E53="A",4,IF(E53="B",3,IF(E53="C",2,IF(E53="D",1,0)))))+0.1*IF(F53="S",5,IF(F53="A",4,IF(F53="B",3,IF(F53="C",2,IF(F53="D",1,0)))))+0.1*IF(G53="S",5,IF(G53="A",4,IF(G53="B",3,IF(G53="C",2,IF(G53="D",1,0)))))+0.1*IF(H53="S",5,IF(H53="A",4,IF(H53="B",3,IF(H53="C",2,IF(H53="D",1,0)))))+0.1*IF(I53="S",5,IF(I53="A",4,IF(I53="B",3,IF(I53="C",2,IF(I53="D",1,0)))))+0.1*IF(J53="S",5,IF(J53="A",4,IF(J53="B",3,IF(J53="C",2,IF(J53="D",1,0)))))+0.1*IF(K53="S",5,IF(K53="A",4,IF(K53="B",3,IF(K53="C",2,IF(K53="D",1,0)))))+0.1*IF(L53="S",5,IF(L53="A",4,IF(L53="B",3,IF(L53="C",2,IF(L53="D",1,0)))))+0.05*IF(M53="S",5,IF(M53="A",4,IF(M53="B",3,IF(M53="C",2,IF(M53="D",1,0)))))+0.05*IF(N53="S",5,IF(N53="A",4,IF(N53="B",3,IF(N53="C",2,IF(N53="D",1,0)))))+0.05*IF(O53="S",5,IF(O53="A",4,IF(O53="B",3,IF(O53="C",2,IF(O53="D",1,0)))))),"")</f>
        <v/>
      </c>
      <c r="Q53" s="57">
        <f>IF(P53="","",IF(P53&gt;=4.5,"S",IF(P53&gt;=3.5,"A",IF(P53&gt;=2.5,"B",IF(P53&gt;=1.5,"C","D")))))</f>
        <v/>
      </c>
      <c r="R53" s="4" t="inlineStr"/>
    </row>
    <row r="54" ht="22" customHeight="1">
      <c r="A54" s="33">
        <f>'01_인적정보'!A14</f>
        <v/>
      </c>
      <c r="B54" s="33">
        <f>'01_인적정보'!B14</f>
        <v/>
      </c>
      <c r="C54" s="8">
        <f>'01_인적정보'!C14</f>
        <v/>
      </c>
      <c r="D54" s="16">
        <f>'01_인적정보'!H14</f>
        <v/>
      </c>
      <c r="E54" s="20">
        <f>'07b_하반기입력'!N14</f>
        <v/>
      </c>
      <c r="F54" s="20">
        <f>'07b_하반기입력'!O14</f>
        <v/>
      </c>
      <c r="G54" s="20">
        <f>'07b_하반기입력'!P14</f>
        <v/>
      </c>
      <c r="H54" s="20">
        <f>'07b_하반기입력'!Q14</f>
        <v/>
      </c>
      <c r="I54" s="20">
        <f>'07b_하반기입력'!R14</f>
        <v/>
      </c>
      <c r="J54" s="20">
        <f>'07b_하반기입력'!S14</f>
        <v/>
      </c>
      <c r="K54" s="20">
        <f>'07b_하반기입력'!T14</f>
        <v/>
      </c>
      <c r="L54" s="20">
        <f>'07b_하반기입력'!U14</f>
        <v/>
      </c>
      <c r="M54" s="20">
        <f>'07b_하반기입력'!V14</f>
        <v/>
      </c>
      <c r="N54" s="20">
        <f>'07b_하반기입력'!W14</f>
        <v/>
      </c>
      <c r="O54" s="20">
        <f>'07b_하반기입력'!X14</f>
        <v/>
      </c>
      <c r="P54" s="56">
        <f>IFERROR(IF(COUNTBLANK(E54:O54)&gt;0,"",0.15*IF(E54="S",5,IF(E54="A",4,IF(E54="B",3,IF(E54="C",2,IF(E54="D",1,0)))))+0.1*IF(F54="S",5,IF(F54="A",4,IF(F54="B",3,IF(F54="C",2,IF(F54="D",1,0)))))+0.1*IF(G54="S",5,IF(G54="A",4,IF(G54="B",3,IF(G54="C",2,IF(G54="D",1,0)))))+0.1*IF(H54="S",5,IF(H54="A",4,IF(H54="B",3,IF(H54="C",2,IF(H54="D",1,0)))))+0.1*IF(I54="S",5,IF(I54="A",4,IF(I54="B",3,IF(I54="C",2,IF(I54="D",1,0)))))+0.1*IF(J54="S",5,IF(J54="A",4,IF(J54="B",3,IF(J54="C",2,IF(J54="D",1,0)))))+0.1*IF(K54="S",5,IF(K54="A",4,IF(K54="B",3,IF(K54="C",2,IF(K54="D",1,0)))))+0.1*IF(L54="S",5,IF(L54="A",4,IF(L54="B",3,IF(L54="C",2,IF(L54="D",1,0)))))+0.05*IF(M54="S",5,IF(M54="A",4,IF(M54="B",3,IF(M54="C",2,IF(M54="D",1,0)))))+0.05*IF(N54="S",5,IF(N54="A",4,IF(N54="B",3,IF(N54="C",2,IF(N54="D",1,0)))))+0.05*IF(O54="S",5,IF(O54="A",4,IF(O54="B",3,IF(O54="C",2,IF(O54="D",1,0)))))),"")</f>
        <v/>
      </c>
      <c r="Q54" s="57">
        <f>IF(P54="","",IF(P54&gt;=4.5,"S",IF(P54&gt;=3.5,"A",IF(P54&gt;=2.5,"B",IF(P54&gt;=1.5,"C","D")))))</f>
        <v/>
      </c>
      <c r="R54" s="4" t="inlineStr"/>
    </row>
    <row r="55" ht="22" customHeight="1">
      <c r="A55" s="33">
        <f>'01_인적정보'!A15</f>
        <v/>
      </c>
      <c r="B55" s="33">
        <f>'01_인적정보'!B15</f>
        <v/>
      </c>
      <c r="C55" s="8">
        <f>'01_인적정보'!C15</f>
        <v/>
      </c>
      <c r="D55" s="16">
        <f>'01_인적정보'!H15</f>
        <v/>
      </c>
      <c r="E55" s="20">
        <f>'07b_하반기입력'!N15</f>
        <v/>
      </c>
      <c r="F55" s="20">
        <f>'07b_하반기입력'!O15</f>
        <v/>
      </c>
      <c r="G55" s="20">
        <f>'07b_하반기입력'!P15</f>
        <v/>
      </c>
      <c r="H55" s="20">
        <f>'07b_하반기입력'!Q15</f>
        <v/>
      </c>
      <c r="I55" s="20">
        <f>'07b_하반기입력'!R15</f>
        <v/>
      </c>
      <c r="J55" s="20">
        <f>'07b_하반기입력'!S15</f>
        <v/>
      </c>
      <c r="K55" s="20">
        <f>'07b_하반기입력'!T15</f>
        <v/>
      </c>
      <c r="L55" s="20">
        <f>'07b_하반기입력'!U15</f>
        <v/>
      </c>
      <c r="M55" s="20">
        <f>'07b_하반기입력'!V15</f>
        <v/>
      </c>
      <c r="N55" s="20">
        <f>'07b_하반기입력'!W15</f>
        <v/>
      </c>
      <c r="O55" s="20">
        <f>'07b_하반기입력'!X15</f>
        <v/>
      </c>
      <c r="P55" s="56">
        <f>IFERROR(IF(COUNTBLANK(E55:O55)&gt;0,"",0.15*IF(E55="S",5,IF(E55="A",4,IF(E55="B",3,IF(E55="C",2,IF(E55="D",1,0)))))+0.1*IF(F55="S",5,IF(F55="A",4,IF(F55="B",3,IF(F55="C",2,IF(F55="D",1,0)))))+0.1*IF(G55="S",5,IF(G55="A",4,IF(G55="B",3,IF(G55="C",2,IF(G55="D",1,0)))))+0.1*IF(H55="S",5,IF(H55="A",4,IF(H55="B",3,IF(H55="C",2,IF(H55="D",1,0)))))+0.1*IF(I55="S",5,IF(I55="A",4,IF(I55="B",3,IF(I55="C",2,IF(I55="D",1,0)))))+0.1*IF(J55="S",5,IF(J55="A",4,IF(J55="B",3,IF(J55="C",2,IF(J55="D",1,0)))))+0.1*IF(K55="S",5,IF(K55="A",4,IF(K55="B",3,IF(K55="C",2,IF(K55="D",1,0)))))+0.1*IF(L55="S",5,IF(L55="A",4,IF(L55="B",3,IF(L55="C",2,IF(L55="D",1,0)))))+0.05*IF(M55="S",5,IF(M55="A",4,IF(M55="B",3,IF(M55="C",2,IF(M55="D",1,0)))))+0.05*IF(N55="S",5,IF(N55="A",4,IF(N55="B",3,IF(N55="C",2,IF(N55="D",1,0)))))+0.05*IF(O55="S",5,IF(O55="A",4,IF(O55="B",3,IF(O55="C",2,IF(O55="D",1,0)))))),"")</f>
        <v/>
      </c>
      <c r="Q55" s="57">
        <f>IF(P55="","",IF(P55&gt;=4.5,"S",IF(P55&gt;=3.5,"A",IF(P55&gt;=2.5,"B",IF(P55&gt;=1.5,"C","D")))))</f>
        <v/>
      </c>
      <c r="R55" s="4" t="inlineStr"/>
    </row>
    <row r="56" ht="22" customHeight="1">
      <c r="A56" s="33">
        <f>'01_인적정보'!A16</f>
        <v/>
      </c>
      <c r="B56" s="33">
        <f>'01_인적정보'!B16</f>
        <v/>
      </c>
      <c r="C56" s="8">
        <f>'01_인적정보'!C16</f>
        <v/>
      </c>
      <c r="D56" s="16">
        <f>'01_인적정보'!H16</f>
        <v/>
      </c>
      <c r="E56" s="20">
        <f>'07b_하반기입력'!N16</f>
        <v/>
      </c>
      <c r="F56" s="20">
        <f>'07b_하반기입력'!O16</f>
        <v/>
      </c>
      <c r="G56" s="20">
        <f>'07b_하반기입력'!P16</f>
        <v/>
      </c>
      <c r="H56" s="20">
        <f>'07b_하반기입력'!Q16</f>
        <v/>
      </c>
      <c r="I56" s="20">
        <f>'07b_하반기입력'!R16</f>
        <v/>
      </c>
      <c r="J56" s="20">
        <f>'07b_하반기입력'!S16</f>
        <v/>
      </c>
      <c r="K56" s="20">
        <f>'07b_하반기입력'!T16</f>
        <v/>
      </c>
      <c r="L56" s="20">
        <f>'07b_하반기입력'!U16</f>
        <v/>
      </c>
      <c r="M56" s="20">
        <f>'07b_하반기입력'!V16</f>
        <v/>
      </c>
      <c r="N56" s="20">
        <f>'07b_하반기입력'!W16</f>
        <v/>
      </c>
      <c r="O56" s="20">
        <f>'07b_하반기입력'!X16</f>
        <v/>
      </c>
      <c r="P56" s="56">
        <f>IFERROR(IF(COUNTBLANK(E56:O56)&gt;0,"",0.15*IF(E56="S",5,IF(E56="A",4,IF(E56="B",3,IF(E56="C",2,IF(E56="D",1,0)))))+0.1*IF(F56="S",5,IF(F56="A",4,IF(F56="B",3,IF(F56="C",2,IF(F56="D",1,0)))))+0.1*IF(G56="S",5,IF(G56="A",4,IF(G56="B",3,IF(G56="C",2,IF(G56="D",1,0)))))+0.1*IF(H56="S",5,IF(H56="A",4,IF(H56="B",3,IF(H56="C",2,IF(H56="D",1,0)))))+0.1*IF(I56="S",5,IF(I56="A",4,IF(I56="B",3,IF(I56="C",2,IF(I56="D",1,0)))))+0.1*IF(J56="S",5,IF(J56="A",4,IF(J56="B",3,IF(J56="C",2,IF(J56="D",1,0)))))+0.1*IF(K56="S",5,IF(K56="A",4,IF(K56="B",3,IF(K56="C",2,IF(K56="D",1,0)))))+0.1*IF(L56="S",5,IF(L56="A",4,IF(L56="B",3,IF(L56="C",2,IF(L56="D",1,0)))))+0.05*IF(M56="S",5,IF(M56="A",4,IF(M56="B",3,IF(M56="C",2,IF(M56="D",1,0)))))+0.05*IF(N56="S",5,IF(N56="A",4,IF(N56="B",3,IF(N56="C",2,IF(N56="D",1,0)))))+0.05*IF(O56="S",5,IF(O56="A",4,IF(O56="B",3,IF(O56="C",2,IF(O56="D",1,0)))))),"")</f>
        <v/>
      </c>
      <c r="Q56" s="57">
        <f>IF(P56="","",IF(P56&gt;=4.5,"S",IF(P56&gt;=3.5,"A",IF(P56&gt;=2.5,"B",IF(P56&gt;=1.5,"C","D")))))</f>
        <v/>
      </c>
      <c r="R56" s="4" t="inlineStr"/>
    </row>
    <row r="57" ht="22" customHeight="1">
      <c r="A57" s="33">
        <f>'01_인적정보'!A17</f>
        <v/>
      </c>
      <c r="B57" s="33">
        <f>'01_인적정보'!B17</f>
        <v/>
      </c>
      <c r="C57" s="8">
        <f>'01_인적정보'!C17</f>
        <v/>
      </c>
      <c r="D57" s="16">
        <f>'01_인적정보'!H17</f>
        <v/>
      </c>
      <c r="E57" s="20">
        <f>'07b_하반기입력'!N17</f>
        <v/>
      </c>
      <c r="F57" s="20">
        <f>'07b_하반기입력'!O17</f>
        <v/>
      </c>
      <c r="G57" s="20">
        <f>'07b_하반기입력'!P17</f>
        <v/>
      </c>
      <c r="H57" s="20">
        <f>'07b_하반기입력'!Q17</f>
        <v/>
      </c>
      <c r="I57" s="20">
        <f>'07b_하반기입력'!R17</f>
        <v/>
      </c>
      <c r="J57" s="20">
        <f>'07b_하반기입력'!S17</f>
        <v/>
      </c>
      <c r="K57" s="20">
        <f>'07b_하반기입력'!T17</f>
        <v/>
      </c>
      <c r="L57" s="20">
        <f>'07b_하반기입력'!U17</f>
        <v/>
      </c>
      <c r="M57" s="20">
        <f>'07b_하반기입력'!V17</f>
        <v/>
      </c>
      <c r="N57" s="20">
        <f>'07b_하반기입력'!W17</f>
        <v/>
      </c>
      <c r="O57" s="20">
        <f>'07b_하반기입력'!X17</f>
        <v/>
      </c>
      <c r="P57" s="56">
        <f>IFERROR(IF(COUNTBLANK(E57:O57)&gt;0,"",0.15*IF(E57="S",5,IF(E57="A",4,IF(E57="B",3,IF(E57="C",2,IF(E57="D",1,0)))))+0.1*IF(F57="S",5,IF(F57="A",4,IF(F57="B",3,IF(F57="C",2,IF(F57="D",1,0)))))+0.1*IF(G57="S",5,IF(G57="A",4,IF(G57="B",3,IF(G57="C",2,IF(G57="D",1,0)))))+0.1*IF(H57="S",5,IF(H57="A",4,IF(H57="B",3,IF(H57="C",2,IF(H57="D",1,0)))))+0.1*IF(I57="S",5,IF(I57="A",4,IF(I57="B",3,IF(I57="C",2,IF(I57="D",1,0)))))+0.1*IF(J57="S",5,IF(J57="A",4,IF(J57="B",3,IF(J57="C",2,IF(J57="D",1,0)))))+0.1*IF(K57="S",5,IF(K57="A",4,IF(K57="B",3,IF(K57="C",2,IF(K57="D",1,0)))))+0.1*IF(L57="S",5,IF(L57="A",4,IF(L57="B",3,IF(L57="C",2,IF(L57="D",1,0)))))+0.05*IF(M57="S",5,IF(M57="A",4,IF(M57="B",3,IF(M57="C",2,IF(M57="D",1,0)))))+0.05*IF(N57="S",5,IF(N57="A",4,IF(N57="B",3,IF(N57="C",2,IF(N57="D",1,0)))))+0.05*IF(O57="S",5,IF(O57="A",4,IF(O57="B",3,IF(O57="C",2,IF(O57="D",1,0)))))),"")</f>
        <v/>
      </c>
      <c r="Q57" s="57">
        <f>IF(P57="","",IF(P57&gt;=4.5,"S",IF(P57&gt;=3.5,"A",IF(P57&gt;=2.5,"B",IF(P57&gt;=1.5,"C","D")))))</f>
        <v/>
      </c>
      <c r="R57" s="4" t="inlineStr"/>
    </row>
    <row r="58" ht="22" customHeight="1">
      <c r="A58" s="33">
        <f>'01_인적정보'!A18</f>
        <v/>
      </c>
      <c r="B58" s="33">
        <f>'01_인적정보'!B18</f>
        <v/>
      </c>
      <c r="C58" s="8">
        <f>'01_인적정보'!C18</f>
        <v/>
      </c>
      <c r="D58" s="16">
        <f>'01_인적정보'!H18</f>
        <v/>
      </c>
      <c r="E58" s="20">
        <f>'07b_하반기입력'!N18</f>
        <v/>
      </c>
      <c r="F58" s="20">
        <f>'07b_하반기입력'!O18</f>
        <v/>
      </c>
      <c r="G58" s="20">
        <f>'07b_하반기입력'!P18</f>
        <v/>
      </c>
      <c r="H58" s="20">
        <f>'07b_하반기입력'!Q18</f>
        <v/>
      </c>
      <c r="I58" s="20">
        <f>'07b_하반기입력'!R18</f>
        <v/>
      </c>
      <c r="J58" s="20">
        <f>'07b_하반기입력'!S18</f>
        <v/>
      </c>
      <c r="K58" s="20">
        <f>'07b_하반기입력'!T18</f>
        <v/>
      </c>
      <c r="L58" s="20">
        <f>'07b_하반기입력'!U18</f>
        <v/>
      </c>
      <c r="M58" s="20">
        <f>'07b_하반기입력'!V18</f>
        <v/>
      </c>
      <c r="N58" s="20">
        <f>'07b_하반기입력'!W18</f>
        <v/>
      </c>
      <c r="O58" s="20">
        <f>'07b_하반기입력'!X18</f>
        <v/>
      </c>
      <c r="P58" s="56">
        <f>IFERROR(IF(COUNTBLANK(E58:O58)&gt;0,"",0.15*IF(E58="S",5,IF(E58="A",4,IF(E58="B",3,IF(E58="C",2,IF(E58="D",1,0)))))+0.1*IF(F58="S",5,IF(F58="A",4,IF(F58="B",3,IF(F58="C",2,IF(F58="D",1,0)))))+0.1*IF(G58="S",5,IF(G58="A",4,IF(G58="B",3,IF(G58="C",2,IF(G58="D",1,0)))))+0.1*IF(H58="S",5,IF(H58="A",4,IF(H58="B",3,IF(H58="C",2,IF(H58="D",1,0)))))+0.1*IF(I58="S",5,IF(I58="A",4,IF(I58="B",3,IF(I58="C",2,IF(I58="D",1,0)))))+0.1*IF(J58="S",5,IF(J58="A",4,IF(J58="B",3,IF(J58="C",2,IF(J58="D",1,0)))))+0.1*IF(K58="S",5,IF(K58="A",4,IF(K58="B",3,IF(K58="C",2,IF(K58="D",1,0)))))+0.1*IF(L58="S",5,IF(L58="A",4,IF(L58="B",3,IF(L58="C",2,IF(L58="D",1,0)))))+0.05*IF(M58="S",5,IF(M58="A",4,IF(M58="B",3,IF(M58="C",2,IF(M58="D",1,0)))))+0.05*IF(N58="S",5,IF(N58="A",4,IF(N58="B",3,IF(N58="C",2,IF(N58="D",1,0)))))+0.05*IF(O58="S",5,IF(O58="A",4,IF(O58="B",3,IF(O58="C",2,IF(O58="D",1,0)))))),"")</f>
        <v/>
      </c>
      <c r="Q58" s="57">
        <f>IF(P58="","",IF(P58&gt;=4.5,"S",IF(P58&gt;=3.5,"A",IF(P58&gt;=2.5,"B",IF(P58&gt;=1.5,"C","D")))))</f>
        <v/>
      </c>
      <c r="R58" s="4" t="inlineStr"/>
    </row>
    <row r="59" ht="22" customHeight="1">
      <c r="A59" s="33">
        <f>'01_인적정보'!A19</f>
        <v/>
      </c>
      <c r="B59" s="33">
        <f>'01_인적정보'!B19</f>
        <v/>
      </c>
      <c r="C59" s="8">
        <f>'01_인적정보'!C19</f>
        <v/>
      </c>
      <c r="D59" s="16">
        <f>'01_인적정보'!H19</f>
        <v/>
      </c>
      <c r="E59" s="20">
        <f>'07b_하반기입력'!N19</f>
        <v/>
      </c>
      <c r="F59" s="20">
        <f>'07b_하반기입력'!O19</f>
        <v/>
      </c>
      <c r="G59" s="20">
        <f>'07b_하반기입력'!P19</f>
        <v/>
      </c>
      <c r="H59" s="20">
        <f>'07b_하반기입력'!Q19</f>
        <v/>
      </c>
      <c r="I59" s="20">
        <f>'07b_하반기입력'!R19</f>
        <v/>
      </c>
      <c r="J59" s="20">
        <f>'07b_하반기입력'!S19</f>
        <v/>
      </c>
      <c r="K59" s="20">
        <f>'07b_하반기입력'!T19</f>
        <v/>
      </c>
      <c r="L59" s="20">
        <f>'07b_하반기입력'!U19</f>
        <v/>
      </c>
      <c r="M59" s="20">
        <f>'07b_하반기입력'!V19</f>
        <v/>
      </c>
      <c r="N59" s="20">
        <f>'07b_하반기입력'!W19</f>
        <v/>
      </c>
      <c r="O59" s="20">
        <f>'07b_하반기입력'!X19</f>
        <v/>
      </c>
      <c r="P59" s="56">
        <f>IFERROR(IF(COUNTBLANK(E59:O59)&gt;0,"",0.15*IF(E59="S",5,IF(E59="A",4,IF(E59="B",3,IF(E59="C",2,IF(E59="D",1,0)))))+0.1*IF(F59="S",5,IF(F59="A",4,IF(F59="B",3,IF(F59="C",2,IF(F59="D",1,0)))))+0.1*IF(G59="S",5,IF(G59="A",4,IF(G59="B",3,IF(G59="C",2,IF(G59="D",1,0)))))+0.1*IF(H59="S",5,IF(H59="A",4,IF(H59="B",3,IF(H59="C",2,IF(H59="D",1,0)))))+0.1*IF(I59="S",5,IF(I59="A",4,IF(I59="B",3,IF(I59="C",2,IF(I59="D",1,0)))))+0.1*IF(J59="S",5,IF(J59="A",4,IF(J59="B",3,IF(J59="C",2,IF(J59="D",1,0)))))+0.1*IF(K59="S",5,IF(K59="A",4,IF(K59="B",3,IF(K59="C",2,IF(K59="D",1,0)))))+0.1*IF(L59="S",5,IF(L59="A",4,IF(L59="B",3,IF(L59="C",2,IF(L59="D",1,0)))))+0.05*IF(M59="S",5,IF(M59="A",4,IF(M59="B",3,IF(M59="C",2,IF(M59="D",1,0)))))+0.05*IF(N59="S",5,IF(N59="A",4,IF(N59="B",3,IF(N59="C",2,IF(N59="D",1,0)))))+0.05*IF(O59="S",5,IF(O59="A",4,IF(O59="B",3,IF(O59="C",2,IF(O59="D",1,0)))))),"")</f>
        <v/>
      </c>
      <c r="Q59" s="57">
        <f>IF(P59="","",IF(P59&gt;=4.5,"S",IF(P59&gt;=3.5,"A",IF(P59&gt;=2.5,"B",IF(P59&gt;=1.5,"C","D")))))</f>
        <v/>
      </c>
      <c r="R59" s="4" t="inlineStr"/>
    </row>
    <row r="60" ht="22" customHeight="1">
      <c r="A60" s="33">
        <f>'01_인적정보'!A20</f>
        <v/>
      </c>
      <c r="B60" s="33">
        <f>'01_인적정보'!B20</f>
        <v/>
      </c>
      <c r="C60" s="8">
        <f>'01_인적정보'!C20</f>
        <v/>
      </c>
      <c r="D60" s="16">
        <f>'01_인적정보'!H20</f>
        <v/>
      </c>
      <c r="E60" s="20">
        <f>'07b_하반기입력'!N20</f>
        <v/>
      </c>
      <c r="F60" s="20">
        <f>'07b_하반기입력'!O20</f>
        <v/>
      </c>
      <c r="G60" s="20">
        <f>'07b_하반기입력'!P20</f>
        <v/>
      </c>
      <c r="H60" s="20">
        <f>'07b_하반기입력'!Q20</f>
        <v/>
      </c>
      <c r="I60" s="20">
        <f>'07b_하반기입력'!R20</f>
        <v/>
      </c>
      <c r="J60" s="20">
        <f>'07b_하반기입력'!S20</f>
        <v/>
      </c>
      <c r="K60" s="20">
        <f>'07b_하반기입력'!T20</f>
        <v/>
      </c>
      <c r="L60" s="20">
        <f>'07b_하반기입력'!U20</f>
        <v/>
      </c>
      <c r="M60" s="20">
        <f>'07b_하반기입력'!V20</f>
        <v/>
      </c>
      <c r="N60" s="20">
        <f>'07b_하반기입력'!W20</f>
        <v/>
      </c>
      <c r="O60" s="20">
        <f>'07b_하반기입력'!X20</f>
        <v/>
      </c>
      <c r="P60" s="56">
        <f>IFERROR(IF(COUNTBLANK(E60:O60)&gt;0,"",0.15*IF(E60="S",5,IF(E60="A",4,IF(E60="B",3,IF(E60="C",2,IF(E60="D",1,0)))))+0.1*IF(F60="S",5,IF(F60="A",4,IF(F60="B",3,IF(F60="C",2,IF(F60="D",1,0)))))+0.1*IF(G60="S",5,IF(G60="A",4,IF(G60="B",3,IF(G60="C",2,IF(G60="D",1,0)))))+0.1*IF(H60="S",5,IF(H60="A",4,IF(H60="B",3,IF(H60="C",2,IF(H60="D",1,0)))))+0.1*IF(I60="S",5,IF(I60="A",4,IF(I60="B",3,IF(I60="C",2,IF(I60="D",1,0)))))+0.1*IF(J60="S",5,IF(J60="A",4,IF(J60="B",3,IF(J60="C",2,IF(J60="D",1,0)))))+0.1*IF(K60="S",5,IF(K60="A",4,IF(K60="B",3,IF(K60="C",2,IF(K60="D",1,0)))))+0.1*IF(L60="S",5,IF(L60="A",4,IF(L60="B",3,IF(L60="C",2,IF(L60="D",1,0)))))+0.05*IF(M60="S",5,IF(M60="A",4,IF(M60="B",3,IF(M60="C",2,IF(M60="D",1,0)))))+0.05*IF(N60="S",5,IF(N60="A",4,IF(N60="B",3,IF(N60="C",2,IF(N60="D",1,0)))))+0.05*IF(O60="S",5,IF(O60="A",4,IF(O60="B",3,IF(O60="C",2,IF(O60="D",1,0)))))),"")</f>
        <v/>
      </c>
      <c r="Q60" s="57">
        <f>IF(P60="","",IF(P60&gt;=4.5,"S",IF(P60&gt;=3.5,"A",IF(P60&gt;=2.5,"B",IF(P60&gt;=1.5,"C","D")))))</f>
        <v/>
      </c>
      <c r="R60" s="4" t="inlineStr"/>
    </row>
    <row r="61" ht="22" customHeight="1">
      <c r="A61" s="33">
        <f>'01_인적정보'!A21</f>
        <v/>
      </c>
      <c r="B61" s="33">
        <f>'01_인적정보'!B21</f>
        <v/>
      </c>
      <c r="C61" s="8">
        <f>'01_인적정보'!C21</f>
        <v/>
      </c>
      <c r="D61" s="16">
        <f>'01_인적정보'!H21</f>
        <v/>
      </c>
      <c r="E61" s="20">
        <f>'07b_하반기입력'!N21</f>
        <v/>
      </c>
      <c r="F61" s="20">
        <f>'07b_하반기입력'!O21</f>
        <v/>
      </c>
      <c r="G61" s="20">
        <f>'07b_하반기입력'!P21</f>
        <v/>
      </c>
      <c r="H61" s="20">
        <f>'07b_하반기입력'!Q21</f>
        <v/>
      </c>
      <c r="I61" s="20">
        <f>'07b_하반기입력'!R21</f>
        <v/>
      </c>
      <c r="J61" s="20">
        <f>'07b_하반기입력'!S21</f>
        <v/>
      </c>
      <c r="K61" s="20">
        <f>'07b_하반기입력'!T21</f>
        <v/>
      </c>
      <c r="L61" s="20">
        <f>'07b_하반기입력'!U21</f>
        <v/>
      </c>
      <c r="M61" s="20">
        <f>'07b_하반기입력'!V21</f>
        <v/>
      </c>
      <c r="N61" s="20">
        <f>'07b_하반기입력'!W21</f>
        <v/>
      </c>
      <c r="O61" s="20">
        <f>'07b_하반기입력'!X21</f>
        <v/>
      </c>
      <c r="P61" s="56">
        <f>IFERROR(IF(COUNTBLANK(E61:O61)&gt;0,"",0.15*IF(E61="S",5,IF(E61="A",4,IF(E61="B",3,IF(E61="C",2,IF(E61="D",1,0)))))+0.1*IF(F61="S",5,IF(F61="A",4,IF(F61="B",3,IF(F61="C",2,IF(F61="D",1,0)))))+0.1*IF(G61="S",5,IF(G61="A",4,IF(G61="B",3,IF(G61="C",2,IF(G61="D",1,0)))))+0.1*IF(H61="S",5,IF(H61="A",4,IF(H61="B",3,IF(H61="C",2,IF(H61="D",1,0)))))+0.1*IF(I61="S",5,IF(I61="A",4,IF(I61="B",3,IF(I61="C",2,IF(I61="D",1,0)))))+0.1*IF(J61="S",5,IF(J61="A",4,IF(J61="B",3,IF(J61="C",2,IF(J61="D",1,0)))))+0.1*IF(K61="S",5,IF(K61="A",4,IF(K61="B",3,IF(K61="C",2,IF(K61="D",1,0)))))+0.1*IF(L61="S",5,IF(L61="A",4,IF(L61="B",3,IF(L61="C",2,IF(L61="D",1,0)))))+0.05*IF(M61="S",5,IF(M61="A",4,IF(M61="B",3,IF(M61="C",2,IF(M61="D",1,0)))))+0.05*IF(N61="S",5,IF(N61="A",4,IF(N61="B",3,IF(N61="C",2,IF(N61="D",1,0)))))+0.05*IF(O61="S",5,IF(O61="A",4,IF(O61="B",3,IF(O61="C",2,IF(O61="D",1,0)))))),"")</f>
        <v/>
      </c>
      <c r="Q61" s="57">
        <f>IF(P61="","",IF(P61&gt;=4.5,"S",IF(P61&gt;=3.5,"A",IF(P61&gt;=2.5,"B",IF(P61&gt;=1.5,"C","D")))))</f>
        <v/>
      </c>
      <c r="R61" s="4" t="inlineStr"/>
    </row>
    <row r="62" ht="22" customHeight="1">
      <c r="A62" s="33">
        <f>'01_인적정보'!A22</f>
        <v/>
      </c>
      <c r="B62" s="33">
        <f>'01_인적정보'!B22</f>
        <v/>
      </c>
      <c r="C62" s="8">
        <f>'01_인적정보'!C22</f>
        <v/>
      </c>
      <c r="D62" s="16">
        <f>'01_인적정보'!H22</f>
        <v/>
      </c>
      <c r="E62" s="20">
        <f>'07b_하반기입력'!N22</f>
        <v/>
      </c>
      <c r="F62" s="20">
        <f>'07b_하반기입력'!O22</f>
        <v/>
      </c>
      <c r="G62" s="20">
        <f>'07b_하반기입력'!P22</f>
        <v/>
      </c>
      <c r="H62" s="20">
        <f>'07b_하반기입력'!Q22</f>
        <v/>
      </c>
      <c r="I62" s="20">
        <f>'07b_하반기입력'!R22</f>
        <v/>
      </c>
      <c r="J62" s="20">
        <f>'07b_하반기입력'!S22</f>
        <v/>
      </c>
      <c r="K62" s="20">
        <f>'07b_하반기입력'!T22</f>
        <v/>
      </c>
      <c r="L62" s="20">
        <f>'07b_하반기입력'!U22</f>
        <v/>
      </c>
      <c r="M62" s="20">
        <f>'07b_하반기입력'!V22</f>
        <v/>
      </c>
      <c r="N62" s="20">
        <f>'07b_하반기입력'!W22</f>
        <v/>
      </c>
      <c r="O62" s="20">
        <f>'07b_하반기입력'!X22</f>
        <v/>
      </c>
      <c r="P62" s="56">
        <f>IFERROR(IF(COUNTBLANK(E62:O62)&gt;0,"",0.15*IF(E62="S",5,IF(E62="A",4,IF(E62="B",3,IF(E62="C",2,IF(E62="D",1,0)))))+0.1*IF(F62="S",5,IF(F62="A",4,IF(F62="B",3,IF(F62="C",2,IF(F62="D",1,0)))))+0.1*IF(G62="S",5,IF(G62="A",4,IF(G62="B",3,IF(G62="C",2,IF(G62="D",1,0)))))+0.1*IF(H62="S",5,IF(H62="A",4,IF(H62="B",3,IF(H62="C",2,IF(H62="D",1,0)))))+0.1*IF(I62="S",5,IF(I62="A",4,IF(I62="B",3,IF(I62="C",2,IF(I62="D",1,0)))))+0.1*IF(J62="S",5,IF(J62="A",4,IF(J62="B",3,IF(J62="C",2,IF(J62="D",1,0)))))+0.1*IF(K62="S",5,IF(K62="A",4,IF(K62="B",3,IF(K62="C",2,IF(K62="D",1,0)))))+0.1*IF(L62="S",5,IF(L62="A",4,IF(L62="B",3,IF(L62="C",2,IF(L62="D",1,0)))))+0.05*IF(M62="S",5,IF(M62="A",4,IF(M62="B",3,IF(M62="C",2,IF(M62="D",1,0)))))+0.05*IF(N62="S",5,IF(N62="A",4,IF(N62="B",3,IF(N62="C",2,IF(N62="D",1,0)))))+0.05*IF(O62="S",5,IF(O62="A",4,IF(O62="B",3,IF(O62="C",2,IF(O62="D",1,0)))))),"")</f>
        <v/>
      </c>
      <c r="Q62" s="57">
        <f>IF(P62="","",IF(P62&gt;=4.5,"S",IF(P62&gt;=3.5,"A",IF(P62&gt;=2.5,"B",IF(P62&gt;=1.5,"C","D")))))</f>
        <v/>
      </c>
      <c r="R62" s="4" t="inlineStr"/>
    </row>
    <row r="63" ht="22" customHeight="1">
      <c r="A63" s="33">
        <f>'01_인적정보'!A23</f>
        <v/>
      </c>
      <c r="B63" s="33">
        <f>'01_인적정보'!B23</f>
        <v/>
      </c>
      <c r="C63" s="8">
        <f>'01_인적정보'!C23</f>
        <v/>
      </c>
      <c r="D63" s="16">
        <f>'01_인적정보'!H23</f>
        <v/>
      </c>
      <c r="E63" s="20">
        <f>'07b_하반기입력'!N23</f>
        <v/>
      </c>
      <c r="F63" s="20">
        <f>'07b_하반기입력'!O23</f>
        <v/>
      </c>
      <c r="G63" s="20">
        <f>'07b_하반기입력'!P23</f>
        <v/>
      </c>
      <c r="H63" s="20">
        <f>'07b_하반기입력'!Q23</f>
        <v/>
      </c>
      <c r="I63" s="20">
        <f>'07b_하반기입력'!R23</f>
        <v/>
      </c>
      <c r="J63" s="20">
        <f>'07b_하반기입력'!S23</f>
        <v/>
      </c>
      <c r="K63" s="20">
        <f>'07b_하반기입력'!T23</f>
        <v/>
      </c>
      <c r="L63" s="20">
        <f>'07b_하반기입력'!U23</f>
        <v/>
      </c>
      <c r="M63" s="20">
        <f>'07b_하반기입력'!V23</f>
        <v/>
      </c>
      <c r="N63" s="20">
        <f>'07b_하반기입력'!W23</f>
        <v/>
      </c>
      <c r="O63" s="20">
        <f>'07b_하반기입력'!X23</f>
        <v/>
      </c>
      <c r="P63" s="56">
        <f>IFERROR(IF(COUNTBLANK(E63:O63)&gt;0,"",0.15*IF(E63="S",5,IF(E63="A",4,IF(E63="B",3,IF(E63="C",2,IF(E63="D",1,0)))))+0.1*IF(F63="S",5,IF(F63="A",4,IF(F63="B",3,IF(F63="C",2,IF(F63="D",1,0)))))+0.1*IF(G63="S",5,IF(G63="A",4,IF(G63="B",3,IF(G63="C",2,IF(G63="D",1,0)))))+0.1*IF(H63="S",5,IF(H63="A",4,IF(H63="B",3,IF(H63="C",2,IF(H63="D",1,0)))))+0.1*IF(I63="S",5,IF(I63="A",4,IF(I63="B",3,IF(I63="C",2,IF(I63="D",1,0)))))+0.1*IF(J63="S",5,IF(J63="A",4,IF(J63="B",3,IF(J63="C",2,IF(J63="D",1,0)))))+0.1*IF(K63="S",5,IF(K63="A",4,IF(K63="B",3,IF(K63="C",2,IF(K63="D",1,0)))))+0.1*IF(L63="S",5,IF(L63="A",4,IF(L63="B",3,IF(L63="C",2,IF(L63="D",1,0)))))+0.05*IF(M63="S",5,IF(M63="A",4,IF(M63="B",3,IF(M63="C",2,IF(M63="D",1,0)))))+0.05*IF(N63="S",5,IF(N63="A",4,IF(N63="B",3,IF(N63="C",2,IF(N63="D",1,0)))))+0.05*IF(O63="S",5,IF(O63="A",4,IF(O63="B",3,IF(O63="C",2,IF(O63="D",1,0)))))),"")</f>
        <v/>
      </c>
      <c r="Q63" s="57">
        <f>IF(P63="","",IF(P63&gt;=4.5,"S",IF(P63&gt;=3.5,"A",IF(P63&gt;=2.5,"B",IF(P63&gt;=1.5,"C","D")))))</f>
        <v/>
      </c>
      <c r="R63" s="4" t="inlineStr"/>
    </row>
    <row r="64" ht="22" customHeight="1">
      <c r="A64" s="33">
        <f>'01_인적정보'!A24</f>
        <v/>
      </c>
      <c r="B64" s="33">
        <f>'01_인적정보'!B24</f>
        <v/>
      </c>
      <c r="C64" s="8">
        <f>'01_인적정보'!C24</f>
        <v/>
      </c>
      <c r="D64" s="16">
        <f>'01_인적정보'!H24</f>
        <v/>
      </c>
      <c r="E64" s="20">
        <f>'07b_하반기입력'!N24</f>
        <v/>
      </c>
      <c r="F64" s="20">
        <f>'07b_하반기입력'!O24</f>
        <v/>
      </c>
      <c r="G64" s="20">
        <f>'07b_하반기입력'!P24</f>
        <v/>
      </c>
      <c r="H64" s="20">
        <f>'07b_하반기입력'!Q24</f>
        <v/>
      </c>
      <c r="I64" s="20">
        <f>'07b_하반기입력'!R24</f>
        <v/>
      </c>
      <c r="J64" s="20">
        <f>'07b_하반기입력'!S24</f>
        <v/>
      </c>
      <c r="K64" s="20">
        <f>'07b_하반기입력'!T24</f>
        <v/>
      </c>
      <c r="L64" s="20">
        <f>'07b_하반기입력'!U24</f>
        <v/>
      </c>
      <c r="M64" s="20">
        <f>'07b_하반기입력'!V24</f>
        <v/>
      </c>
      <c r="N64" s="20">
        <f>'07b_하반기입력'!W24</f>
        <v/>
      </c>
      <c r="O64" s="20">
        <f>'07b_하반기입력'!X24</f>
        <v/>
      </c>
      <c r="P64" s="56">
        <f>IFERROR(IF(COUNTBLANK(E64:O64)&gt;0,"",0.15*IF(E64="S",5,IF(E64="A",4,IF(E64="B",3,IF(E64="C",2,IF(E64="D",1,0)))))+0.1*IF(F64="S",5,IF(F64="A",4,IF(F64="B",3,IF(F64="C",2,IF(F64="D",1,0)))))+0.1*IF(G64="S",5,IF(G64="A",4,IF(G64="B",3,IF(G64="C",2,IF(G64="D",1,0)))))+0.1*IF(H64="S",5,IF(H64="A",4,IF(H64="B",3,IF(H64="C",2,IF(H64="D",1,0)))))+0.1*IF(I64="S",5,IF(I64="A",4,IF(I64="B",3,IF(I64="C",2,IF(I64="D",1,0)))))+0.1*IF(J64="S",5,IF(J64="A",4,IF(J64="B",3,IF(J64="C",2,IF(J64="D",1,0)))))+0.1*IF(K64="S",5,IF(K64="A",4,IF(K64="B",3,IF(K64="C",2,IF(K64="D",1,0)))))+0.1*IF(L64="S",5,IF(L64="A",4,IF(L64="B",3,IF(L64="C",2,IF(L64="D",1,0)))))+0.05*IF(M64="S",5,IF(M64="A",4,IF(M64="B",3,IF(M64="C",2,IF(M64="D",1,0)))))+0.05*IF(N64="S",5,IF(N64="A",4,IF(N64="B",3,IF(N64="C",2,IF(N64="D",1,0)))))+0.05*IF(O64="S",5,IF(O64="A",4,IF(O64="B",3,IF(O64="C",2,IF(O64="D",1,0)))))),"")</f>
        <v/>
      </c>
      <c r="Q64" s="57">
        <f>IF(P64="","",IF(P64&gt;=4.5,"S",IF(P64&gt;=3.5,"A",IF(P64&gt;=2.5,"B",IF(P64&gt;=1.5,"C","D")))))</f>
        <v/>
      </c>
      <c r="R64" s="4" t="inlineStr"/>
    </row>
    <row r="65" ht="22" customHeight="1">
      <c r="A65" s="33">
        <f>'01_인적정보'!A25</f>
        <v/>
      </c>
      <c r="B65" s="33">
        <f>'01_인적정보'!B25</f>
        <v/>
      </c>
      <c r="C65" s="8">
        <f>'01_인적정보'!C25</f>
        <v/>
      </c>
      <c r="D65" s="16">
        <f>'01_인적정보'!H25</f>
        <v/>
      </c>
      <c r="E65" s="20">
        <f>'07b_하반기입력'!N25</f>
        <v/>
      </c>
      <c r="F65" s="20">
        <f>'07b_하반기입력'!O25</f>
        <v/>
      </c>
      <c r="G65" s="20">
        <f>'07b_하반기입력'!P25</f>
        <v/>
      </c>
      <c r="H65" s="20">
        <f>'07b_하반기입력'!Q25</f>
        <v/>
      </c>
      <c r="I65" s="20">
        <f>'07b_하반기입력'!R25</f>
        <v/>
      </c>
      <c r="J65" s="20">
        <f>'07b_하반기입력'!S25</f>
        <v/>
      </c>
      <c r="K65" s="20">
        <f>'07b_하반기입력'!T25</f>
        <v/>
      </c>
      <c r="L65" s="20">
        <f>'07b_하반기입력'!U25</f>
        <v/>
      </c>
      <c r="M65" s="20">
        <f>'07b_하반기입력'!V25</f>
        <v/>
      </c>
      <c r="N65" s="20">
        <f>'07b_하반기입력'!W25</f>
        <v/>
      </c>
      <c r="O65" s="20">
        <f>'07b_하반기입력'!X25</f>
        <v/>
      </c>
      <c r="P65" s="56">
        <f>IFERROR(IF(COUNTBLANK(E65:O65)&gt;0,"",0.15*IF(E65="S",5,IF(E65="A",4,IF(E65="B",3,IF(E65="C",2,IF(E65="D",1,0)))))+0.1*IF(F65="S",5,IF(F65="A",4,IF(F65="B",3,IF(F65="C",2,IF(F65="D",1,0)))))+0.1*IF(G65="S",5,IF(G65="A",4,IF(G65="B",3,IF(G65="C",2,IF(G65="D",1,0)))))+0.1*IF(H65="S",5,IF(H65="A",4,IF(H65="B",3,IF(H65="C",2,IF(H65="D",1,0)))))+0.1*IF(I65="S",5,IF(I65="A",4,IF(I65="B",3,IF(I65="C",2,IF(I65="D",1,0)))))+0.1*IF(J65="S",5,IF(J65="A",4,IF(J65="B",3,IF(J65="C",2,IF(J65="D",1,0)))))+0.1*IF(K65="S",5,IF(K65="A",4,IF(K65="B",3,IF(K65="C",2,IF(K65="D",1,0)))))+0.1*IF(L65="S",5,IF(L65="A",4,IF(L65="B",3,IF(L65="C",2,IF(L65="D",1,0)))))+0.05*IF(M65="S",5,IF(M65="A",4,IF(M65="B",3,IF(M65="C",2,IF(M65="D",1,0)))))+0.05*IF(N65="S",5,IF(N65="A",4,IF(N65="B",3,IF(N65="C",2,IF(N65="D",1,0)))))+0.05*IF(O65="S",5,IF(O65="A",4,IF(O65="B",3,IF(O65="C",2,IF(O65="D",1,0)))))),"")</f>
        <v/>
      </c>
      <c r="Q65" s="57">
        <f>IF(P65="","",IF(P65&gt;=4.5,"S",IF(P65&gt;=3.5,"A",IF(P65&gt;=2.5,"B",IF(P65&gt;=1.5,"C","D")))))</f>
        <v/>
      </c>
      <c r="R65" s="4" t="inlineStr"/>
    </row>
    <row r="66" ht="22" customHeight="1">
      <c r="A66" s="33">
        <f>'01_인적정보'!A26</f>
        <v/>
      </c>
      <c r="B66" s="33">
        <f>'01_인적정보'!B26</f>
        <v/>
      </c>
      <c r="C66" s="8">
        <f>'01_인적정보'!C26</f>
        <v/>
      </c>
      <c r="D66" s="16">
        <f>'01_인적정보'!H26</f>
        <v/>
      </c>
      <c r="E66" s="20">
        <f>'07b_하반기입력'!N26</f>
        <v/>
      </c>
      <c r="F66" s="20">
        <f>'07b_하반기입력'!O26</f>
        <v/>
      </c>
      <c r="G66" s="20">
        <f>'07b_하반기입력'!P26</f>
        <v/>
      </c>
      <c r="H66" s="20">
        <f>'07b_하반기입력'!Q26</f>
        <v/>
      </c>
      <c r="I66" s="20">
        <f>'07b_하반기입력'!R26</f>
        <v/>
      </c>
      <c r="J66" s="20">
        <f>'07b_하반기입력'!S26</f>
        <v/>
      </c>
      <c r="K66" s="20">
        <f>'07b_하반기입력'!T26</f>
        <v/>
      </c>
      <c r="L66" s="20">
        <f>'07b_하반기입력'!U26</f>
        <v/>
      </c>
      <c r="M66" s="20">
        <f>'07b_하반기입력'!V26</f>
        <v/>
      </c>
      <c r="N66" s="20">
        <f>'07b_하반기입력'!W26</f>
        <v/>
      </c>
      <c r="O66" s="20">
        <f>'07b_하반기입력'!X26</f>
        <v/>
      </c>
      <c r="P66" s="56">
        <f>IFERROR(IF(COUNTBLANK(E66:O66)&gt;0,"",0.15*IF(E66="S",5,IF(E66="A",4,IF(E66="B",3,IF(E66="C",2,IF(E66="D",1,0)))))+0.1*IF(F66="S",5,IF(F66="A",4,IF(F66="B",3,IF(F66="C",2,IF(F66="D",1,0)))))+0.1*IF(G66="S",5,IF(G66="A",4,IF(G66="B",3,IF(G66="C",2,IF(G66="D",1,0)))))+0.1*IF(H66="S",5,IF(H66="A",4,IF(H66="B",3,IF(H66="C",2,IF(H66="D",1,0)))))+0.1*IF(I66="S",5,IF(I66="A",4,IF(I66="B",3,IF(I66="C",2,IF(I66="D",1,0)))))+0.1*IF(J66="S",5,IF(J66="A",4,IF(J66="B",3,IF(J66="C",2,IF(J66="D",1,0)))))+0.1*IF(K66="S",5,IF(K66="A",4,IF(K66="B",3,IF(K66="C",2,IF(K66="D",1,0)))))+0.1*IF(L66="S",5,IF(L66="A",4,IF(L66="B",3,IF(L66="C",2,IF(L66="D",1,0)))))+0.05*IF(M66="S",5,IF(M66="A",4,IF(M66="B",3,IF(M66="C",2,IF(M66="D",1,0)))))+0.05*IF(N66="S",5,IF(N66="A",4,IF(N66="B",3,IF(N66="C",2,IF(N66="D",1,0)))))+0.05*IF(O66="S",5,IF(O66="A",4,IF(O66="B",3,IF(O66="C",2,IF(O66="D",1,0)))))),"")</f>
        <v/>
      </c>
      <c r="Q66" s="57">
        <f>IF(P66="","",IF(P66&gt;=4.5,"S",IF(P66&gt;=3.5,"A",IF(P66&gt;=2.5,"B",IF(P66&gt;=1.5,"C","D")))))</f>
        <v/>
      </c>
      <c r="R66" s="4" t="inlineStr"/>
    </row>
    <row r="67" ht="22" customHeight="1">
      <c r="A67" s="33">
        <f>'01_인적정보'!A27</f>
        <v/>
      </c>
      <c r="B67" s="33">
        <f>'01_인적정보'!B27</f>
        <v/>
      </c>
      <c r="C67" s="8">
        <f>'01_인적정보'!C27</f>
        <v/>
      </c>
      <c r="D67" s="16">
        <f>'01_인적정보'!H27</f>
        <v/>
      </c>
      <c r="E67" s="20">
        <f>'07b_하반기입력'!N27</f>
        <v/>
      </c>
      <c r="F67" s="20">
        <f>'07b_하반기입력'!O27</f>
        <v/>
      </c>
      <c r="G67" s="20">
        <f>'07b_하반기입력'!P27</f>
        <v/>
      </c>
      <c r="H67" s="20">
        <f>'07b_하반기입력'!Q27</f>
        <v/>
      </c>
      <c r="I67" s="20">
        <f>'07b_하반기입력'!R27</f>
        <v/>
      </c>
      <c r="J67" s="20">
        <f>'07b_하반기입력'!S27</f>
        <v/>
      </c>
      <c r="K67" s="20">
        <f>'07b_하반기입력'!T27</f>
        <v/>
      </c>
      <c r="L67" s="20">
        <f>'07b_하반기입력'!U27</f>
        <v/>
      </c>
      <c r="M67" s="20">
        <f>'07b_하반기입력'!V27</f>
        <v/>
      </c>
      <c r="N67" s="20">
        <f>'07b_하반기입력'!W27</f>
        <v/>
      </c>
      <c r="O67" s="20">
        <f>'07b_하반기입력'!X27</f>
        <v/>
      </c>
      <c r="P67" s="56">
        <f>IFERROR(IF(COUNTBLANK(E67:O67)&gt;0,"",0.15*IF(E67="S",5,IF(E67="A",4,IF(E67="B",3,IF(E67="C",2,IF(E67="D",1,0)))))+0.1*IF(F67="S",5,IF(F67="A",4,IF(F67="B",3,IF(F67="C",2,IF(F67="D",1,0)))))+0.1*IF(G67="S",5,IF(G67="A",4,IF(G67="B",3,IF(G67="C",2,IF(G67="D",1,0)))))+0.1*IF(H67="S",5,IF(H67="A",4,IF(H67="B",3,IF(H67="C",2,IF(H67="D",1,0)))))+0.1*IF(I67="S",5,IF(I67="A",4,IF(I67="B",3,IF(I67="C",2,IF(I67="D",1,0)))))+0.1*IF(J67="S",5,IF(J67="A",4,IF(J67="B",3,IF(J67="C",2,IF(J67="D",1,0)))))+0.1*IF(K67="S",5,IF(K67="A",4,IF(K67="B",3,IF(K67="C",2,IF(K67="D",1,0)))))+0.1*IF(L67="S",5,IF(L67="A",4,IF(L67="B",3,IF(L67="C",2,IF(L67="D",1,0)))))+0.05*IF(M67="S",5,IF(M67="A",4,IF(M67="B",3,IF(M67="C",2,IF(M67="D",1,0)))))+0.05*IF(N67="S",5,IF(N67="A",4,IF(N67="B",3,IF(N67="C",2,IF(N67="D",1,0)))))+0.05*IF(O67="S",5,IF(O67="A",4,IF(O67="B",3,IF(O67="C",2,IF(O67="D",1,0)))))),"")</f>
        <v/>
      </c>
      <c r="Q67" s="57">
        <f>IF(P67="","",IF(P67&gt;=4.5,"S",IF(P67&gt;=3.5,"A",IF(P67&gt;=2.5,"B",IF(P67&gt;=1.5,"C","D")))))</f>
        <v/>
      </c>
      <c r="R67" s="4" t="inlineStr"/>
    </row>
    <row r="68" ht="22" customHeight="1">
      <c r="A68" s="33">
        <f>'01_인적정보'!A28</f>
        <v/>
      </c>
      <c r="B68" s="33">
        <f>'01_인적정보'!B28</f>
        <v/>
      </c>
      <c r="C68" s="8">
        <f>'01_인적정보'!C28</f>
        <v/>
      </c>
      <c r="D68" s="16">
        <f>'01_인적정보'!H28</f>
        <v/>
      </c>
      <c r="E68" s="20">
        <f>'07b_하반기입력'!N28</f>
        <v/>
      </c>
      <c r="F68" s="20">
        <f>'07b_하반기입력'!O28</f>
        <v/>
      </c>
      <c r="G68" s="20">
        <f>'07b_하반기입력'!P28</f>
        <v/>
      </c>
      <c r="H68" s="20">
        <f>'07b_하반기입력'!Q28</f>
        <v/>
      </c>
      <c r="I68" s="20">
        <f>'07b_하반기입력'!R28</f>
        <v/>
      </c>
      <c r="J68" s="20">
        <f>'07b_하반기입력'!S28</f>
        <v/>
      </c>
      <c r="K68" s="20">
        <f>'07b_하반기입력'!T28</f>
        <v/>
      </c>
      <c r="L68" s="20">
        <f>'07b_하반기입력'!U28</f>
        <v/>
      </c>
      <c r="M68" s="20">
        <f>'07b_하반기입력'!V28</f>
        <v/>
      </c>
      <c r="N68" s="20">
        <f>'07b_하반기입력'!W28</f>
        <v/>
      </c>
      <c r="O68" s="20">
        <f>'07b_하반기입력'!X28</f>
        <v/>
      </c>
      <c r="P68" s="56">
        <f>IFERROR(IF(COUNTBLANK(E68:O68)&gt;0,"",0.15*IF(E68="S",5,IF(E68="A",4,IF(E68="B",3,IF(E68="C",2,IF(E68="D",1,0)))))+0.1*IF(F68="S",5,IF(F68="A",4,IF(F68="B",3,IF(F68="C",2,IF(F68="D",1,0)))))+0.1*IF(G68="S",5,IF(G68="A",4,IF(G68="B",3,IF(G68="C",2,IF(G68="D",1,0)))))+0.1*IF(H68="S",5,IF(H68="A",4,IF(H68="B",3,IF(H68="C",2,IF(H68="D",1,0)))))+0.1*IF(I68="S",5,IF(I68="A",4,IF(I68="B",3,IF(I68="C",2,IF(I68="D",1,0)))))+0.1*IF(J68="S",5,IF(J68="A",4,IF(J68="B",3,IF(J68="C",2,IF(J68="D",1,0)))))+0.1*IF(K68="S",5,IF(K68="A",4,IF(K68="B",3,IF(K68="C",2,IF(K68="D",1,0)))))+0.1*IF(L68="S",5,IF(L68="A",4,IF(L68="B",3,IF(L68="C",2,IF(L68="D",1,0)))))+0.05*IF(M68="S",5,IF(M68="A",4,IF(M68="B",3,IF(M68="C",2,IF(M68="D",1,0)))))+0.05*IF(N68="S",5,IF(N68="A",4,IF(N68="B",3,IF(N68="C",2,IF(N68="D",1,0)))))+0.05*IF(O68="S",5,IF(O68="A",4,IF(O68="B",3,IF(O68="C",2,IF(O68="D",1,0)))))),"")</f>
        <v/>
      </c>
      <c r="Q68" s="57">
        <f>IF(P68="","",IF(P68&gt;=4.5,"S",IF(P68&gt;=3.5,"A",IF(P68&gt;=2.5,"B",IF(P68&gt;=1.5,"C","D")))))</f>
        <v/>
      </c>
      <c r="R68" s="4" t="inlineStr"/>
    </row>
    <row r="69" ht="22" customHeight="1">
      <c r="A69" s="33">
        <f>'01_인적정보'!A29</f>
        <v/>
      </c>
      <c r="B69" s="33">
        <f>'01_인적정보'!B29</f>
        <v/>
      </c>
      <c r="C69" s="8">
        <f>'01_인적정보'!C29</f>
        <v/>
      </c>
      <c r="D69" s="16">
        <f>'01_인적정보'!H29</f>
        <v/>
      </c>
      <c r="E69" s="20">
        <f>'07b_하반기입력'!N29</f>
        <v/>
      </c>
      <c r="F69" s="20">
        <f>'07b_하반기입력'!O29</f>
        <v/>
      </c>
      <c r="G69" s="20">
        <f>'07b_하반기입력'!P29</f>
        <v/>
      </c>
      <c r="H69" s="20">
        <f>'07b_하반기입력'!Q29</f>
        <v/>
      </c>
      <c r="I69" s="20">
        <f>'07b_하반기입력'!R29</f>
        <v/>
      </c>
      <c r="J69" s="20">
        <f>'07b_하반기입력'!S29</f>
        <v/>
      </c>
      <c r="K69" s="20">
        <f>'07b_하반기입력'!T29</f>
        <v/>
      </c>
      <c r="L69" s="20">
        <f>'07b_하반기입력'!U29</f>
        <v/>
      </c>
      <c r="M69" s="20">
        <f>'07b_하반기입력'!V29</f>
        <v/>
      </c>
      <c r="N69" s="20">
        <f>'07b_하반기입력'!W29</f>
        <v/>
      </c>
      <c r="O69" s="20">
        <f>'07b_하반기입력'!X29</f>
        <v/>
      </c>
      <c r="P69" s="56">
        <f>IFERROR(IF(COUNTBLANK(E69:O69)&gt;0,"",0.15*IF(E69="S",5,IF(E69="A",4,IF(E69="B",3,IF(E69="C",2,IF(E69="D",1,0)))))+0.1*IF(F69="S",5,IF(F69="A",4,IF(F69="B",3,IF(F69="C",2,IF(F69="D",1,0)))))+0.1*IF(G69="S",5,IF(G69="A",4,IF(G69="B",3,IF(G69="C",2,IF(G69="D",1,0)))))+0.1*IF(H69="S",5,IF(H69="A",4,IF(H69="B",3,IF(H69="C",2,IF(H69="D",1,0)))))+0.1*IF(I69="S",5,IF(I69="A",4,IF(I69="B",3,IF(I69="C",2,IF(I69="D",1,0)))))+0.1*IF(J69="S",5,IF(J69="A",4,IF(J69="B",3,IF(J69="C",2,IF(J69="D",1,0)))))+0.1*IF(K69="S",5,IF(K69="A",4,IF(K69="B",3,IF(K69="C",2,IF(K69="D",1,0)))))+0.1*IF(L69="S",5,IF(L69="A",4,IF(L69="B",3,IF(L69="C",2,IF(L69="D",1,0)))))+0.05*IF(M69="S",5,IF(M69="A",4,IF(M69="B",3,IF(M69="C",2,IF(M69="D",1,0)))))+0.05*IF(N69="S",5,IF(N69="A",4,IF(N69="B",3,IF(N69="C",2,IF(N69="D",1,0)))))+0.05*IF(O69="S",5,IF(O69="A",4,IF(O69="B",3,IF(O69="C",2,IF(O69="D",1,0)))))),"")</f>
        <v/>
      </c>
      <c r="Q69" s="57">
        <f>IF(P69="","",IF(P69&gt;=4.5,"S",IF(P69&gt;=3.5,"A",IF(P69&gt;=2.5,"B",IF(P69&gt;=1.5,"C","D")))))</f>
        <v/>
      </c>
      <c r="R69" s="4" t="inlineStr"/>
    </row>
    <row r="70" ht="22" customHeight="1">
      <c r="A70" s="33">
        <f>'01_인적정보'!A30</f>
        <v/>
      </c>
      <c r="B70" s="33">
        <f>'01_인적정보'!B30</f>
        <v/>
      </c>
      <c r="C70" s="8">
        <f>'01_인적정보'!C30</f>
        <v/>
      </c>
      <c r="D70" s="16">
        <f>'01_인적정보'!H30</f>
        <v/>
      </c>
      <c r="E70" s="20">
        <f>'07b_하반기입력'!N30</f>
        <v/>
      </c>
      <c r="F70" s="20">
        <f>'07b_하반기입력'!O30</f>
        <v/>
      </c>
      <c r="G70" s="20">
        <f>'07b_하반기입력'!P30</f>
        <v/>
      </c>
      <c r="H70" s="20">
        <f>'07b_하반기입력'!Q30</f>
        <v/>
      </c>
      <c r="I70" s="20">
        <f>'07b_하반기입력'!R30</f>
        <v/>
      </c>
      <c r="J70" s="20">
        <f>'07b_하반기입력'!S30</f>
        <v/>
      </c>
      <c r="K70" s="20">
        <f>'07b_하반기입력'!T30</f>
        <v/>
      </c>
      <c r="L70" s="20">
        <f>'07b_하반기입력'!U30</f>
        <v/>
      </c>
      <c r="M70" s="20">
        <f>'07b_하반기입력'!V30</f>
        <v/>
      </c>
      <c r="N70" s="20">
        <f>'07b_하반기입력'!W30</f>
        <v/>
      </c>
      <c r="O70" s="20">
        <f>'07b_하반기입력'!X30</f>
        <v/>
      </c>
      <c r="P70" s="56">
        <f>IFERROR(IF(COUNTBLANK(E70:O70)&gt;0,"",0.15*IF(E70="S",5,IF(E70="A",4,IF(E70="B",3,IF(E70="C",2,IF(E70="D",1,0)))))+0.1*IF(F70="S",5,IF(F70="A",4,IF(F70="B",3,IF(F70="C",2,IF(F70="D",1,0)))))+0.1*IF(G70="S",5,IF(G70="A",4,IF(G70="B",3,IF(G70="C",2,IF(G70="D",1,0)))))+0.1*IF(H70="S",5,IF(H70="A",4,IF(H70="B",3,IF(H70="C",2,IF(H70="D",1,0)))))+0.1*IF(I70="S",5,IF(I70="A",4,IF(I70="B",3,IF(I70="C",2,IF(I70="D",1,0)))))+0.1*IF(J70="S",5,IF(J70="A",4,IF(J70="B",3,IF(J70="C",2,IF(J70="D",1,0)))))+0.1*IF(K70="S",5,IF(K70="A",4,IF(K70="B",3,IF(K70="C",2,IF(K70="D",1,0)))))+0.1*IF(L70="S",5,IF(L70="A",4,IF(L70="B",3,IF(L70="C",2,IF(L70="D",1,0)))))+0.05*IF(M70="S",5,IF(M70="A",4,IF(M70="B",3,IF(M70="C",2,IF(M70="D",1,0)))))+0.05*IF(N70="S",5,IF(N70="A",4,IF(N70="B",3,IF(N70="C",2,IF(N70="D",1,0)))))+0.05*IF(O70="S",5,IF(O70="A",4,IF(O70="B",3,IF(O70="C",2,IF(O70="D",1,0)))))),"")</f>
        <v/>
      </c>
      <c r="Q70" s="57">
        <f>IF(P70="","",IF(P70&gt;=4.5,"S",IF(P70&gt;=3.5,"A",IF(P70&gt;=2.5,"B",IF(P70&gt;=1.5,"C","D")))))</f>
        <v/>
      </c>
      <c r="R70" s="4" t="inlineStr"/>
    </row>
    <row r="71" ht="22" customHeight="1">
      <c r="A71" s="33">
        <f>'01_인적정보'!A31</f>
        <v/>
      </c>
      <c r="B71" s="33">
        <f>'01_인적정보'!B31</f>
        <v/>
      </c>
      <c r="C71" s="8">
        <f>'01_인적정보'!C31</f>
        <v/>
      </c>
      <c r="D71" s="16">
        <f>'01_인적정보'!H31</f>
        <v/>
      </c>
      <c r="E71" s="20">
        <f>'07b_하반기입력'!N31</f>
        <v/>
      </c>
      <c r="F71" s="20">
        <f>'07b_하반기입력'!O31</f>
        <v/>
      </c>
      <c r="G71" s="20">
        <f>'07b_하반기입력'!P31</f>
        <v/>
      </c>
      <c r="H71" s="20">
        <f>'07b_하반기입력'!Q31</f>
        <v/>
      </c>
      <c r="I71" s="20">
        <f>'07b_하반기입력'!R31</f>
        <v/>
      </c>
      <c r="J71" s="20">
        <f>'07b_하반기입력'!S31</f>
        <v/>
      </c>
      <c r="K71" s="20">
        <f>'07b_하반기입력'!T31</f>
        <v/>
      </c>
      <c r="L71" s="20">
        <f>'07b_하반기입력'!U31</f>
        <v/>
      </c>
      <c r="M71" s="20">
        <f>'07b_하반기입력'!V31</f>
        <v/>
      </c>
      <c r="N71" s="20">
        <f>'07b_하반기입력'!W31</f>
        <v/>
      </c>
      <c r="O71" s="20">
        <f>'07b_하반기입력'!X31</f>
        <v/>
      </c>
      <c r="P71" s="56">
        <f>IFERROR(IF(COUNTBLANK(E71:O71)&gt;0,"",0.15*IF(E71="S",5,IF(E71="A",4,IF(E71="B",3,IF(E71="C",2,IF(E71="D",1,0)))))+0.1*IF(F71="S",5,IF(F71="A",4,IF(F71="B",3,IF(F71="C",2,IF(F71="D",1,0)))))+0.1*IF(G71="S",5,IF(G71="A",4,IF(G71="B",3,IF(G71="C",2,IF(G71="D",1,0)))))+0.1*IF(H71="S",5,IF(H71="A",4,IF(H71="B",3,IF(H71="C",2,IF(H71="D",1,0)))))+0.1*IF(I71="S",5,IF(I71="A",4,IF(I71="B",3,IF(I71="C",2,IF(I71="D",1,0)))))+0.1*IF(J71="S",5,IF(J71="A",4,IF(J71="B",3,IF(J71="C",2,IF(J71="D",1,0)))))+0.1*IF(K71="S",5,IF(K71="A",4,IF(K71="B",3,IF(K71="C",2,IF(K71="D",1,0)))))+0.1*IF(L71="S",5,IF(L71="A",4,IF(L71="B",3,IF(L71="C",2,IF(L71="D",1,0)))))+0.05*IF(M71="S",5,IF(M71="A",4,IF(M71="B",3,IF(M71="C",2,IF(M71="D",1,0)))))+0.05*IF(N71="S",5,IF(N71="A",4,IF(N71="B",3,IF(N71="C",2,IF(N71="D",1,0)))))+0.05*IF(O71="S",5,IF(O71="A",4,IF(O71="B",3,IF(O71="C",2,IF(O71="D",1,0)))))),"")</f>
        <v/>
      </c>
      <c r="Q71" s="57">
        <f>IF(P71="","",IF(P71&gt;=4.5,"S",IF(P71&gt;=3.5,"A",IF(P71&gt;=2.5,"B",IF(P71&gt;=1.5,"C","D")))))</f>
        <v/>
      </c>
      <c r="R71" s="4" t="inlineStr"/>
    </row>
    <row r="72" ht="22" customHeight="1">
      <c r="A72" s="33">
        <f>'01_인적정보'!A32</f>
        <v/>
      </c>
      <c r="B72" s="33">
        <f>'01_인적정보'!B32</f>
        <v/>
      </c>
      <c r="C72" s="8">
        <f>'01_인적정보'!C32</f>
        <v/>
      </c>
      <c r="D72" s="16">
        <f>'01_인적정보'!H32</f>
        <v/>
      </c>
      <c r="E72" s="20">
        <f>'07b_하반기입력'!N32</f>
        <v/>
      </c>
      <c r="F72" s="20">
        <f>'07b_하반기입력'!O32</f>
        <v/>
      </c>
      <c r="G72" s="20">
        <f>'07b_하반기입력'!P32</f>
        <v/>
      </c>
      <c r="H72" s="20">
        <f>'07b_하반기입력'!Q32</f>
        <v/>
      </c>
      <c r="I72" s="20">
        <f>'07b_하반기입력'!R32</f>
        <v/>
      </c>
      <c r="J72" s="20">
        <f>'07b_하반기입력'!S32</f>
        <v/>
      </c>
      <c r="K72" s="20">
        <f>'07b_하반기입력'!T32</f>
        <v/>
      </c>
      <c r="L72" s="20">
        <f>'07b_하반기입력'!U32</f>
        <v/>
      </c>
      <c r="M72" s="20">
        <f>'07b_하반기입력'!V32</f>
        <v/>
      </c>
      <c r="N72" s="20">
        <f>'07b_하반기입력'!W32</f>
        <v/>
      </c>
      <c r="O72" s="20">
        <f>'07b_하반기입력'!X32</f>
        <v/>
      </c>
      <c r="P72" s="56">
        <f>IFERROR(IF(COUNTBLANK(E72:O72)&gt;0,"",0.15*IF(E72="S",5,IF(E72="A",4,IF(E72="B",3,IF(E72="C",2,IF(E72="D",1,0)))))+0.1*IF(F72="S",5,IF(F72="A",4,IF(F72="B",3,IF(F72="C",2,IF(F72="D",1,0)))))+0.1*IF(G72="S",5,IF(G72="A",4,IF(G72="B",3,IF(G72="C",2,IF(G72="D",1,0)))))+0.1*IF(H72="S",5,IF(H72="A",4,IF(H72="B",3,IF(H72="C",2,IF(H72="D",1,0)))))+0.1*IF(I72="S",5,IF(I72="A",4,IF(I72="B",3,IF(I72="C",2,IF(I72="D",1,0)))))+0.1*IF(J72="S",5,IF(J72="A",4,IF(J72="B",3,IF(J72="C",2,IF(J72="D",1,0)))))+0.1*IF(K72="S",5,IF(K72="A",4,IF(K72="B",3,IF(K72="C",2,IF(K72="D",1,0)))))+0.1*IF(L72="S",5,IF(L72="A",4,IF(L72="B",3,IF(L72="C",2,IF(L72="D",1,0)))))+0.05*IF(M72="S",5,IF(M72="A",4,IF(M72="B",3,IF(M72="C",2,IF(M72="D",1,0)))))+0.05*IF(N72="S",5,IF(N72="A",4,IF(N72="B",3,IF(N72="C",2,IF(N72="D",1,0)))))+0.05*IF(O72="S",5,IF(O72="A",4,IF(O72="B",3,IF(O72="C",2,IF(O72="D",1,0)))))),"")</f>
        <v/>
      </c>
      <c r="Q72" s="57">
        <f>IF(P72="","",IF(P72&gt;=4.5,"S",IF(P72&gt;=3.5,"A",IF(P72&gt;=2.5,"B",IF(P72&gt;=1.5,"C","D")))))</f>
        <v/>
      </c>
      <c r="R72" s="4" t="inlineStr"/>
    </row>
    <row r="73" ht="22" customHeight="1">
      <c r="A73" s="33">
        <f>'01_인적정보'!A33</f>
        <v/>
      </c>
      <c r="B73" s="33">
        <f>'01_인적정보'!B33</f>
        <v/>
      </c>
      <c r="C73" s="8">
        <f>'01_인적정보'!C33</f>
        <v/>
      </c>
      <c r="D73" s="16">
        <f>'01_인적정보'!H33</f>
        <v/>
      </c>
      <c r="E73" s="20">
        <f>'07b_하반기입력'!N33</f>
        <v/>
      </c>
      <c r="F73" s="20">
        <f>'07b_하반기입력'!O33</f>
        <v/>
      </c>
      <c r="G73" s="20">
        <f>'07b_하반기입력'!P33</f>
        <v/>
      </c>
      <c r="H73" s="20">
        <f>'07b_하반기입력'!Q33</f>
        <v/>
      </c>
      <c r="I73" s="20">
        <f>'07b_하반기입력'!R33</f>
        <v/>
      </c>
      <c r="J73" s="20">
        <f>'07b_하반기입력'!S33</f>
        <v/>
      </c>
      <c r="K73" s="20">
        <f>'07b_하반기입력'!T33</f>
        <v/>
      </c>
      <c r="L73" s="20">
        <f>'07b_하반기입력'!U33</f>
        <v/>
      </c>
      <c r="M73" s="20">
        <f>'07b_하반기입력'!V33</f>
        <v/>
      </c>
      <c r="N73" s="20">
        <f>'07b_하반기입력'!W33</f>
        <v/>
      </c>
      <c r="O73" s="20">
        <f>'07b_하반기입력'!X33</f>
        <v/>
      </c>
      <c r="P73" s="56">
        <f>IFERROR(IF(COUNTBLANK(E73:O73)&gt;0,"",0.15*IF(E73="S",5,IF(E73="A",4,IF(E73="B",3,IF(E73="C",2,IF(E73="D",1,0)))))+0.1*IF(F73="S",5,IF(F73="A",4,IF(F73="B",3,IF(F73="C",2,IF(F73="D",1,0)))))+0.1*IF(G73="S",5,IF(G73="A",4,IF(G73="B",3,IF(G73="C",2,IF(G73="D",1,0)))))+0.1*IF(H73="S",5,IF(H73="A",4,IF(H73="B",3,IF(H73="C",2,IF(H73="D",1,0)))))+0.1*IF(I73="S",5,IF(I73="A",4,IF(I73="B",3,IF(I73="C",2,IF(I73="D",1,0)))))+0.1*IF(J73="S",5,IF(J73="A",4,IF(J73="B",3,IF(J73="C",2,IF(J73="D",1,0)))))+0.1*IF(K73="S",5,IF(K73="A",4,IF(K73="B",3,IF(K73="C",2,IF(K73="D",1,0)))))+0.1*IF(L73="S",5,IF(L73="A",4,IF(L73="B",3,IF(L73="C",2,IF(L73="D",1,0)))))+0.05*IF(M73="S",5,IF(M73="A",4,IF(M73="B",3,IF(M73="C",2,IF(M73="D",1,0)))))+0.05*IF(N73="S",5,IF(N73="A",4,IF(N73="B",3,IF(N73="C",2,IF(N73="D",1,0)))))+0.05*IF(O73="S",5,IF(O73="A",4,IF(O73="B",3,IF(O73="C",2,IF(O73="D",1,0)))))),"")</f>
        <v/>
      </c>
      <c r="Q73" s="57">
        <f>IF(P73="","",IF(P73&gt;=4.5,"S",IF(P73&gt;=3.5,"A",IF(P73&gt;=2.5,"B",IF(P73&gt;=1.5,"C","D")))))</f>
        <v/>
      </c>
      <c r="R73" s="4" t="inlineStr"/>
    </row>
    <row r="74" ht="22" customHeight="1">
      <c r="A74" s="33">
        <f>'01_인적정보'!A34</f>
        <v/>
      </c>
      <c r="B74" s="33">
        <f>'01_인적정보'!B34</f>
        <v/>
      </c>
      <c r="C74" s="8">
        <f>'01_인적정보'!C34</f>
        <v/>
      </c>
      <c r="D74" s="16">
        <f>'01_인적정보'!H34</f>
        <v/>
      </c>
      <c r="E74" s="20">
        <f>'07b_하반기입력'!N34</f>
        <v/>
      </c>
      <c r="F74" s="20">
        <f>'07b_하반기입력'!O34</f>
        <v/>
      </c>
      <c r="G74" s="20">
        <f>'07b_하반기입력'!P34</f>
        <v/>
      </c>
      <c r="H74" s="20">
        <f>'07b_하반기입력'!Q34</f>
        <v/>
      </c>
      <c r="I74" s="20">
        <f>'07b_하반기입력'!R34</f>
        <v/>
      </c>
      <c r="J74" s="20">
        <f>'07b_하반기입력'!S34</f>
        <v/>
      </c>
      <c r="K74" s="20">
        <f>'07b_하반기입력'!T34</f>
        <v/>
      </c>
      <c r="L74" s="20">
        <f>'07b_하반기입력'!U34</f>
        <v/>
      </c>
      <c r="M74" s="20">
        <f>'07b_하반기입력'!V34</f>
        <v/>
      </c>
      <c r="N74" s="20">
        <f>'07b_하반기입력'!W34</f>
        <v/>
      </c>
      <c r="O74" s="20">
        <f>'07b_하반기입력'!X34</f>
        <v/>
      </c>
      <c r="P74" s="56">
        <f>IFERROR(IF(COUNTBLANK(E74:O74)&gt;0,"",0.15*IF(E74="S",5,IF(E74="A",4,IF(E74="B",3,IF(E74="C",2,IF(E74="D",1,0)))))+0.1*IF(F74="S",5,IF(F74="A",4,IF(F74="B",3,IF(F74="C",2,IF(F74="D",1,0)))))+0.1*IF(G74="S",5,IF(G74="A",4,IF(G74="B",3,IF(G74="C",2,IF(G74="D",1,0)))))+0.1*IF(H74="S",5,IF(H74="A",4,IF(H74="B",3,IF(H74="C",2,IF(H74="D",1,0)))))+0.1*IF(I74="S",5,IF(I74="A",4,IF(I74="B",3,IF(I74="C",2,IF(I74="D",1,0)))))+0.1*IF(J74="S",5,IF(J74="A",4,IF(J74="B",3,IF(J74="C",2,IF(J74="D",1,0)))))+0.1*IF(K74="S",5,IF(K74="A",4,IF(K74="B",3,IF(K74="C",2,IF(K74="D",1,0)))))+0.1*IF(L74="S",5,IF(L74="A",4,IF(L74="B",3,IF(L74="C",2,IF(L74="D",1,0)))))+0.05*IF(M74="S",5,IF(M74="A",4,IF(M74="B",3,IF(M74="C",2,IF(M74="D",1,0)))))+0.05*IF(N74="S",5,IF(N74="A",4,IF(N74="B",3,IF(N74="C",2,IF(N74="D",1,0)))))+0.05*IF(O74="S",5,IF(O74="A",4,IF(O74="B",3,IF(O74="C",2,IF(O74="D",1,0)))))),"")</f>
        <v/>
      </c>
      <c r="Q74" s="57">
        <f>IF(P74="","",IF(P74&gt;=4.5,"S",IF(P74&gt;=3.5,"A",IF(P74&gt;=2.5,"B",IF(P74&gt;=1.5,"C","D")))))</f>
        <v/>
      </c>
      <c r="R74" s="4" t="inlineStr"/>
    </row>
    <row r="75" ht="22" customHeight="1">
      <c r="A75" s="33">
        <f>'01_인적정보'!A35</f>
        <v/>
      </c>
      <c r="B75" s="33">
        <f>'01_인적정보'!B35</f>
        <v/>
      </c>
      <c r="C75" s="8">
        <f>'01_인적정보'!C35</f>
        <v/>
      </c>
      <c r="D75" s="16">
        <f>'01_인적정보'!H35</f>
        <v/>
      </c>
      <c r="E75" s="20">
        <f>'07b_하반기입력'!N35</f>
        <v/>
      </c>
      <c r="F75" s="20">
        <f>'07b_하반기입력'!O35</f>
        <v/>
      </c>
      <c r="G75" s="20">
        <f>'07b_하반기입력'!P35</f>
        <v/>
      </c>
      <c r="H75" s="20">
        <f>'07b_하반기입력'!Q35</f>
        <v/>
      </c>
      <c r="I75" s="20">
        <f>'07b_하반기입력'!R35</f>
        <v/>
      </c>
      <c r="J75" s="20">
        <f>'07b_하반기입력'!S35</f>
        <v/>
      </c>
      <c r="K75" s="20">
        <f>'07b_하반기입력'!T35</f>
        <v/>
      </c>
      <c r="L75" s="20">
        <f>'07b_하반기입력'!U35</f>
        <v/>
      </c>
      <c r="M75" s="20">
        <f>'07b_하반기입력'!V35</f>
        <v/>
      </c>
      <c r="N75" s="20">
        <f>'07b_하반기입력'!W35</f>
        <v/>
      </c>
      <c r="O75" s="20">
        <f>'07b_하반기입력'!X35</f>
        <v/>
      </c>
      <c r="P75" s="56">
        <f>IFERROR(IF(COUNTBLANK(E75:O75)&gt;0,"",0.15*IF(E75="S",5,IF(E75="A",4,IF(E75="B",3,IF(E75="C",2,IF(E75="D",1,0)))))+0.1*IF(F75="S",5,IF(F75="A",4,IF(F75="B",3,IF(F75="C",2,IF(F75="D",1,0)))))+0.1*IF(G75="S",5,IF(G75="A",4,IF(G75="B",3,IF(G75="C",2,IF(G75="D",1,0)))))+0.1*IF(H75="S",5,IF(H75="A",4,IF(H75="B",3,IF(H75="C",2,IF(H75="D",1,0)))))+0.1*IF(I75="S",5,IF(I75="A",4,IF(I75="B",3,IF(I75="C",2,IF(I75="D",1,0)))))+0.1*IF(J75="S",5,IF(J75="A",4,IF(J75="B",3,IF(J75="C",2,IF(J75="D",1,0)))))+0.1*IF(K75="S",5,IF(K75="A",4,IF(K75="B",3,IF(K75="C",2,IF(K75="D",1,0)))))+0.1*IF(L75="S",5,IF(L75="A",4,IF(L75="B",3,IF(L75="C",2,IF(L75="D",1,0)))))+0.05*IF(M75="S",5,IF(M75="A",4,IF(M75="B",3,IF(M75="C",2,IF(M75="D",1,0)))))+0.05*IF(N75="S",5,IF(N75="A",4,IF(N75="B",3,IF(N75="C",2,IF(N75="D",1,0)))))+0.05*IF(O75="S",5,IF(O75="A",4,IF(O75="B",3,IF(O75="C",2,IF(O75="D",1,0)))))),"")</f>
        <v/>
      </c>
      <c r="Q75" s="57">
        <f>IF(P75="","",IF(P75&gt;=4.5,"S",IF(P75&gt;=3.5,"A",IF(P75&gt;=2.5,"B",IF(P75&gt;=1.5,"C","D")))))</f>
        <v/>
      </c>
      <c r="R75" s="4" t="inlineStr"/>
    </row>
    <row r="76" ht="22" customHeight="1">
      <c r="A76" s="33">
        <f>'01_인적정보'!A36</f>
        <v/>
      </c>
      <c r="B76" s="33">
        <f>'01_인적정보'!B36</f>
        <v/>
      </c>
      <c r="C76" s="8">
        <f>'01_인적정보'!C36</f>
        <v/>
      </c>
      <c r="D76" s="16">
        <f>'01_인적정보'!H36</f>
        <v/>
      </c>
      <c r="E76" s="20">
        <f>'07b_하반기입력'!N36</f>
        <v/>
      </c>
      <c r="F76" s="20">
        <f>'07b_하반기입력'!O36</f>
        <v/>
      </c>
      <c r="G76" s="20">
        <f>'07b_하반기입력'!P36</f>
        <v/>
      </c>
      <c r="H76" s="20">
        <f>'07b_하반기입력'!Q36</f>
        <v/>
      </c>
      <c r="I76" s="20">
        <f>'07b_하반기입력'!R36</f>
        <v/>
      </c>
      <c r="J76" s="20">
        <f>'07b_하반기입력'!S36</f>
        <v/>
      </c>
      <c r="K76" s="20">
        <f>'07b_하반기입력'!T36</f>
        <v/>
      </c>
      <c r="L76" s="20">
        <f>'07b_하반기입력'!U36</f>
        <v/>
      </c>
      <c r="M76" s="20">
        <f>'07b_하반기입력'!V36</f>
        <v/>
      </c>
      <c r="N76" s="20">
        <f>'07b_하반기입력'!W36</f>
        <v/>
      </c>
      <c r="O76" s="20">
        <f>'07b_하반기입력'!X36</f>
        <v/>
      </c>
      <c r="P76" s="56">
        <f>IFERROR(IF(COUNTBLANK(E76:O76)&gt;0,"",0.15*IF(E76="S",5,IF(E76="A",4,IF(E76="B",3,IF(E76="C",2,IF(E76="D",1,0)))))+0.1*IF(F76="S",5,IF(F76="A",4,IF(F76="B",3,IF(F76="C",2,IF(F76="D",1,0)))))+0.1*IF(G76="S",5,IF(G76="A",4,IF(G76="B",3,IF(G76="C",2,IF(G76="D",1,0)))))+0.1*IF(H76="S",5,IF(H76="A",4,IF(H76="B",3,IF(H76="C",2,IF(H76="D",1,0)))))+0.1*IF(I76="S",5,IF(I76="A",4,IF(I76="B",3,IF(I76="C",2,IF(I76="D",1,0)))))+0.1*IF(J76="S",5,IF(J76="A",4,IF(J76="B",3,IF(J76="C",2,IF(J76="D",1,0)))))+0.1*IF(K76="S",5,IF(K76="A",4,IF(K76="B",3,IF(K76="C",2,IF(K76="D",1,0)))))+0.1*IF(L76="S",5,IF(L76="A",4,IF(L76="B",3,IF(L76="C",2,IF(L76="D",1,0)))))+0.05*IF(M76="S",5,IF(M76="A",4,IF(M76="B",3,IF(M76="C",2,IF(M76="D",1,0)))))+0.05*IF(N76="S",5,IF(N76="A",4,IF(N76="B",3,IF(N76="C",2,IF(N76="D",1,0)))))+0.05*IF(O76="S",5,IF(O76="A",4,IF(O76="B",3,IF(O76="C",2,IF(O76="D",1,0)))))),"")</f>
        <v/>
      </c>
      <c r="Q76" s="57">
        <f>IF(P76="","",IF(P76&gt;=4.5,"S",IF(P76&gt;=3.5,"A",IF(P76&gt;=2.5,"B",IF(P76&gt;=1.5,"C","D")))))</f>
        <v/>
      </c>
      <c r="R76" s="4" t="inlineStr"/>
    </row>
    <row r="77" ht="22" customHeight="1">
      <c r="A77" s="33">
        <f>'01_인적정보'!A37</f>
        <v/>
      </c>
      <c r="B77" s="33">
        <f>'01_인적정보'!B37</f>
        <v/>
      </c>
      <c r="C77" s="8">
        <f>'01_인적정보'!C37</f>
        <v/>
      </c>
      <c r="D77" s="16">
        <f>'01_인적정보'!H37</f>
        <v/>
      </c>
      <c r="E77" s="20">
        <f>'07b_하반기입력'!N37</f>
        <v/>
      </c>
      <c r="F77" s="20">
        <f>'07b_하반기입력'!O37</f>
        <v/>
      </c>
      <c r="G77" s="20">
        <f>'07b_하반기입력'!P37</f>
        <v/>
      </c>
      <c r="H77" s="20">
        <f>'07b_하반기입력'!Q37</f>
        <v/>
      </c>
      <c r="I77" s="20">
        <f>'07b_하반기입력'!R37</f>
        <v/>
      </c>
      <c r="J77" s="20">
        <f>'07b_하반기입력'!S37</f>
        <v/>
      </c>
      <c r="K77" s="20">
        <f>'07b_하반기입력'!T37</f>
        <v/>
      </c>
      <c r="L77" s="20">
        <f>'07b_하반기입력'!U37</f>
        <v/>
      </c>
      <c r="M77" s="20">
        <f>'07b_하반기입력'!V37</f>
        <v/>
      </c>
      <c r="N77" s="20">
        <f>'07b_하반기입력'!W37</f>
        <v/>
      </c>
      <c r="O77" s="20">
        <f>'07b_하반기입력'!X37</f>
        <v/>
      </c>
      <c r="P77" s="56">
        <f>IFERROR(IF(COUNTBLANK(E77:O77)&gt;0,"",0.15*IF(E77="S",5,IF(E77="A",4,IF(E77="B",3,IF(E77="C",2,IF(E77="D",1,0)))))+0.1*IF(F77="S",5,IF(F77="A",4,IF(F77="B",3,IF(F77="C",2,IF(F77="D",1,0)))))+0.1*IF(G77="S",5,IF(G77="A",4,IF(G77="B",3,IF(G77="C",2,IF(G77="D",1,0)))))+0.1*IF(H77="S",5,IF(H77="A",4,IF(H77="B",3,IF(H77="C",2,IF(H77="D",1,0)))))+0.1*IF(I77="S",5,IF(I77="A",4,IF(I77="B",3,IF(I77="C",2,IF(I77="D",1,0)))))+0.1*IF(J77="S",5,IF(J77="A",4,IF(J77="B",3,IF(J77="C",2,IF(J77="D",1,0)))))+0.1*IF(K77="S",5,IF(K77="A",4,IF(K77="B",3,IF(K77="C",2,IF(K77="D",1,0)))))+0.1*IF(L77="S",5,IF(L77="A",4,IF(L77="B",3,IF(L77="C",2,IF(L77="D",1,0)))))+0.05*IF(M77="S",5,IF(M77="A",4,IF(M77="B",3,IF(M77="C",2,IF(M77="D",1,0)))))+0.05*IF(N77="S",5,IF(N77="A",4,IF(N77="B",3,IF(N77="C",2,IF(N77="D",1,0)))))+0.05*IF(O77="S",5,IF(O77="A",4,IF(O77="B",3,IF(O77="C",2,IF(O77="D",1,0)))))),"")</f>
        <v/>
      </c>
      <c r="Q77" s="57">
        <f>IF(P77="","",IF(P77&gt;=4.5,"S",IF(P77&gt;=3.5,"A",IF(P77&gt;=2.5,"B",IF(P77&gt;=1.5,"C","D")))))</f>
        <v/>
      </c>
      <c r="R77" s="4" t="inlineStr"/>
    </row>
    <row r="78" ht="22" customHeight="1">
      <c r="A78" s="33">
        <f>'01_인적정보'!A38</f>
        <v/>
      </c>
      <c r="B78" s="33">
        <f>'01_인적정보'!B38</f>
        <v/>
      </c>
      <c r="C78" s="8">
        <f>'01_인적정보'!C38</f>
        <v/>
      </c>
      <c r="D78" s="16">
        <f>'01_인적정보'!H38</f>
        <v/>
      </c>
      <c r="E78" s="20">
        <f>'07b_하반기입력'!N38</f>
        <v/>
      </c>
      <c r="F78" s="20">
        <f>'07b_하반기입력'!O38</f>
        <v/>
      </c>
      <c r="G78" s="20">
        <f>'07b_하반기입력'!P38</f>
        <v/>
      </c>
      <c r="H78" s="20">
        <f>'07b_하반기입력'!Q38</f>
        <v/>
      </c>
      <c r="I78" s="20">
        <f>'07b_하반기입력'!R38</f>
        <v/>
      </c>
      <c r="J78" s="20">
        <f>'07b_하반기입력'!S38</f>
        <v/>
      </c>
      <c r="K78" s="20">
        <f>'07b_하반기입력'!T38</f>
        <v/>
      </c>
      <c r="L78" s="20">
        <f>'07b_하반기입력'!U38</f>
        <v/>
      </c>
      <c r="M78" s="20">
        <f>'07b_하반기입력'!V38</f>
        <v/>
      </c>
      <c r="N78" s="20">
        <f>'07b_하반기입력'!W38</f>
        <v/>
      </c>
      <c r="O78" s="20">
        <f>'07b_하반기입력'!X38</f>
        <v/>
      </c>
      <c r="P78" s="56">
        <f>IFERROR(IF(COUNTBLANK(E78:O78)&gt;0,"",0.15*IF(E78="S",5,IF(E78="A",4,IF(E78="B",3,IF(E78="C",2,IF(E78="D",1,0)))))+0.1*IF(F78="S",5,IF(F78="A",4,IF(F78="B",3,IF(F78="C",2,IF(F78="D",1,0)))))+0.1*IF(G78="S",5,IF(G78="A",4,IF(G78="B",3,IF(G78="C",2,IF(G78="D",1,0)))))+0.1*IF(H78="S",5,IF(H78="A",4,IF(H78="B",3,IF(H78="C",2,IF(H78="D",1,0)))))+0.1*IF(I78="S",5,IF(I78="A",4,IF(I78="B",3,IF(I78="C",2,IF(I78="D",1,0)))))+0.1*IF(J78="S",5,IF(J78="A",4,IF(J78="B",3,IF(J78="C",2,IF(J78="D",1,0)))))+0.1*IF(K78="S",5,IF(K78="A",4,IF(K78="B",3,IF(K78="C",2,IF(K78="D",1,0)))))+0.1*IF(L78="S",5,IF(L78="A",4,IF(L78="B",3,IF(L78="C",2,IF(L78="D",1,0)))))+0.05*IF(M78="S",5,IF(M78="A",4,IF(M78="B",3,IF(M78="C",2,IF(M78="D",1,0)))))+0.05*IF(N78="S",5,IF(N78="A",4,IF(N78="B",3,IF(N78="C",2,IF(N78="D",1,0)))))+0.05*IF(O78="S",5,IF(O78="A",4,IF(O78="B",3,IF(O78="C",2,IF(O78="D",1,0)))))),"")</f>
        <v/>
      </c>
      <c r="Q78" s="57">
        <f>IF(P78="","",IF(P78&gt;=4.5,"S",IF(P78&gt;=3.5,"A",IF(P78&gt;=2.5,"B",IF(P78&gt;=1.5,"C","D")))))</f>
        <v/>
      </c>
      <c r="R78" s="4" t="inlineStr"/>
    </row>
    <row r="79" ht="22" customHeight="1">
      <c r="A79" s="33">
        <f>'01_인적정보'!A39</f>
        <v/>
      </c>
      <c r="B79" s="33">
        <f>'01_인적정보'!B39</f>
        <v/>
      </c>
      <c r="C79" s="8">
        <f>'01_인적정보'!C39</f>
        <v/>
      </c>
      <c r="D79" s="16">
        <f>'01_인적정보'!H39</f>
        <v/>
      </c>
      <c r="E79" s="20">
        <f>'07b_하반기입력'!N39</f>
        <v/>
      </c>
      <c r="F79" s="20">
        <f>'07b_하반기입력'!O39</f>
        <v/>
      </c>
      <c r="G79" s="20">
        <f>'07b_하반기입력'!P39</f>
        <v/>
      </c>
      <c r="H79" s="20">
        <f>'07b_하반기입력'!Q39</f>
        <v/>
      </c>
      <c r="I79" s="20">
        <f>'07b_하반기입력'!R39</f>
        <v/>
      </c>
      <c r="J79" s="20">
        <f>'07b_하반기입력'!S39</f>
        <v/>
      </c>
      <c r="K79" s="20">
        <f>'07b_하반기입력'!T39</f>
        <v/>
      </c>
      <c r="L79" s="20">
        <f>'07b_하반기입력'!U39</f>
        <v/>
      </c>
      <c r="M79" s="20">
        <f>'07b_하반기입력'!V39</f>
        <v/>
      </c>
      <c r="N79" s="20">
        <f>'07b_하반기입력'!W39</f>
        <v/>
      </c>
      <c r="O79" s="20">
        <f>'07b_하반기입력'!X39</f>
        <v/>
      </c>
      <c r="P79" s="56">
        <f>IFERROR(IF(COUNTBLANK(E79:O79)&gt;0,"",0.15*IF(E79="S",5,IF(E79="A",4,IF(E79="B",3,IF(E79="C",2,IF(E79="D",1,0)))))+0.1*IF(F79="S",5,IF(F79="A",4,IF(F79="B",3,IF(F79="C",2,IF(F79="D",1,0)))))+0.1*IF(G79="S",5,IF(G79="A",4,IF(G79="B",3,IF(G79="C",2,IF(G79="D",1,0)))))+0.1*IF(H79="S",5,IF(H79="A",4,IF(H79="B",3,IF(H79="C",2,IF(H79="D",1,0)))))+0.1*IF(I79="S",5,IF(I79="A",4,IF(I79="B",3,IF(I79="C",2,IF(I79="D",1,0)))))+0.1*IF(J79="S",5,IF(J79="A",4,IF(J79="B",3,IF(J79="C",2,IF(J79="D",1,0)))))+0.1*IF(K79="S",5,IF(K79="A",4,IF(K79="B",3,IF(K79="C",2,IF(K79="D",1,0)))))+0.1*IF(L79="S",5,IF(L79="A",4,IF(L79="B",3,IF(L79="C",2,IF(L79="D",1,0)))))+0.05*IF(M79="S",5,IF(M79="A",4,IF(M79="B",3,IF(M79="C",2,IF(M79="D",1,0)))))+0.05*IF(N79="S",5,IF(N79="A",4,IF(N79="B",3,IF(N79="C",2,IF(N79="D",1,0)))))+0.05*IF(O79="S",5,IF(O79="A",4,IF(O79="B",3,IF(O79="C",2,IF(O79="D",1,0)))))),"")</f>
        <v/>
      </c>
      <c r="Q79" s="57">
        <f>IF(P79="","",IF(P79&gt;=4.5,"S",IF(P79&gt;=3.5,"A",IF(P79&gt;=2.5,"B",IF(P79&gt;=1.5,"C","D")))))</f>
        <v/>
      </c>
      <c r="R79" s="4" t="inlineStr"/>
    </row>
  </sheetData>
  <mergeCells count="4">
    <mergeCell ref="A2:R2"/>
    <mergeCell ref="A44:R44"/>
    <mergeCell ref="A1:R1"/>
    <mergeCell ref="A4:R4"/>
  </mergeCells>
  <conditionalFormatting sqref="E6:Q39">
    <cfRule type="cellIs" priority="1" operator="equal" dxfId="2">
      <formula>"S"</formula>
    </cfRule>
    <cfRule type="cellIs" priority="2" operator="equal" dxfId="3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conditionalFormatting sqref="E46:Q79">
    <cfRule type="cellIs" priority="5" operator="equal" dxfId="2">
      <formula>"S"</formula>
    </cfRule>
    <cfRule type="cellIs" priority="6" operator="equal" dxfId="3">
      <formula>"A"</formula>
    </cfRule>
    <cfRule type="cellIs" priority="7" operator="equal" dxfId="1">
      <formula>"C"</formula>
    </cfRule>
    <cfRule type="cellIs" priority="8" operator="equal" dxfId="0">
      <formula>"D"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65911"/>
    <outlinePr summaryBelow="1" summaryRight="1"/>
    <pageSetUpPr/>
  </sheetPr>
  <dimension ref="A1:AC84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14" customWidth="1" min="4" max="4"/>
    <col width="8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25" customWidth="1" min="12" max="12"/>
  </cols>
  <sheetData>
    <row r="1" ht="28" customHeight="1">
      <c r="A1" s="1" t="inlineStr">
        <is>
          <t>직무역량평가 — 개인별 메인 책무 평가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9" t="n"/>
    </row>
    <row r="2" ht="24" customHeight="1">
      <c r="A2" s="89" t="inlineStr">
        <is>
          <t>★ [자동 산출 시트] - 07a/07b의 직무 1차/2차 등급을 종합. 결과 검토용.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9" t="n"/>
    </row>
    <row r="3"/>
    <row r="4">
      <c r="A4" s="54" t="inlineStr">
        <is>
          <t>■ 상반기 직무역량평가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9" t="n"/>
    </row>
    <row r="5" ht="32" customHeight="1">
      <c r="A5" s="22" t="inlineStr">
        <is>
          <t>No.</t>
        </is>
      </c>
      <c r="B5" s="22" t="inlineStr">
        <is>
          <t>사번</t>
        </is>
      </c>
      <c r="C5" s="22" t="inlineStr">
        <is>
          <t>성명</t>
        </is>
      </c>
      <c r="D5" s="22" t="inlineStr">
        <is>
          <t>직무</t>
        </is>
      </c>
      <c r="E5" s="22" t="inlineStr">
        <is>
          <t>역할등급</t>
        </is>
      </c>
      <c r="F5" s="22" t="inlineStr">
        <is>
          <t>직무 책무 수</t>
        </is>
      </c>
      <c r="G5" s="22" t="inlineStr">
        <is>
          <t>메인 책무 수</t>
        </is>
      </c>
      <c r="H5" s="22" t="inlineStr">
        <is>
          <t>1차(종합)</t>
        </is>
      </c>
      <c r="I5" s="22" t="inlineStr">
        <is>
          <t>2차(종합)</t>
        </is>
      </c>
      <c r="J5" s="22" t="inlineStr">
        <is>
          <t>확정등급</t>
        </is>
      </c>
      <c r="K5" s="22" t="inlineStr">
        <is>
          <t>평가점수</t>
        </is>
      </c>
      <c r="L5" s="22" t="inlineStr">
        <is>
          <t>소견</t>
        </is>
      </c>
    </row>
    <row r="6" ht="22" customHeight="1">
      <c r="A6" s="33">
        <f>'01_인적정보'!A6</f>
        <v/>
      </c>
      <c r="B6" s="33">
        <f>'01_인적정보'!B6</f>
        <v/>
      </c>
      <c r="C6" s="8">
        <f>'01_인적정보'!C6</f>
        <v/>
      </c>
      <c r="D6" s="8">
        <f>'01_인적정보'!E6</f>
        <v/>
      </c>
      <c r="E6" s="16">
        <f>'01_인적정보'!H6</f>
        <v/>
      </c>
      <c r="F6" s="20">
        <f>COUNTIF('14_직무책무DB'!$B$6:$B$80,D6)</f>
        <v/>
      </c>
      <c r="G6" s="21">
        <f>'01_인적정보'!L6</f>
        <v/>
      </c>
      <c r="H6" s="21">
        <f>'07a_상반기입력'!Y6</f>
        <v/>
      </c>
      <c r="I6" s="21">
        <f>'07a_상반기입력'!Z6</f>
        <v/>
      </c>
      <c r="J6" s="57">
        <f>IF(I6&lt;&gt;"",I6,H6)</f>
        <v/>
      </c>
      <c r="K6" s="58">
        <f>IF(J6="","",IF(J6="S",5,IF(J6="A",4,IF(J6="B",3,IF(J6="C",2,IF(J6="D",1,0))))))</f>
        <v/>
      </c>
      <c r="L6" s="4" t="inlineStr"/>
    </row>
    <row r="7" ht="22" customHeight="1">
      <c r="A7" s="33">
        <f>'01_인적정보'!A7</f>
        <v/>
      </c>
      <c r="B7" s="33">
        <f>'01_인적정보'!B7</f>
        <v/>
      </c>
      <c r="C7" s="8">
        <f>'01_인적정보'!C7</f>
        <v/>
      </c>
      <c r="D7" s="8">
        <f>'01_인적정보'!E7</f>
        <v/>
      </c>
      <c r="E7" s="16">
        <f>'01_인적정보'!H7</f>
        <v/>
      </c>
      <c r="F7" s="20">
        <f>COUNTIF('14_직무책무DB'!$B$6:$B$80,D7)</f>
        <v/>
      </c>
      <c r="G7" s="21">
        <f>'01_인적정보'!L7</f>
        <v/>
      </c>
      <c r="H7" s="21">
        <f>'07a_상반기입력'!Y7</f>
        <v/>
      </c>
      <c r="I7" s="21">
        <f>'07a_상반기입력'!Z7</f>
        <v/>
      </c>
      <c r="J7" s="57">
        <f>IF(I7&lt;&gt;"",I7,H7)</f>
        <v/>
      </c>
      <c r="K7" s="58">
        <f>IF(J7="","",IF(J7="S",5,IF(J7="A",4,IF(J7="B",3,IF(J7="C",2,IF(J7="D",1,0))))))</f>
        <v/>
      </c>
      <c r="L7" s="4" t="inlineStr"/>
    </row>
    <row r="8" ht="22" customHeight="1">
      <c r="A8" s="33">
        <f>'01_인적정보'!A8</f>
        <v/>
      </c>
      <c r="B8" s="33">
        <f>'01_인적정보'!B8</f>
        <v/>
      </c>
      <c r="C8" s="8">
        <f>'01_인적정보'!C8</f>
        <v/>
      </c>
      <c r="D8" s="8">
        <f>'01_인적정보'!E8</f>
        <v/>
      </c>
      <c r="E8" s="16">
        <f>'01_인적정보'!H8</f>
        <v/>
      </c>
      <c r="F8" s="20">
        <f>COUNTIF('14_직무책무DB'!$B$6:$B$80,D8)</f>
        <v/>
      </c>
      <c r="G8" s="21">
        <f>'01_인적정보'!L8</f>
        <v/>
      </c>
      <c r="H8" s="21">
        <f>'07a_상반기입력'!Y8</f>
        <v/>
      </c>
      <c r="I8" s="21">
        <f>'07a_상반기입력'!Z8</f>
        <v/>
      </c>
      <c r="J8" s="57">
        <f>IF(I8&lt;&gt;"",I8,H8)</f>
        <v/>
      </c>
      <c r="K8" s="58">
        <f>IF(J8="","",IF(J8="S",5,IF(J8="A",4,IF(J8="B",3,IF(J8="C",2,IF(J8="D",1,0))))))</f>
        <v/>
      </c>
      <c r="L8" s="4" t="inlineStr"/>
    </row>
    <row r="9" ht="22" customHeight="1">
      <c r="A9" s="33">
        <f>'01_인적정보'!A9</f>
        <v/>
      </c>
      <c r="B9" s="33">
        <f>'01_인적정보'!B9</f>
        <v/>
      </c>
      <c r="C9" s="8">
        <f>'01_인적정보'!C9</f>
        <v/>
      </c>
      <c r="D9" s="8">
        <f>'01_인적정보'!E9</f>
        <v/>
      </c>
      <c r="E9" s="16">
        <f>'01_인적정보'!H9</f>
        <v/>
      </c>
      <c r="F9" s="20">
        <f>COUNTIF('14_직무책무DB'!$B$6:$B$80,D9)</f>
        <v/>
      </c>
      <c r="G9" s="21">
        <f>'01_인적정보'!L9</f>
        <v/>
      </c>
      <c r="H9" s="21">
        <f>'07a_상반기입력'!Y9</f>
        <v/>
      </c>
      <c r="I9" s="21">
        <f>'07a_상반기입력'!Z9</f>
        <v/>
      </c>
      <c r="J9" s="57">
        <f>IF(I9&lt;&gt;"",I9,H9)</f>
        <v/>
      </c>
      <c r="K9" s="58">
        <f>IF(J9="","",IF(J9="S",5,IF(J9="A",4,IF(J9="B",3,IF(J9="C",2,IF(J9="D",1,0))))))</f>
        <v/>
      </c>
      <c r="L9" s="4" t="inlineStr"/>
    </row>
    <row r="10" ht="22" customHeight="1">
      <c r="A10" s="33">
        <f>'01_인적정보'!A10</f>
        <v/>
      </c>
      <c r="B10" s="33">
        <f>'01_인적정보'!B10</f>
        <v/>
      </c>
      <c r="C10" s="8">
        <f>'01_인적정보'!C10</f>
        <v/>
      </c>
      <c r="D10" s="8">
        <f>'01_인적정보'!E10</f>
        <v/>
      </c>
      <c r="E10" s="16">
        <f>'01_인적정보'!H10</f>
        <v/>
      </c>
      <c r="F10" s="20">
        <f>COUNTIF('14_직무책무DB'!$B$6:$B$80,D10)</f>
        <v/>
      </c>
      <c r="G10" s="21">
        <f>'01_인적정보'!L10</f>
        <v/>
      </c>
      <c r="H10" s="21">
        <f>'07a_상반기입력'!Y10</f>
        <v/>
      </c>
      <c r="I10" s="21">
        <f>'07a_상반기입력'!Z10</f>
        <v/>
      </c>
      <c r="J10" s="57">
        <f>IF(I10&lt;&gt;"",I10,H10)</f>
        <v/>
      </c>
      <c r="K10" s="58">
        <f>IF(J10="","",IF(J10="S",5,IF(J10="A",4,IF(J10="B",3,IF(J10="C",2,IF(J10="D",1,0))))))</f>
        <v/>
      </c>
      <c r="L10" s="4" t="inlineStr"/>
    </row>
    <row r="11" ht="22" customHeight="1">
      <c r="A11" s="33">
        <f>'01_인적정보'!A11</f>
        <v/>
      </c>
      <c r="B11" s="33">
        <f>'01_인적정보'!B11</f>
        <v/>
      </c>
      <c r="C11" s="8">
        <f>'01_인적정보'!C11</f>
        <v/>
      </c>
      <c r="D11" s="8">
        <f>'01_인적정보'!E11</f>
        <v/>
      </c>
      <c r="E11" s="16">
        <f>'01_인적정보'!H11</f>
        <v/>
      </c>
      <c r="F11" s="20">
        <f>COUNTIF('14_직무책무DB'!$B$6:$B$80,D11)</f>
        <v/>
      </c>
      <c r="G11" s="21">
        <f>'01_인적정보'!L11</f>
        <v/>
      </c>
      <c r="H11" s="21">
        <f>'07a_상반기입력'!Y11</f>
        <v/>
      </c>
      <c r="I11" s="21">
        <f>'07a_상반기입력'!Z11</f>
        <v/>
      </c>
      <c r="J11" s="57">
        <f>IF(I11&lt;&gt;"",I11,H11)</f>
        <v/>
      </c>
      <c r="K11" s="58">
        <f>IF(J11="","",IF(J11="S",5,IF(J11="A",4,IF(J11="B",3,IF(J11="C",2,IF(J11="D",1,0))))))</f>
        <v/>
      </c>
      <c r="L11" s="4" t="inlineStr"/>
    </row>
    <row r="12" ht="22" customHeight="1">
      <c r="A12" s="33">
        <f>'01_인적정보'!A12</f>
        <v/>
      </c>
      <c r="B12" s="33">
        <f>'01_인적정보'!B12</f>
        <v/>
      </c>
      <c r="C12" s="8">
        <f>'01_인적정보'!C12</f>
        <v/>
      </c>
      <c r="D12" s="8">
        <f>'01_인적정보'!E12</f>
        <v/>
      </c>
      <c r="E12" s="16">
        <f>'01_인적정보'!H12</f>
        <v/>
      </c>
      <c r="F12" s="20">
        <f>COUNTIF('14_직무책무DB'!$B$6:$B$80,D12)</f>
        <v/>
      </c>
      <c r="G12" s="21">
        <f>'01_인적정보'!L12</f>
        <v/>
      </c>
      <c r="H12" s="21">
        <f>'07a_상반기입력'!Y12</f>
        <v/>
      </c>
      <c r="I12" s="21">
        <f>'07a_상반기입력'!Z12</f>
        <v/>
      </c>
      <c r="J12" s="57">
        <f>IF(I12&lt;&gt;"",I12,H12)</f>
        <v/>
      </c>
      <c r="K12" s="58">
        <f>IF(J12="","",IF(J12="S",5,IF(J12="A",4,IF(J12="B",3,IF(J12="C",2,IF(J12="D",1,0))))))</f>
        <v/>
      </c>
      <c r="L12" s="4" t="inlineStr"/>
    </row>
    <row r="13" ht="22" customHeight="1">
      <c r="A13" s="33">
        <f>'01_인적정보'!A13</f>
        <v/>
      </c>
      <c r="B13" s="33">
        <f>'01_인적정보'!B13</f>
        <v/>
      </c>
      <c r="C13" s="8">
        <f>'01_인적정보'!C13</f>
        <v/>
      </c>
      <c r="D13" s="8">
        <f>'01_인적정보'!E13</f>
        <v/>
      </c>
      <c r="E13" s="16">
        <f>'01_인적정보'!H13</f>
        <v/>
      </c>
      <c r="F13" s="20">
        <f>COUNTIF('14_직무책무DB'!$B$6:$B$80,D13)</f>
        <v/>
      </c>
      <c r="G13" s="21">
        <f>'01_인적정보'!L13</f>
        <v/>
      </c>
      <c r="H13" s="21">
        <f>'07a_상반기입력'!Y13</f>
        <v/>
      </c>
      <c r="I13" s="21">
        <f>'07a_상반기입력'!Z13</f>
        <v/>
      </c>
      <c r="J13" s="57">
        <f>IF(I13&lt;&gt;"",I13,H13)</f>
        <v/>
      </c>
      <c r="K13" s="58">
        <f>IF(J13="","",IF(J13="S",5,IF(J13="A",4,IF(J13="B",3,IF(J13="C",2,IF(J13="D",1,0))))))</f>
        <v/>
      </c>
      <c r="L13" s="4" t="inlineStr"/>
    </row>
    <row r="14" ht="22" customHeight="1">
      <c r="A14" s="33">
        <f>'01_인적정보'!A14</f>
        <v/>
      </c>
      <c r="B14" s="33">
        <f>'01_인적정보'!B14</f>
        <v/>
      </c>
      <c r="C14" s="8">
        <f>'01_인적정보'!C14</f>
        <v/>
      </c>
      <c r="D14" s="8">
        <f>'01_인적정보'!E14</f>
        <v/>
      </c>
      <c r="E14" s="16">
        <f>'01_인적정보'!H14</f>
        <v/>
      </c>
      <c r="F14" s="20">
        <f>COUNTIF('14_직무책무DB'!$B$6:$B$80,D14)</f>
        <v/>
      </c>
      <c r="G14" s="21">
        <f>'01_인적정보'!L14</f>
        <v/>
      </c>
      <c r="H14" s="21">
        <f>'07a_상반기입력'!Y14</f>
        <v/>
      </c>
      <c r="I14" s="21">
        <f>'07a_상반기입력'!Z14</f>
        <v/>
      </c>
      <c r="J14" s="57">
        <f>IF(I14&lt;&gt;"",I14,H14)</f>
        <v/>
      </c>
      <c r="K14" s="58">
        <f>IF(J14="","",IF(J14="S",5,IF(J14="A",4,IF(J14="B",3,IF(J14="C",2,IF(J14="D",1,0))))))</f>
        <v/>
      </c>
      <c r="L14" s="4" t="inlineStr"/>
    </row>
    <row r="15" ht="22" customHeight="1">
      <c r="A15" s="33">
        <f>'01_인적정보'!A15</f>
        <v/>
      </c>
      <c r="B15" s="33">
        <f>'01_인적정보'!B15</f>
        <v/>
      </c>
      <c r="C15" s="8">
        <f>'01_인적정보'!C15</f>
        <v/>
      </c>
      <c r="D15" s="8">
        <f>'01_인적정보'!E15</f>
        <v/>
      </c>
      <c r="E15" s="16">
        <f>'01_인적정보'!H15</f>
        <v/>
      </c>
      <c r="F15" s="20">
        <f>COUNTIF('14_직무책무DB'!$B$6:$B$80,D15)</f>
        <v/>
      </c>
      <c r="G15" s="21">
        <f>'01_인적정보'!L15</f>
        <v/>
      </c>
      <c r="H15" s="21">
        <f>'07a_상반기입력'!Y15</f>
        <v/>
      </c>
      <c r="I15" s="21">
        <f>'07a_상반기입력'!Z15</f>
        <v/>
      </c>
      <c r="J15" s="57">
        <f>IF(I15&lt;&gt;"",I15,H15)</f>
        <v/>
      </c>
      <c r="K15" s="58">
        <f>IF(J15="","",IF(J15="S",5,IF(J15="A",4,IF(J15="B",3,IF(J15="C",2,IF(J15="D",1,0))))))</f>
        <v/>
      </c>
      <c r="L15" s="4" t="inlineStr"/>
    </row>
    <row r="16" ht="22" customHeight="1">
      <c r="A16" s="33">
        <f>'01_인적정보'!A16</f>
        <v/>
      </c>
      <c r="B16" s="33">
        <f>'01_인적정보'!B16</f>
        <v/>
      </c>
      <c r="C16" s="8">
        <f>'01_인적정보'!C16</f>
        <v/>
      </c>
      <c r="D16" s="8">
        <f>'01_인적정보'!E16</f>
        <v/>
      </c>
      <c r="E16" s="16">
        <f>'01_인적정보'!H16</f>
        <v/>
      </c>
      <c r="F16" s="20">
        <f>COUNTIF('14_직무책무DB'!$B$6:$B$80,D16)</f>
        <v/>
      </c>
      <c r="G16" s="21">
        <f>'01_인적정보'!L16</f>
        <v/>
      </c>
      <c r="H16" s="21">
        <f>'07a_상반기입력'!Y16</f>
        <v/>
      </c>
      <c r="I16" s="21">
        <f>'07a_상반기입력'!Z16</f>
        <v/>
      </c>
      <c r="J16" s="57">
        <f>IF(I16&lt;&gt;"",I16,H16)</f>
        <v/>
      </c>
      <c r="K16" s="58">
        <f>IF(J16="","",IF(J16="S",5,IF(J16="A",4,IF(J16="B",3,IF(J16="C",2,IF(J16="D",1,0))))))</f>
        <v/>
      </c>
      <c r="L16" s="4" t="inlineStr"/>
    </row>
    <row r="17" ht="22" customHeight="1">
      <c r="A17" s="33">
        <f>'01_인적정보'!A17</f>
        <v/>
      </c>
      <c r="B17" s="33">
        <f>'01_인적정보'!B17</f>
        <v/>
      </c>
      <c r="C17" s="8">
        <f>'01_인적정보'!C17</f>
        <v/>
      </c>
      <c r="D17" s="8">
        <f>'01_인적정보'!E17</f>
        <v/>
      </c>
      <c r="E17" s="16">
        <f>'01_인적정보'!H17</f>
        <v/>
      </c>
      <c r="F17" s="20">
        <f>COUNTIF('14_직무책무DB'!$B$6:$B$80,D17)</f>
        <v/>
      </c>
      <c r="G17" s="21">
        <f>'01_인적정보'!L17</f>
        <v/>
      </c>
      <c r="H17" s="21">
        <f>'07a_상반기입력'!Y17</f>
        <v/>
      </c>
      <c r="I17" s="21">
        <f>'07a_상반기입력'!Z17</f>
        <v/>
      </c>
      <c r="J17" s="57">
        <f>IF(I17&lt;&gt;"",I17,H17)</f>
        <v/>
      </c>
      <c r="K17" s="58">
        <f>IF(J17="","",IF(J17="S",5,IF(J17="A",4,IF(J17="B",3,IF(J17="C",2,IF(J17="D",1,0))))))</f>
        <v/>
      </c>
      <c r="L17" s="4" t="inlineStr"/>
    </row>
    <row r="18" ht="22" customHeight="1">
      <c r="A18" s="33">
        <f>'01_인적정보'!A18</f>
        <v/>
      </c>
      <c r="B18" s="33">
        <f>'01_인적정보'!B18</f>
        <v/>
      </c>
      <c r="C18" s="8">
        <f>'01_인적정보'!C18</f>
        <v/>
      </c>
      <c r="D18" s="8">
        <f>'01_인적정보'!E18</f>
        <v/>
      </c>
      <c r="E18" s="16">
        <f>'01_인적정보'!H18</f>
        <v/>
      </c>
      <c r="F18" s="20">
        <f>COUNTIF('14_직무책무DB'!$B$6:$B$80,D18)</f>
        <v/>
      </c>
      <c r="G18" s="21">
        <f>'01_인적정보'!L18</f>
        <v/>
      </c>
      <c r="H18" s="21">
        <f>'07a_상반기입력'!Y18</f>
        <v/>
      </c>
      <c r="I18" s="21">
        <f>'07a_상반기입력'!Z18</f>
        <v/>
      </c>
      <c r="J18" s="57">
        <f>IF(I18&lt;&gt;"",I18,H18)</f>
        <v/>
      </c>
      <c r="K18" s="58">
        <f>IF(J18="","",IF(J18="S",5,IF(J18="A",4,IF(J18="B",3,IF(J18="C",2,IF(J18="D",1,0))))))</f>
        <v/>
      </c>
      <c r="L18" s="4" t="inlineStr"/>
    </row>
    <row r="19" ht="22" customHeight="1">
      <c r="A19" s="33">
        <f>'01_인적정보'!A19</f>
        <v/>
      </c>
      <c r="B19" s="33">
        <f>'01_인적정보'!B19</f>
        <v/>
      </c>
      <c r="C19" s="8">
        <f>'01_인적정보'!C19</f>
        <v/>
      </c>
      <c r="D19" s="8">
        <f>'01_인적정보'!E19</f>
        <v/>
      </c>
      <c r="E19" s="16">
        <f>'01_인적정보'!H19</f>
        <v/>
      </c>
      <c r="F19" s="20">
        <f>COUNTIF('14_직무책무DB'!$B$6:$B$80,D19)</f>
        <v/>
      </c>
      <c r="G19" s="21">
        <f>'01_인적정보'!L19</f>
        <v/>
      </c>
      <c r="H19" s="21">
        <f>'07a_상반기입력'!Y19</f>
        <v/>
      </c>
      <c r="I19" s="21">
        <f>'07a_상반기입력'!Z19</f>
        <v/>
      </c>
      <c r="J19" s="57">
        <f>IF(I19&lt;&gt;"",I19,H19)</f>
        <v/>
      </c>
      <c r="K19" s="58">
        <f>IF(J19="","",IF(J19="S",5,IF(J19="A",4,IF(J19="B",3,IF(J19="C",2,IF(J19="D",1,0))))))</f>
        <v/>
      </c>
      <c r="L19" s="4" t="inlineStr"/>
    </row>
    <row r="20" ht="22" customHeight="1">
      <c r="A20" s="33">
        <f>'01_인적정보'!A20</f>
        <v/>
      </c>
      <c r="B20" s="33">
        <f>'01_인적정보'!B20</f>
        <v/>
      </c>
      <c r="C20" s="8">
        <f>'01_인적정보'!C20</f>
        <v/>
      </c>
      <c r="D20" s="8">
        <f>'01_인적정보'!E20</f>
        <v/>
      </c>
      <c r="E20" s="16">
        <f>'01_인적정보'!H20</f>
        <v/>
      </c>
      <c r="F20" s="20">
        <f>COUNTIF('14_직무책무DB'!$B$6:$B$80,D20)</f>
        <v/>
      </c>
      <c r="G20" s="21">
        <f>'01_인적정보'!L20</f>
        <v/>
      </c>
      <c r="H20" s="21">
        <f>'07a_상반기입력'!Y20</f>
        <v/>
      </c>
      <c r="I20" s="21">
        <f>'07a_상반기입력'!Z20</f>
        <v/>
      </c>
      <c r="J20" s="57">
        <f>IF(I20&lt;&gt;"",I20,H20)</f>
        <v/>
      </c>
      <c r="K20" s="58">
        <f>IF(J20="","",IF(J20="S",5,IF(J20="A",4,IF(J20="B",3,IF(J20="C",2,IF(J20="D",1,0))))))</f>
        <v/>
      </c>
      <c r="L20" s="4" t="inlineStr"/>
    </row>
    <row r="21" ht="22" customHeight="1">
      <c r="A21" s="33">
        <f>'01_인적정보'!A21</f>
        <v/>
      </c>
      <c r="B21" s="33">
        <f>'01_인적정보'!B21</f>
        <v/>
      </c>
      <c r="C21" s="8">
        <f>'01_인적정보'!C21</f>
        <v/>
      </c>
      <c r="D21" s="8">
        <f>'01_인적정보'!E21</f>
        <v/>
      </c>
      <c r="E21" s="16">
        <f>'01_인적정보'!H21</f>
        <v/>
      </c>
      <c r="F21" s="20">
        <f>COUNTIF('14_직무책무DB'!$B$6:$B$80,D21)</f>
        <v/>
      </c>
      <c r="G21" s="21">
        <f>'01_인적정보'!L21</f>
        <v/>
      </c>
      <c r="H21" s="21">
        <f>'07a_상반기입력'!Y21</f>
        <v/>
      </c>
      <c r="I21" s="21">
        <f>'07a_상반기입력'!Z21</f>
        <v/>
      </c>
      <c r="J21" s="57">
        <f>IF(I21&lt;&gt;"",I21,H21)</f>
        <v/>
      </c>
      <c r="K21" s="58">
        <f>IF(J21="","",IF(J21="S",5,IF(J21="A",4,IF(J21="B",3,IF(J21="C",2,IF(J21="D",1,0))))))</f>
        <v/>
      </c>
      <c r="L21" s="4" t="inlineStr"/>
    </row>
    <row r="22" ht="22" customHeight="1">
      <c r="A22" s="33">
        <f>'01_인적정보'!A22</f>
        <v/>
      </c>
      <c r="B22" s="33">
        <f>'01_인적정보'!B22</f>
        <v/>
      </c>
      <c r="C22" s="8">
        <f>'01_인적정보'!C22</f>
        <v/>
      </c>
      <c r="D22" s="8">
        <f>'01_인적정보'!E22</f>
        <v/>
      </c>
      <c r="E22" s="16">
        <f>'01_인적정보'!H22</f>
        <v/>
      </c>
      <c r="F22" s="20">
        <f>COUNTIF('14_직무책무DB'!$B$6:$B$80,D22)</f>
        <v/>
      </c>
      <c r="G22" s="21">
        <f>'01_인적정보'!L22</f>
        <v/>
      </c>
      <c r="H22" s="21">
        <f>'07a_상반기입력'!Y22</f>
        <v/>
      </c>
      <c r="I22" s="21">
        <f>'07a_상반기입력'!Z22</f>
        <v/>
      </c>
      <c r="J22" s="57">
        <f>IF(I22&lt;&gt;"",I22,H22)</f>
        <v/>
      </c>
      <c r="K22" s="58">
        <f>IF(J22="","",IF(J22="S",5,IF(J22="A",4,IF(J22="B",3,IF(J22="C",2,IF(J22="D",1,0))))))</f>
        <v/>
      </c>
      <c r="L22" s="4" t="inlineStr"/>
    </row>
    <row r="23" ht="22" customHeight="1">
      <c r="A23" s="33">
        <f>'01_인적정보'!A23</f>
        <v/>
      </c>
      <c r="B23" s="33">
        <f>'01_인적정보'!B23</f>
        <v/>
      </c>
      <c r="C23" s="8">
        <f>'01_인적정보'!C23</f>
        <v/>
      </c>
      <c r="D23" s="8">
        <f>'01_인적정보'!E23</f>
        <v/>
      </c>
      <c r="E23" s="16">
        <f>'01_인적정보'!H23</f>
        <v/>
      </c>
      <c r="F23" s="20">
        <f>COUNTIF('14_직무책무DB'!$B$6:$B$80,D23)</f>
        <v/>
      </c>
      <c r="G23" s="21">
        <f>'01_인적정보'!L23</f>
        <v/>
      </c>
      <c r="H23" s="21">
        <f>'07a_상반기입력'!Y23</f>
        <v/>
      </c>
      <c r="I23" s="21">
        <f>'07a_상반기입력'!Z23</f>
        <v/>
      </c>
      <c r="J23" s="57">
        <f>IF(I23&lt;&gt;"",I23,H23)</f>
        <v/>
      </c>
      <c r="K23" s="58">
        <f>IF(J23="","",IF(J23="S",5,IF(J23="A",4,IF(J23="B",3,IF(J23="C",2,IF(J23="D",1,0))))))</f>
        <v/>
      </c>
      <c r="L23" s="4" t="inlineStr"/>
    </row>
    <row r="24" ht="22" customHeight="1">
      <c r="A24" s="33">
        <f>'01_인적정보'!A24</f>
        <v/>
      </c>
      <c r="B24" s="33">
        <f>'01_인적정보'!B24</f>
        <v/>
      </c>
      <c r="C24" s="8">
        <f>'01_인적정보'!C24</f>
        <v/>
      </c>
      <c r="D24" s="8">
        <f>'01_인적정보'!E24</f>
        <v/>
      </c>
      <c r="E24" s="16">
        <f>'01_인적정보'!H24</f>
        <v/>
      </c>
      <c r="F24" s="20">
        <f>COUNTIF('14_직무책무DB'!$B$6:$B$80,D24)</f>
        <v/>
      </c>
      <c r="G24" s="21">
        <f>'01_인적정보'!L24</f>
        <v/>
      </c>
      <c r="H24" s="21">
        <f>'07a_상반기입력'!Y24</f>
        <v/>
      </c>
      <c r="I24" s="21">
        <f>'07a_상반기입력'!Z24</f>
        <v/>
      </c>
      <c r="J24" s="57">
        <f>IF(I24&lt;&gt;"",I24,H24)</f>
        <v/>
      </c>
      <c r="K24" s="58">
        <f>IF(J24="","",IF(J24="S",5,IF(J24="A",4,IF(J24="B",3,IF(J24="C",2,IF(J24="D",1,0))))))</f>
        <v/>
      </c>
      <c r="L24" s="4" t="inlineStr"/>
    </row>
    <row r="25" ht="22" customHeight="1">
      <c r="A25" s="33">
        <f>'01_인적정보'!A25</f>
        <v/>
      </c>
      <c r="B25" s="33">
        <f>'01_인적정보'!B25</f>
        <v/>
      </c>
      <c r="C25" s="8">
        <f>'01_인적정보'!C25</f>
        <v/>
      </c>
      <c r="D25" s="8">
        <f>'01_인적정보'!E25</f>
        <v/>
      </c>
      <c r="E25" s="16">
        <f>'01_인적정보'!H25</f>
        <v/>
      </c>
      <c r="F25" s="20">
        <f>COUNTIF('14_직무책무DB'!$B$6:$B$80,D25)</f>
        <v/>
      </c>
      <c r="G25" s="21">
        <f>'01_인적정보'!L25</f>
        <v/>
      </c>
      <c r="H25" s="21">
        <f>'07a_상반기입력'!Y25</f>
        <v/>
      </c>
      <c r="I25" s="21">
        <f>'07a_상반기입력'!Z25</f>
        <v/>
      </c>
      <c r="J25" s="57">
        <f>IF(I25&lt;&gt;"",I25,H25)</f>
        <v/>
      </c>
      <c r="K25" s="58">
        <f>IF(J25="","",IF(J25="S",5,IF(J25="A",4,IF(J25="B",3,IF(J25="C",2,IF(J25="D",1,0))))))</f>
        <v/>
      </c>
      <c r="L25" s="4" t="inlineStr"/>
    </row>
    <row r="26" ht="22" customHeight="1">
      <c r="A26" s="33">
        <f>'01_인적정보'!A26</f>
        <v/>
      </c>
      <c r="B26" s="33">
        <f>'01_인적정보'!B26</f>
        <v/>
      </c>
      <c r="C26" s="8">
        <f>'01_인적정보'!C26</f>
        <v/>
      </c>
      <c r="D26" s="8">
        <f>'01_인적정보'!E26</f>
        <v/>
      </c>
      <c r="E26" s="16">
        <f>'01_인적정보'!H26</f>
        <v/>
      </c>
      <c r="F26" s="20">
        <f>COUNTIF('14_직무책무DB'!$B$6:$B$80,D26)</f>
        <v/>
      </c>
      <c r="G26" s="21">
        <f>'01_인적정보'!L26</f>
        <v/>
      </c>
      <c r="H26" s="21">
        <f>'07a_상반기입력'!Y26</f>
        <v/>
      </c>
      <c r="I26" s="21">
        <f>'07a_상반기입력'!Z26</f>
        <v/>
      </c>
      <c r="J26" s="57">
        <f>IF(I26&lt;&gt;"",I26,H26)</f>
        <v/>
      </c>
      <c r="K26" s="58">
        <f>IF(J26="","",IF(J26="S",5,IF(J26="A",4,IF(J26="B",3,IF(J26="C",2,IF(J26="D",1,0))))))</f>
        <v/>
      </c>
      <c r="L26" s="4" t="inlineStr"/>
    </row>
    <row r="27" ht="22" customHeight="1">
      <c r="A27" s="33">
        <f>'01_인적정보'!A27</f>
        <v/>
      </c>
      <c r="B27" s="33">
        <f>'01_인적정보'!B27</f>
        <v/>
      </c>
      <c r="C27" s="8">
        <f>'01_인적정보'!C27</f>
        <v/>
      </c>
      <c r="D27" s="8">
        <f>'01_인적정보'!E27</f>
        <v/>
      </c>
      <c r="E27" s="16">
        <f>'01_인적정보'!H27</f>
        <v/>
      </c>
      <c r="F27" s="20">
        <f>COUNTIF('14_직무책무DB'!$B$6:$B$80,D27)</f>
        <v/>
      </c>
      <c r="G27" s="21">
        <f>'01_인적정보'!L27</f>
        <v/>
      </c>
      <c r="H27" s="21">
        <f>'07a_상반기입력'!Y27</f>
        <v/>
      </c>
      <c r="I27" s="21">
        <f>'07a_상반기입력'!Z27</f>
        <v/>
      </c>
      <c r="J27" s="57">
        <f>IF(I27&lt;&gt;"",I27,H27)</f>
        <v/>
      </c>
      <c r="K27" s="58">
        <f>IF(J27="","",IF(J27="S",5,IF(J27="A",4,IF(J27="B",3,IF(J27="C",2,IF(J27="D",1,0))))))</f>
        <v/>
      </c>
      <c r="L27" s="4" t="inlineStr"/>
    </row>
    <row r="28" ht="22" customHeight="1">
      <c r="A28" s="33">
        <f>'01_인적정보'!A28</f>
        <v/>
      </c>
      <c r="B28" s="33">
        <f>'01_인적정보'!B28</f>
        <v/>
      </c>
      <c r="C28" s="8">
        <f>'01_인적정보'!C28</f>
        <v/>
      </c>
      <c r="D28" s="8">
        <f>'01_인적정보'!E28</f>
        <v/>
      </c>
      <c r="E28" s="16">
        <f>'01_인적정보'!H28</f>
        <v/>
      </c>
      <c r="F28" s="20">
        <f>COUNTIF('14_직무책무DB'!$B$6:$B$80,D28)</f>
        <v/>
      </c>
      <c r="G28" s="21">
        <f>'01_인적정보'!L28</f>
        <v/>
      </c>
      <c r="H28" s="21">
        <f>'07a_상반기입력'!Y28</f>
        <v/>
      </c>
      <c r="I28" s="21">
        <f>'07a_상반기입력'!Z28</f>
        <v/>
      </c>
      <c r="J28" s="57">
        <f>IF(I28&lt;&gt;"",I28,H28)</f>
        <v/>
      </c>
      <c r="K28" s="58">
        <f>IF(J28="","",IF(J28="S",5,IF(J28="A",4,IF(J28="B",3,IF(J28="C",2,IF(J28="D",1,0))))))</f>
        <v/>
      </c>
      <c r="L28" s="4" t="inlineStr"/>
    </row>
    <row r="29" ht="22" customHeight="1">
      <c r="A29" s="33">
        <f>'01_인적정보'!A29</f>
        <v/>
      </c>
      <c r="B29" s="33">
        <f>'01_인적정보'!B29</f>
        <v/>
      </c>
      <c r="C29" s="8">
        <f>'01_인적정보'!C29</f>
        <v/>
      </c>
      <c r="D29" s="8">
        <f>'01_인적정보'!E29</f>
        <v/>
      </c>
      <c r="E29" s="16">
        <f>'01_인적정보'!H29</f>
        <v/>
      </c>
      <c r="F29" s="20">
        <f>COUNTIF('14_직무책무DB'!$B$6:$B$80,D29)</f>
        <v/>
      </c>
      <c r="G29" s="21">
        <f>'01_인적정보'!L29</f>
        <v/>
      </c>
      <c r="H29" s="21">
        <f>'07a_상반기입력'!Y29</f>
        <v/>
      </c>
      <c r="I29" s="21">
        <f>'07a_상반기입력'!Z29</f>
        <v/>
      </c>
      <c r="J29" s="57">
        <f>IF(I29&lt;&gt;"",I29,H29)</f>
        <v/>
      </c>
      <c r="K29" s="58">
        <f>IF(J29="","",IF(J29="S",5,IF(J29="A",4,IF(J29="B",3,IF(J29="C",2,IF(J29="D",1,0))))))</f>
        <v/>
      </c>
      <c r="L29" s="4" t="inlineStr"/>
    </row>
    <row r="30" ht="22" customHeight="1">
      <c r="A30" s="33">
        <f>'01_인적정보'!A30</f>
        <v/>
      </c>
      <c r="B30" s="33">
        <f>'01_인적정보'!B30</f>
        <v/>
      </c>
      <c r="C30" s="8">
        <f>'01_인적정보'!C30</f>
        <v/>
      </c>
      <c r="D30" s="8">
        <f>'01_인적정보'!E30</f>
        <v/>
      </c>
      <c r="E30" s="16">
        <f>'01_인적정보'!H30</f>
        <v/>
      </c>
      <c r="F30" s="20">
        <f>COUNTIF('14_직무책무DB'!$B$6:$B$80,D30)</f>
        <v/>
      </c>
      <c r="G30" s="21">
        <f>'01_인적정보'!L30</f>
        <v/>
      </c>
      <c r="H30" s="21">
        <f>'07a_상반기입력'!Y30</f>
        <v/>
      </c>
      <c r="I30" s="21">
        <f>'07a_상반기입력'!Z30</f>
        <v/>
      </c>
      <c r="J30" s="57">
        <f>IF(I30&lt;&gt;"",I30,H30)</f>
        <v/>
      </c>
      <c r="K30" s="58">
        <f>IF(J30="","",IF(J30="S",5,IF(J30="A",4,IF(J30="B",3,IF(J30="C",2,IF(J30="D",1,0))))))</f>
        <v/>
      </c>
      <c r="L30" s="4" t="inlineStr"/>
    </row>
    <row r="31" ht="22" customHeight="1">
      <c r="A31" s="33">
        <f>'01_인적정보'!A31</f>
        <v/>
      </c>
      <c r="B31" s="33">
        <f>'01_인적정보'!B31</f>
        <v/>
      </c>
      <c r="C31" s="8">
        <f>'01_인적정보'!C31</f>
        <v/>
      </c>
      <c r="D31" s="8">
        <f>'01_인적정보'!E31</f>
        <v/>
      </c>
      <c r="E31" s="16">
        <f>'01_인적정보'!H31</f>
        <v/>
      </c>
      <c r="F31" s="20">
        <f>COUNTIF('14_직무책무DB'!$B$6:$B$80,D31)</f>
        <v/>
      </c>
      <c r="G31" s="21">
        <f>'01_인적정보'!L31</f>
        <v/>
      </c>
      <c r="H31" s="21">
        <f>'07a_상반기입력'!Y31</f>
        <v/>
      </c>
      <c r="I31" s="21">
        <f>'07a_상반기입력'!Z31</f>
        <v/>
      </c>
      <c r="J31" s="57">
        <f>IF(I31&lt;&gt;"",I31,H31)</f>
        <v/>
      </c>
      <c r="K31" s="58">
        <f>IF(J31="","",IF(J31="S",5,IF(J31="A",4,IF(J31="B",3,IF(J31="C",2,IF(J31="D",1,0))))))</f>
        <v/>
      </c>
      <c r="L31" s="4" t="inlineStr"/>
    </row>
    <row r="32" ht="22" customHeight="1">
      <c r="A32" s="33">
        <f>'01_인적정보'!A32</f>
        <v/>
      </c>
      <c r="B32" s="33">
        <f>'01_인적정보'!B32</f>
        <v/>
      </c>
      <c r="C32" s="8">
        <f>'01_인적정보'!C32</f>
        <v/>
      </c>
      <c r="D32" s="8">
        <f>'01_인적정보'!E32</f>
        <v/>
      </c>
      <c r="E32" s="16">
        <f>'01_인적정보'!H32</f>
        <v/>
      </c>
      <c r="F32" s="20">
        <f>COUNTIF('14_직무책무DB'!$B$6:$B$80,D32)</f>
        <v/>
      </c>
      <c r="G32" s="21">
        <f>'01_인적정보'!L32</f>
        <v/>
      </c>
      <c r="H32" s="21">
        <f>'07a_상반기입력'!Y32</f>
        <v/>
      </c>
      <c r="I32" s="21">
        <f>'07a_상반기입력'!Z32</f>
        <v/>
      </c>
      <c r="J32" s="57">
        <f>IF(I32&lt;&gt;"",I32,H32)</f>
        <v/>
      </c>
      <c r="K32" s="58">
        <f>IF(J32="","",IF(J32="S",5,IF(J32="A",4,IF(J32="B",3,IF(J32="C",2,IF(J32="D",1,0))))))</f>
        <v/>
      </c>
      <c r="L32" s="4" t="inlineStr"/>
    </row>
    <row r="33" ht="22" customHeight="1">
      <c r="A33" s="33">
        <f>'01_인적정보'!A33</f>
        <v/>
      </c>
      <c r="B33" s="33">
        <f>'01_인적정보'!B33</f>
        <v/>
      </c>
      <c r="C33" s="8">
        <f>'01_인적정보'!C33</f>
        <v/>
      </c>
      <c r="D33" s="8">
        <f>'01_인적정보'!E33</f>
        <v/>
      </c>
      <c r="E33" s="16">
        <f>'01_인적정보'!H33</f>
        <v/>
      </c>
      <c r="F33" s="20">
        <f>COUNTIF('14_직무책무DB'!$B$6:$B$80,D33)</f>
        <v/>
      </c>
      <c r="G33" s="21">
        <f>'01_인적정보'!L33</f>
        <v/>
      </c>
      <c r="H33" s="21">
        <f>'07a_상반기입력'!Y33</f>
        <v/>
      </c>
      <c r="I33" s="21">
        <f>'07a_상반기입력'!Z33</f>
        <v/>
      </c>
      <c r="J33" s="57">
        <f>IF(I33&lt;&gt;"",I33,H33)</f>
        <v/>
      </c>
      <c r="K33" s="58">
        <f>IF(J33="","",IF(J33="S",5,IF(J33="A",4,IF(J33="B",3,IF(J33="C",2,IF(J33="D",1,0))))))</f>
        <v/>
      </c>
      <c r="L33" s="4" t="inlineStr"/>
    </row>
    <row r="34" ht="22" customHeight="1">
      <c r="A34" s="33">
        <f>'01_인적정보'!A34</f>
        <v/>
      </c>
      <c r="B34" s="33">
        <f>'01_인적정보'!B34</f>
        <v/>
      </c>
      <c r="C34" s="8">
        <f>'01_인적정보'!C34</f>
        <v/>
      </c>
      <c r="D34" s="8">
        <f>'01_인적정보'!E34</f>
        <v/>
      </c>
      <c r="E34" s="16">
        <f>'01_인적정보'!H34</f>
        <v/>
      </c>
      <c r="F34" s="20">
        <f>COUNTIF('14_직무책무DB'!$B$6:$B$80,D34)</f>
        <v/>
      </c>
      <c r="G34" s="21">
        <f>'01_인적정보'!L34</f>
        <v/>
      </c>
      <c r="H34" s="21">
        <f>'07a_상반기입력'!Y34</f>
        <v/>
      </c>
      <c r="I34" s="21">
        <f>'07a_상반기입력'!Z34</f>
        <v/>
      </c>
      <c r="J34" s="57">
        <f>IF(I34&lt;&gt;"",I34,H34)</f>
        <v/>
      </c>
      <c r="K34" s="58">
        <f>IF(J34="","",IF(J34="S",5,IF(J34="A",4,IF(J34="B",3,IF(J34="C",2,IF(J34="D",1,0))))))</f>
        <v/>
      </c>
      <c r="L34" s="4" t="inlineStr"/>
    </row>
    <row r="35" ht="22" customHeight="1">
      <c r="A35" s="33">
        <f>'01_인적정보'!A35</f>
        <v/>
      </c>
      <c r="B35" s="33">
        <f>'01_인적정보'!B35</f>
        <v/>
      </c>
      <c r="C35" s="8">
        <f>'01_인적정보'!C35</f>
        <v/>
      </c>
      <c r="D35" s="8">
        <f>'01_인적정보'!E35</f>
        <v/>
      </c>
      <c r="E35" s="16">
        <f>'01_인적정보'!H35</f>
        <v/>
      </c>
      <c r="F35" s="20">
        <f>COUNTIF('14_직무책무DB'!$B$6:$B$80,D35)</f>
        <v/>
      </c>
      <c r="G35" s="21">
        <f>'01_인적정보'!L35</f>
        <v/>
      </c>
      <c r="H35" s="21">
        <f>'07a_상반기입력'!Y35</f>
        <v/>
      </c>
      <c r="I35" s="21">
        <f>'07a_상반기입력'!Z35</f>
        <v/>
      </c>
      <c r="J35" s="57">
        <f>IF(I35&lt;&gt;"",I35,H35)</f>
        <v/>
      </c>
      <c r="K35" s="58">
        <f>IF(J35="","",IF(J35="S",5,IF(J35="A",4,IF(J35="B",3,IF(J35="C",2,IF(J35="D",1,0))))))</f>
        <v/>
      </c>
      <c r="L35" s="4" t="inlineStr"/>
    </row>
    <row r="36" ht="22" customHeight="1">
      <c r="A36" s="33">
        <f>'01_인적정보'!A36</f>
        <v/>
      </c>
      <c r="B36" s="33">
        <f>'01_인적정보'!B36</f>
        <v/>
      </c>
      <c r="C36" s="8">
        <f>'01_인적정보'!C36</f>
        <v/>
      </c>
      <c r="D36" s="8">
        <f>'01_인적정보'!E36</f>
        <v/>
      </c>
      <c r="E36" s="16">
        <f>'01_인적정보'!H36</f>
        <v/>
      </c>
      <c r="F36" s="20">
        <f>COUNTIF('14_직무책무DB'!$B$6:$B$80,D36)</f>
        <v/>
      </c>
      <c r="G36" s="21">
        <f>'01_인적정보'!L36</f>
        <v/>
      </c>
      <c r="H36" s="21">
        <f>'07a_상반기입력'!Y36</f>
        <v/>
      </c>
      <c r="I36" s="21">
        <f>'07a_상반기입력'!Z36</f>
        <v/>
      </c>
      <c r="J36" s="57">
        <f>IF(I36&lt;&gt;"",I36,H36)</f>
        <v/>
      </c>
      <c r="K36" s="58">
        <f>IF(J36="","",IF(J36="S",5,IF(J36="A",4,IF(J36="B",3,IF(J36="C",2,IF(J36="D",1,0))))))</f>
        <v/>
      </c>
      <c r="L36" s="4" t="inlineStr"/>
    </row>
    <row r="37" ht="22" customHeight="1">
      <c r="A37" s="33">
        <f>'01_인적정보'!A37</f>
        <v/>
      </c>
      <c r="B37" s="33">
        <f>'01_인적정보'!B37</f>
        <v/>
      </c>
      <c r="C37" s="8">
        <f>'01_인적정보'!C37</f>
        <v/>
      </c>
      <c r="D37" s="8">
        <f>'01_인적정보'!E37</f>
        <v/>
      </c>
      <c r="E37" s="16">
        <f>'01_인적정보'!H37</f>
        <v/>
      </c>
      <c r="F37" s="20">
        <f>COUNTIF('14_직무책무DB'!$B$6:$B$80,D37)</f>
        <v/>
      </c>
      <c r="G37" s="21">
        <f>'01_인적정보'!L37</f>
        <v/>
      </c>
      <c r="H37" s="21">
        <f>'07a_상반기입력'!Y37</f>
        <v/>
      </c>
      <c r="I37" s="21">
        <f>'07a_상반기입력'!Z37</f>
        <v/>
      </c>
      <c r="J37" s="57">
        <f>IF(I37&lt;&gt;"",I37,H37)</f>
        <v/>
      </c>
      <c r="K37" s="58">
        <f>IF(J37="","",IF(J37="S",5,IF(J37="A",4,IF(J37="B",3,IF(J37="C",2,IF(J37="D",1,0))))))</f>
        <v/>
      </c>
      <c r="L37" s="4" t="inlineStr"/>
    </row>
    <row r="38" ht="22" customHeight="1">
      <c r="A38" s="33">
        <f>'01_인적정보'!A38</f>
        <v/>
      </c>
      <c r="B38" s="33">
        <f>'01_인적정보'!B38</f>
        <v/>
      </c>
      <c r="C38" s="8">
        <f>'01_인적정보'!C38</f>
        <v/>
      </c>
      <c r="D38" s="8">
        <f>'01_인적정보'!E38</f>
        <v/>
      </c>
      <c r="E38" s="16">
        <f>'01_인적정보'!H38</f>
        <v/>
      </c>
      <c r="F38" s="20">
        <f>COUNTIF('14_직무책무DB'!$B$6:$B$80,D38)</f>
        <v/>
      </c>
      <c r="G38" s="21">
        <f>'01_인적정보'!L38</f>
        <v/>
      </c>
      <c r="H38" s="21">
        <f>'07a_상반기입력'!Y38</f>
        <v/>
      </c>
      <c r="I38" s="21">
        <f>'07a_상반기입력'!Z38</f>
        <v/>
      </c>
      <c r="J38" s="57">
        <f>IF(I38&lt;&gt;"",I38,H38)</f>
        <v/>
      </c>
      <c r="K38" s="58">
        <f>IF(J38="","",IF(J38="S",5,IF(J38="A",4,IF(J38="B",3,IF(J38="C",2,IF(J38="D",1,0))))))</f>
        <v/>
      </c>
      <c r="L38" s="4" t="inlineStr"/>
    </row>
    <row r="39" ht="22" customHeight="1">
      <c r="A39" s="33">
        <f>'01_인적정보'!A39</f>
        <v/>
      </c>
      <c r="B39" s="33">
        <f>'01_인적정보'!B39</f>
        <v/>
      </c>
      <c r="C39" s="8">
        <f>'01_인적정보'!C39</f>
        <v/>
      </c>
      <c r="D39" s="8">
        <f>'01_인적정보'!E39</f>
        <v/>
      </c>
      <c r="E39" s="16">
        <f>'01_인적정보'!H39</f>
        <v/>
      </c>
      <c r="F39" s="20">
        <f>COUNTIF('14_직무책무DB'!$B$6:$B$80,D39)</f>
        <v/>
      </c>
      <c r="G39" s="21">
        <f>'01_인적정보'!L39</f>
        <v/>
      </c>
      <c r="H39" s="21">
        <f>'07a_상반기입력'!Y39</f>
        <v/>
      </c>
      <c r="I39" s="21">
        <f>'07a_상반기입력'!Z39</f>
        <v/>
      </c>
      <c r="J39" s="57">
        <f>IF(I39&lt;&gt;"",I39,H39)</f>
        <v/>
      </c>
      <c r="K39" s="58">
        <f>IF(J39="","",IF(J39="S",5,IF(J39="A",4,IF(J39="B",3,IF(J39="C",2,IF(J39="D",1,0))))))</f>
        <v/>
      </c>
      <c r="L39" s="4" t="inlineStr"/>
    </row>
    <row r="49">
      <c r="A49" s="54" t="inlineStr">
        <is>
          <t>■ 하반기 직무역량평가</t>
        </is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9" t="n"/>
    </row>
    <row r="50" ht="32" customHeight="1">
      <c r="A50" s="22" t="inlineStr">
        <is>
          <t>No.</t>
        </is>
      </c>
      <c r="B50" s="22" t="inlineStr">
        <is>
          <t>사번</t>
        </is>
      </c>
      <c r="C50" s="22" t="inlineStr">
        <is>
          <t>성명</t>
        </is>
      </c>
      <c r="D50" s="22" t="inlineStr">
        <is>
          <t>직무</t>
        </is>
      </c>
      <c r="E50" s="22" t="inlineStr">
        <is>
          <t>역할등급</t>
        </is>
      </c>
      <c r="F50" s="22" t="inlineStr">
        <is>
          <t>직무 책무 수</t>
        </is>
      </c>
      <c r="G50" s="22" t="inlineStr">
        <is>
          <t>메인 책무 수</t>
        </is>
      </c>
      <c r="H50" s="22" t="inlineStr">
        <is>
          <t>1차(종합)</t>
        </is>
      </c>
      <c r="I50" s="22" t="inlineStr">
        <is>
          <t>2차(종합)</t>
        </is>
      </c>
      <c r="J50" s="22" t="inlineStr">
        <is>
          <t>확정등급</t>
        </is>
      </c>
      <c r="K50" s="22" t="inlineStr">
        <is>
          <t>평가점수</t>
        </is>
      </c>
      <c r="L50" s="22" t="inlineStr">
        <is>
          <t>소견</t>
        </is>
      </c>
    </row>
    <row r="51" ht="22" customHeight="1">
      <c r="A51" s="33">
        <f>'01_인적정보'!A6</f>
        <v/>
      </c>
      <c r="B51" s="33">
        <f>'01_인적정보'!B6</f>
        <v/>
      </c>
      <c r="C51" s="8">
        <f>'01_인적정보'!C6</f>
        <v/>
      </c>
      <c r="D51" s="8">
        <f>'01_인적정보'!E6</f>
        <v/>
      </c>
      <c r="E51" s="16">
        <f>'01_인적정보'!H6</f>
        <v/>
      </c>
      <c r="F51" s="20">
        <f>COUNTIF('14_직무책무DB'!$B$6:$B$80,D51)</f>
        <v/>
      </c>
      <c r="G51" s="21">
        <f>'01_인적정보'!L6</f>
        <v/>
      </c>
      <c r="H51" s="21">
        <f>'07b_하반기입력'!Y6</f>
        <v/>
      </c>
      <c r="I51" s="21">
        <f>'07b_하반기입력'!Z6</f>
        <v/>
      </c>
      <c r="J51" s="57">
        <f>IF(I51&lt;&gt;"",I51,H51)</f>
        <v/>
      </c>
      <c r="K51" s="58">
        <f>IF(J51="","",IF(J51="S",5,IF(J51="A",4,IF(J51="B",3,IF(J51="C",2,IF(J51="D",1,0))))))</f>
        <v/>
      </c>
      <c r="L51" s="4" t="inlineStr"/>
    </row>
    <row r="52" ht="22" customHeight="1">
      <c r="A52" s="33">
        <f>'01_인적정보'!A7</f>
        <v/>
      </c>
      <c r="B52" s="33">
        <f>'01_인적정보'!B7</f>
        <v/>
      </c>
      <c r="C52" s="8">
        <f>'01_인적정보'!C7</f>
        <v/>
      </c>
      <c r="D52" s="8">
        <f>'01_인적정보'!E7</f>
        <v/>
      </c>
      <c r="E52" s="16">
        <f>'01_인적정보'!H7</f>
        <v/>
      </c>
      <c r="F52" s="20">
        <f>COUNTIF('14_직무책무DB'!$B$6:$B$80,D52)</f>
        <v/>
      </c>
      <c r="G52" s="21">
        <f>'01_인적정보'!L7</f>
        <v/>
      </c>
      <c r="H52" s="21">
        <f>'07b_하반기입력'!Y7</f>
        <v/>
      </c>
      <c r="I52" s="21">
        <f>'07b_하반기입력'!Z7</f>
        <v/>
      </c>
      <c r="J52" s="57">
        <f>IF(I52&lt;&gt;"",I52,H52)</f>
        <v/>
      </c>
      <c r="K52" s="58">
        <f>IF(J52="","",IF(J52="S",5,IF(J52="A",4,IF(J52="B",3,IF(J52="C",2,IF(J52="D",1,0))))))</f>
        <v/>
      </c>
      <c r="L52" s="4" t="inlineStr"/>
    </row>
    <row r="53" ht="22" customHeight="1">
      <c r="A53" s="33">
        <f>'01_인적정보'!A8</f>
        <v/>
      </c>
      <c r="B53" s="33">
        <f>'01_인적정보'!B8</f>
        <v/>
      </c>
      <c r="C53" s="8">
        <f>'01_인적정보'!C8</f>
        <v/>
      </c>
      <c r="D53" s="8">
        <f>'01_인적정보'!E8</f>
        <v/>
      </c>
      <c r="E53" s="16">
        <f>'01_인적정보'!H8</f>
        <v/>
      </c>
      <c r="F53" s="20">
        <f>COUNTIF('14_직무책무DB'!$B$6:$B$80,D53)</f>
        <v/>
      </c>
      <c r="G53" s="21">
        <f>'01_인적정보'!L8</f>
        <v/>
      </c>
      <c r="H53" s="21">
        <f>'07b_하반기입력'!Y8</f>
        <v/>
      </c>
      <c r="I53" s="21">
        <f>'07b_하반기입력'!Z8</f>
        <v/>
      </c>
      <c r="J53" s="57">
        <f>IF(I53&lt;&gt;"",I53,H53)</f>
        <v/>
      </c>
      <c r="K53" s="58">
        <f>IF(J53="","",IF(J53="S",5,IF(J53="A",4,IF(J53="B",3,IF(J53="C",2,IF(J53="D",1,0))))))</f>
        <v/>
      </c>
      <c r="L53" s="4" t="inlineStr"/>
    </row>
    <row r="54" ht="22" customHeight="1">
      <c r="A54" s="33">
        <f>'01_인적정보'!A9</f>
        <v/>
      </c>
      <c r="B54" s="33">
        <f>'01_인적정보'!B9</f>
        <v/>
      </c>
      <c r="C54" s="8">
        <f>'01_인적정보'!C9</f>
        <v/>
      </c>
      <c r="D54" s="8">
        <f>'01_인적정보'!E9</f>
        <v/>
      </c>
      <c r="E54" s="16">
        <f>'01_인적정보'!H9</f>
        <v/>
      </c>
      <c r="F54" s="20">
        <f>COUNTIF('14_직무책무DB'!$B$6:$B$80,D54)</f>
        <v/>
      </c>
      <c r="G54" s="21">
        <f>'01_인적정보'!L9</f>
        <v/>
      </c>
      <c r="H54" s="21">
        <f>'07b_하반기입력'!Y9</f>
        <v/>
      </c>
      <c r="I54" s="21">
        <f>'07b_하반기입력'!Z9</f>
        <v/>
      </c>
      <c r="J54" s="57">
        <f>IF(I54&lt;&gt;"",I54,H54)</f>
        <v/>
      </c>
      <c r="K54" s="58">
        <f>IF(J54="","",IF(J54="S",5,IF(J54="A",4,IF(J54="B",3,IF(J54="C",2,IF(J54="D",1,0))))))</f>
        <v/>
      </c>
      <c r="L54" s="4" t="inlineStr"/>
    </row>
    <row r="55" ht="22" customHeight="1">
      <c r="A55" s="33">
        <f>'01_인적정보'!A10</f>
        <v/>
      </c>
      <c r="B55" s="33">
        <f>'01_인적정보'!B10</f>
        <v/>
      </c>
      <c r="C55" s="8">
        <f>'01_인적정보'!C10</f>
        <v/>
      </c>
      <c r="D55" s="8">
        <f>'01_인적정보'!E10</f>
        <v/>
      </c>
      <c r="E55" s="16">
        <f>'01_인적정보'!H10</f>
        <v/>
      </c>
      <c r="F55" s="20">
        <f>COUNTIF('14_직무책무DB'!$B$6:$B$80,D55)</f>
        <v/>
      </c>
      <c r="G55" s="21">
        <f>'01_인적정보'!L10</f>
        <v/>
      </c>
      <c r="H55" s="21">
        <f>'07b_하반기입력'!Y10</f>
        <v/>
      </c>
      <c r="I55" s="21">
        <f>'07b_하반기입력'!Z10</f>
        <v/>
      </c>
      <c r="J55" s="57">
        <f>IF(I55&lt;&gt;"",I55,H55)</f>
        <v/>
      </c>
      <c r="K55" s="58">
        <f>IF(J55="","",IF(J55="S",5,IF(J55="A",4,IF(J55="B",3,IF(J55="C",2,IF(J55="D",1,0))))))</f>
        <v/>
      </c>
      <c r="L55" s="4" t="inlineStr"/>
    </row>
    <row r="56" ht="22" customHeight="1">
      <c r="A56" s="33">
        <f>'01_인적정보'!A11</f>
        <v/>
      </c>
      <c r="B56" s="33">
        <f>'01_인적정보'!B11</f>
        <v/>
      </c>
      <c r="C56" s="8">
        <f>'01_인적정보'!C11</f>
        <v/>
      </c>
      <c r="D56" s="8">
        <f>'01_인적정보'!E11</f>
        <v/>
      </c>
      <c r="E56" s="16">
        <f>'01_인적정보'!H11</f>
        <v/>
      </c>
      <c r="F56" s="20">
        <f>COUNTIF('14_직무책무DB'!$B$6:$B$80,D56)</f>
        <v/>
      </c>
      <c r="G56" s="21">
        <f>'01_인적정보'!L11</f>
        <v/>
      </c>
      <c r="H56" s="21">
        <f>'07b_하반기입력'!Y11</f>
        <v/>
      </c>
      <c r="I56" s="21">
        <f>'07b_하반기입력'!Z11</f>
        <v/>
      </c>
      <c r="J56" s="57">
        <f>IF(I56&lt;&gt;"",I56,H56)</f>
        <v/>
      </c>
      <c r="K56" s="58">
        <f>IF(J56="","",IF(J56="S",5,IF(J56="A",4,IF(J56="B",3,IF(J56="C",2,IF(J56="D",1,0))))))</f>
        <v/>
      </c>
      <c r="L56" s="4" t="inlineStr"/>
    </row>
    <row r="57" ht="22" customHeight="1">
      <c r="A57" s="33">
        <f>'01_인적정보'!A12</f>
        <v/>
      </c>
      <c r="B57" s="33">
        <f>'01_인적정보'!B12</f>
        <v/>
      </c>
      <c r="C57" s="8">
        <f>'01_인적정보'!C12</f>
        <v/>
      </c>
      <c r="D57" s="8">
        <f>'01_인적정보'!E12</f>
        <v/>
      </c>
      <c r="E57" s="16">
        <f>'01_인적정보'!H12</f>
        <v/>
      </c>
      <c r="F57" s="20">
        <f>COUNTIF('14_직무책무DB'!$B$6:$B$80,D57)</f>
        <v/>
      </c>
      <c r="G57" s="21">
        <f>'01_인적정보'!L12</f>
        <v/>
      </c>
      <c r="H57" s="21">
        <f>'07b_하반기입력'!Y12</f>
        <v/>
      </c>
      <c r="I57" s="21">
        <f>'07b_하반기입력'!Z12</f>
        <v/>
      </c>
      <c r="J57" s="57">
        <f>IF(I57&lt;&gt;"",I57,H57)</f>
        <v/>
      </c>
      <c r="K57" s="58">
        <f>IF(J57="","",IF(J57="S",5,IF(J57="A",4,IF(J57="B",3,IF(J57="C",2,IF(J57="D",1,0))))))</f>
        <v/>
      </c>
      <c r="L57" s="4" t="inlineStr"/>
    </row>
    <row r="58" ht="22" customHeight="1">
      <c r="A58" s="33">
        <f>'01_인적정보'!A13</f>
        <v/>
      </c>
      <c r="B58" s="33">
        <f>'01_인적정보'!B13</f>
        <v/>
      </c>
      <c r="C58" s="8">
        <f>'01_인적정보'!C13</f>
        <v/>
      </c>
      <c r="D58" s="8">
        <f>'01_인적정보'!E13</f>
        <v/>
      </c>
      <c r="E58" s="16">
        <f>'01_인적정보'!H13</f>
        <v/>
      </c>
      <c r="F58" s="20">
        <f>COUNTIF('14_직무책무DB'!$B$6:$B$80,D58)</f>
        <v/>
      </c>
      <c r="G58" s="21">
        <f>'01_인적정보'!L13</f>
        <v/>
      </c>
      <c r="H58" s="21">
        <f>'07b_하반기입력'!Y13</f>
        <v/>
      </c>
      <c r="I58" s="21">
        <f>'07b_하반기입력'!Z13</f>
        <v/>
      </c>
      <c r="J58" s="57">
        <f>IF(I58&lt;&gt;"",I58,H58)</f>
        <v/>
      </c>
      <c r="K58" s="58">
        <f>IF(J58="","",IF(J58="S",5,IF(J58="A",4,IF(J58="B",3,IF(J58="C",2,IF(J58="D",1,0))))))</f>
        <v/>
      </c>
      <c r="L58" s="4" t="inlineStr"/>
    </row>
    <row r="59" ht="22" customHeight="1">
      <c r="A59" s="33">
        <f>'01_인적정보'!A14</f>
        <v/>
      </c>
      <c r="B59" s="33">
        <f>'01_인적정보'!B14</f>
        <v/>
      </c>
      <c r="C59" s="8">
        <f>'01_인적정보'!C14</f>
        <v/>
      </c>
      <c r="D59" s="8">
        <f>'01_인적정보'!E14</f>
        <v/>
      </c>
      <c r="E59" s="16">
        <f>'01_인적정보'!H14</f>
        <v/>
      </c>
      <c r="F59" s="20">
        <f>COUNTIF('14_직무책무DB'!$B$6:$B$80,D59)</f>
        <v/>
      </c>
      <c r="G59" s="21">
        <f>'01_인적정보'!L14</f>
        <v/>
      </c>
      <c r="H59" s="21">
        <f>'07b_하반기입력'!Y14</f>
        <v/>
      </c>
      <c r="I59" s="21">
        <f>'07b_하반기입력'!Z14</f>
        <v/>
      </c>
      <c r="J59" s="57">
        <f>IF(I59&lt;&gt;"",I59,H59)</f>
        <v/>
      </c>
      <c r="K59" s="58">
        <f>IF(J59="","",IF(J59="S",5,IF(J59="A",4,IF(J59="B",3,IF(J59="C",2,IF(J59="D",1,0))))))</f>
        <v/>
      </c>
      <c r="L59" s="4" t="inlineStr"/>
    </row>
    <row r="60" ht="22" customHeight="1">
      <c r="A60" s="33">
        <f>'01_인적정보'!A15</f>
        <v/>
      </c>
      <c r="B60" s="33">
        <f>'01_인적정보'!B15</f>
        <v/>
      </c>
      <c r="C60" s="8">
        <f>'01_인적정보'!C15</f>
        <v/>
      </c>
      <c r="D60" s="8">
        <f>'01_인적정보'!E15</f>
        <v/>
      </c>
      <c r="E60" s="16">
        <f>'01_인적정보'!H15</f>
        <v/>
      </c>
      <c r="F60" s="20">
        <f>COUNTIF('14_직무책무DB'!$B$6:$B$80,D60)</f>
        <v/>
      </c>
      <c r="G60" s="21">
        <f>'01_인적정보'!L15</f>
        <v/>
      </c>
      <c r="H60" s="21">
        <f>'07b_하반기입력'!Y15</f>
        <v/>
      </c>
      <c r="I60" s="21">
        <f>'07b_하반기입력'!Z15</f>
        <v/>
      </c>
      <c r="J60" s="57">
        <f>IF(I60&lt;&gt;"",I60,H60)</f>
        <v/>
      </c>
      <c r="K60" s="58">
        <f>IF(J60="","",IF(J60="S",5,IF(J60="A",4,IF(J60="B",3,IF(J60="C",2,IF(J60="D",1,0))))))</f>
        <v/>
      </c>
      <c r="L60" s="4" t="inlineStr"/>
    </row>
    <row r="61" ht="22" customHeight="1">
      <c r="A61" s="33">
        <f>'01_인적정보'!A16</f>
        <v/>
      </c>
      <c r="B61" s="33">
        <f>'01_인적정보'!B16</f>
        <v/>
      </c>
      <c r="C61" s="8">
        <f>'01_인적정보'!C16</f>
        <v/>
      </c>
      <c r="D61" s="8">
        <f>'01_인적정보'!E16</f>
        <v/>
      </c>
      <c r="E61" s="16">
        <f>'01_인적정보'!H16</f>
        <v/>
      </c>
      <c r="F61" s="20">
        <f>COUNTIF('14_직무책무DB'!$B$6:$B$80,D61)</f>
        <v/>
      </c>
      <c r="G61" s="21">
        <f>'01_인적정보'!L16</f>
        <v/>
      </c>
      <c r="H61" s="21">
        <f>'07b_하반기입력'!Y16</f>
        <v/>
      </c>
      <c r="I61" s="21">
        <f>'07b_하반기입력'!Z16</f>
        <v/>
      </c>
      <c r="J61" s="57">
        <f>IF(I61&lt;&gt;"",I61,H61)</f>
        <v/>
      </c>
      <c r="K61" s="58">
        <f>IF(J61="","",IF(J61="S",5,IF(J61="A",4,IF(J61="B",3,IF(J61="C",2,IF(J61="D",1,0))))))</f>
        <v/>
      </c>
      <c r="L61" s="4" t="inlineStr"/>
    </row>
    <row r="62" ht="22" customHeight="1">
      <c r="A62" s="33">
        <f>'01_인적정보'!A17</f>
        <v/>
      </c>
      <c r="B62" s="33">
        <f>'01_인적정보'!B17</f>
        <v/>
      </c>
      <c r="C62" s="8">
        <f>'01_인적정보'!C17</f>
        <v/>
      </c>
      <c r="D62" s="8">
        <f>'01_인적정보'!E17</f>
        <v/>
      </c>
      <c r="E62" s="16">
        <f>'01_인적정보'!H17</f>
        <v/>
      </c>
      <c r="F62" s="20">
        <f>COUNTIF('14_직무책무DB'!$B$6:$B$80,D62)</f>
        <v/>
      </c>
      <c r="G62" s="21">
        <f>'01_인적정보'!L17</f>
        <v/>
      </c>
      <c r="H62" s="21">
        <f>'07b_하반기입력'!Y17</f>
        <v/>
      </c>
      <c r="I62" s="21">
        <f>'07b_하반기입력'!Z17</f>
        <v/>
      </c>
      <c r="J62" s="57">
        <f>IF(I62&lt;&gt;"",I62,H62)</f>
        <v/>
      </c>
      <c r="K62" s="58">
        <f>IF(J62="","",IF(J62="S",5,IF(J62="A",4,IF(J62="B",3,IF(J62="C",2,IF(J62="D",1,0))))))</f>
        <v/>
      </c>
      <c r="L62" s="4" t="inlineStr"/>
    </row>
    <row r="63" ht="22" customHeight="1">
      <c r="A63" s="33">
        <f>'01_인적정보'!A18</f>
        <v/>
      </c>
      <c r="B63" s="33">
        <f>'01_인적정보'!B18</f>
        <v/>
      </c>
      <c r="C63" s="8">
        <f>'01_인적정보'!C18</f>
        <v/>
      </c>
      <c r="D63" s="8">
        <f>'01_인적정보'!E18</f>
        <v/>
      </c>
      <c r="E63" s="16">
        <f>'01_인적정보'!H18</f>
        <v/>
      </c>
      <c r="F63" s="20">
        <f>COUNTIF('14_직무책무DB'!$B$6:$B$80,D63)</f>
        <v/>
      </c>
      <c r="G63" s="21">
        <f>'01_인적정보'!L18</f>
        <v/>
      </c>
      <c r="H63" s="21">
        <f>'07b_하반기입력'!Y18</f>
        <v/>
      </c>
      <c r="I63" s="21">
        <f>'07b_하반기입력'!Z18</f>
        <v/>
      </c>
      <c r="J63" s="57">
        <f>IF(I63&lt;&gt;"",I63,H63)</f>
        <v/>
      </c>
      <c r="K63" s="58">
        <f>IF(J63="","",IF(J63="S",5,IF(J63="A",4,IF(J63="B",3,IF(J63="C",2,IF(J63="D",1,0))))))</f>
        <v/>
      </c>
      <c r="L63" s="4" t="inlineStr"/>
    </row>
    <row r="64" ht="22" customHeight="1">
      <c r="A64" s="33">
        <f>'01_인적정보'!A19</f>
        <v/>
      </c>
      <c r="B64" s="33">
        <f>'01_인적정보'!B19</f>
        <v/>
      </c>
      <c r="C64" s="8">
        <f>'01_인적정보'!C19</f>
        <v/>
      </c>
      <c r="D64" s="8">
        <f>'01_인적정보'!E19</f>
        <v/>
      </c>
      <c r="E64" s="16">
        <f>'01_인적정보'!H19</f>
        <v/>
      </c>
      <c r="F64" s="20">
        <f>COUNTIF('14_직무책무DB'!$B$6:$B$80,D64)</f>
        <v/>
      </c>
      <c r="G64" s="21">
        <f>'01_인적정보'!L19</f>
        <v/>
      </c>
      <c r="H64" s="21">
        <f>'07b_하반기입력'!Y19</f>
        <v/>
      </c>
      <c r="I64" s="21">
        <f>'07b_하반기입력'!Z19</f>
        <v/>
      </c>
      <c r="J64" s="57">
        <f>IF(I64&lt;&gt;"",I64,H64)</f>
        <v/>
      </c>
      <c r="K64" s="58">
        <f>IF(J64="","",IF(J64="S",5,IF(J64="A",4,IF(J64="B",3,IF(J64="C",2,IF(J64="D",1,0))))))</f>
        <v/>
      </c>
      <c r="L64" s="4" t="inlineStr"/>
    </row>
    <row r="65" ht="22" customHeight="1">
      <c r="A65" s="33">
        <f>'01_인적정보'!A20</f>
        <v/>
      </c>
      <c r="B65" s="33">
        <f>'01_인적정보'!B20</f>
        <v/>
      </c>
      <c r="C65" s="8">
        <f>'01_인적정보'!C20</f>
        <v/>
      </c>
      <c r="D65" s="8">
        <f>'01_인적정보'!E20</f>
        <v/>
      </c>
      <c r="E65" s="16">
        <f>'01_인적정보'!H20</f>
        <v/>
      </c>
      <c r="F65" s="20">
        <f>COUNTIF('14_직무책무DB'!$B$6:$B$80,D65)</f>
        <v/>
      </c>
      <c r="G65" s="21">
        <f>'01_인적정보'!L20</f>
        <v/>
      </c>
      <c r="H65" s="21">
        <f>'07b_하반기입력'!Y20</f>
        <v/>
      </c>
      <c r="I65" s="21">
        <f>'07b_하반기입력'!Z20</f>
        <v/>
      </c>
      <c r="J65" s="57">
        <f>IF(I65&lt;&gt;"",I65,H65)</f>
        <v/>
      </c>
      <c r="K65" s="58">
        <f>IF(J65="","",IF(J65="S",5,IF(J65="A",4,IF(J65="B",3,IF(J65="C",2,IF(J65="D",1,0))))))</f>
        <v/>
      </c>
      <c r="L65" s="4" t="inlineStr"/>
    </row>
    <row r="66" ht="22" customHeight="1">
      <c r="A66" s="33">
        <f>'01_인적정보'!A21</f>
        <v/>
      </c>
      <c r="B66" s="33">
        <f>'01_인적정보'!B21</f>
        <v/>
      </c>
      <c r="C66" s="8">
        <f>'01_인적정보'!C21</f>
        <v/>
      </c>
      <c r="D66" s="8">
        <f>'01_인적정보'!E21</f>
        <v/>
      </c>
      <c r="E66" s="16">
        <f>'01_인적정보'!H21</f>
        <v/>
      </c>
      <c r="F66" s="20">
        <f>COUNTIF('14_직무책무DB'!$B$6:$B$80,D66)</f>
        <v/>
      </c>
      <c r="G66" s="21">
        <f>'01_인적정보'!L21</f>
        <v/>
      </c>
      <c r="H66" s="21">
        <f>'07b_하반기입력'!Y21</f>
        <v/>
      </c>
      <c r="I66" s="21">
        <f>'07b_하반기입력'!Z21</f>
        <v/>
      </c>
      <c r="J66" s="57">
        <f>IF(I66&lt;&gt;"",I66,H66)</f>
        <v/>
      </c>
      <c r="K66" s="58">
        <f>IF(J66="","",IF(J66="S",5,IF(J66="A",4,IF(J66="B",3,IF(J66="C",2,IF(J66="D",1,0))))))</f>
        <v/>
      </c>
      <c r="L66" s="4" t="inlineStr"/>
    </row>
    <row r="67" ht="22" customHeight="1">
      <c r="A67" s="33">
        <f>'01_인적정보'!A22</f>
        <v/>
      </c>
      <c r="B67" s="33">
        <f>'01_인적정보'!B22</f>
        <v/>
      </c>
      <c r="C67" s="8">
        <f>'01_인적정보'!C22</f>
        <v/>
      </c>
      <c r="D67" s="8">
        <f>'01_인적정보'!E22</f>
        <v/>
      </c>
      <c r="E67" s="16">
        <f>'01_인적정보'!H22</f>
        <v/>
      </c>
      <c r="F67" s="20">
        <f>COUNTIF('14_직무책무DB'!$B$6:$B$80,D67)</f>
        <v/>
      </c>
      <c r="G67" s="21">
        <f>'01_인적정보'!L22</f>
        <v/>
      </c>
      <c r="H67" s="21">
        <f>'07b_하반기입력'!Y22</f>
        <v/>
      </c>
      <c r="I67" s="21">
        <f>'07b_하반기입력'!Z22</f>
        <v/>
      </c>
      <c r="J67" s="57">
        <f>IF(I67&lt;&gt;"",I67,H67)</f>
        <v/>
      </c>
      <c r="K67" s="58">
        <f>IF(J67="","",IF(J67="S",5,IF(J67="A",4,IF(J67="B",3,IF(J67="C",2,IF(J67="D",1,0))))))</f>
        <v/>
      </c>
      <c r="L67" s="4" t="inlineStr"/>
    </row>
    <row r="68" ht="22" customHeight="1">
      <c r="A68" s="33">
        <f>'01_인적정보'!A23</f>
        <v/>
      </c>
      <c r="B68" s="33">
        <f>'01_인적정보'!B23</f>
        <v/>
      </c>
      <c r="C68" s="8">
        <f>'01_인적정보'!C23</f>
        <v/>
      </c>
      <c r="D68" s="8">
        <f>'01_인적정보'!E23</f>
        <v/>
      </c>
      <c r="E68" s="16">
        <f>'01_인적정보'!H23</f>
        <v/>
      </c>
      <c r="F68" s="20">
        <f>COUNTIF('14_직무책무DB'!$B$6:$B$80,D68)</f>
        <v/>
      </c>
      <c r="G68" s="21">
        <f>'01_인적정보'!L23</f>
        <v/>
      </c>
      <c r="H68" s="21">
        <f>'07b_하반기입력'!Y23</f>
        <v/>
      </c>
      <c r="I68" s="21">
        <f>'07b_하반기입력'!Z23</f>
        <v/>
      </c>
      <c r="J68" s="57">
        <f>IF(I68&lt;&gt;"",I68,H68)</f>
        <v/>
      </c>
      <c r="K68" s="58">
        <f>IF(J68="","",IF(J68="S",5,IF(J68="A",4,IF(J68="B",3,IF(J68="C",2,IF(J68="D",1,0))))))</f>
        <v/>
      </c>
      <c r="L68" s="4" t="inlineStr"/>
    </row>
    <row r="69" ht="22" customHeight="1">
      <c r="A69" s="33">
        <f>'01_인적정보'!A24</f>
        <v/>
      </c>
      <c r="B69" s="33">
        <f>'01_인적정보'!B24</f>
        <v/>
      </c>
      <c r="C69" s="8">
        <f>'01_인적정보'!C24</f>
        <v/>
      </c>
      <c r="D69" s="8">
        <f>'01_인적정보'!E24</f>
        <v/>
      </c>
      <c r="E69" s="16">
        <f>'01_인적정보'!H24</f>
        <v/>
      </c>
      <c r="F69" s="20">
        <f>COUNTIF('14_직무책무DB'!$B$6:$B$80,D69)</f>
        <v/>
      </c>
      <c r="G69" s="21">
        <f>'01_인적정보'!L24</f>
        <v/>
      </c>
      <c r="H69" s="21">
        <f>'07b_하반기입력'!Y24</f>
        <v/>
      </c>
      <c r="I69" s="21">
        <f>'07b_하반기입력'!Z24</f>
        <v/>
      </c>
      <c r="J69" s="57">
        <f>IF(I69&lt;&gt;"",I69,H69)</f>
        <v/>
      </c>
      <c r="K69" s="58">
        <f>IF(J69="","",IF(J69="S",5,IF(J69="A",4,IF(J69="B",3,IF(J69="C",2,IF(J69="D",1,0))))))</f>
        <v/>
      </c>
      <c r="L69" s="4" t="inlineStr"/>
    </row>
    <row r="70" ht="22" customHeight="1">
      <c r="A70" s="33">
        <f>'01_인적정보'!A25</f>
        <v/>
      </c>
      <c r="B70" s="33">
        <f>'01_인적정보'!B25</f>
        <v/>
      </c>
      <c r="C70" s="8">
        <f>'01_인적정보'!C25</f>
        <v/>
      </c>
      <c r="D70" s="8">
        <f>'01_인적정보'!E25</f>
        <v/>
      </c>
      <c r="E70" s="16">
        <f>'01_인적정보'!H25</f>
        <v/>
      </c>
      <c r="F70" s="20">
        <f>COUNTIF('14_직무책무DB'!$B$6:$B$80,D70)</f>
        <v/>
      </c>
      <c r="G70" s="21">
        <f>'01_인적정보'!L25</f>
        <v/>
      </c>
      <c r="H70" s="21">
        <f>'07b_하반기입력'!Y25</f>
        <v/>
      </c>
      <c r="I70" s="21">
        <f>'07b_하반기입력'!Z25</f>
        <v/>
      </c>
      <c r="J70" s="57">
        <f>IF(I70&lt;&gt;"",I70,H70)</f>
        <v/>
      </c>
      <c r="K70" s="58">
        <f>IF(J70="","",IF(J70="S",5,IF(J70="A",4,IF(J70="B",3,IF(J70="C",2,IF(J70="D",1,0))))))</f>
        <v/>
      </c>
      <c r="L70" s="4" t="inlineStr"/>
    </row>
    <row r="71" ht="22" customHeight="1">
      <c r="A71" s="33">
        <f>'01_인적정보'!A26</f>
        <v/>
      </c>
      <c r="B71" s="33">
        <f>'01_인적정보'!B26</f>
        <v/>
      </c>
      <c r="C71" s="8">
        <f>'01_인적정보'!C26</f>
        <v/>
      </c>
      <c r="D71" s="8">
        <f>'01_인적정보'!E26</f>
        <v/>
      </c>
      <c r="E71" s="16">
        <f>'01_인적정보'!H26</f>
        <v/>
      </c>
      <c r="F71" s="20">
        <f>COUNTIF('14_직무책무DB'!$B$6:$B$80,D71)</f>
        <v/>
      </c>
      <c r="G71" s="21">
        <f>'01_인적정보'!L26</f>
        <v/>
      </c>
      <c r="H71" s="21">
        <f>'07b_하반기입력'!Y26</f>
        <v/>
      </c>
      <c r="I71" s="21">
        <f>'07b_하반기입력'!Z26</f>
        <v/>
      </c>
      <c r="J71" s="57">
        <f>IF(I71&lt;&gt;"",I71,H71)</f>
        <v/>
      </c>
      <c r="K71" s="58">
        <f>IF(J71="","",IF(J71="S",5,IF(J71="A",4,IF(J71="B",3,IF(J71="C",2,IF(J71="D",1,0))))))</f>
        <v/>
      </c>
      <c r="L71" s="4" t="inlineStr"/>
    </row>
    <row r="72" ht="22" customHeight="1">
      <c r="A72" s="33">
        <f>'01_인적정보'!A27</f>
        <v/>
      </c>
      <c r="B72" s="33">
        <f>'01_인적정보'!B27</f>
        <v/>
      </c>
      <c r="C72" s="8">
        <f>'01_인적정보'!C27</f>
        <v/>
      </c>
      <c r="D72" s="8">
        <f>'01_인적정보'!E27</f>
        <v/>
      </c>
      <c r="E72" s="16">
        <f>'01_인적정보'!H27</f>
        <v/>
      </c>
      <c r="F72" s="20">
        <f>COUNTIF('14_직무책무DB'!$B$6:$B$80,D72)</f>
        <v/>
      </c>
      <c r="G72" s="21">
        <f>'01_인적정보'!L27</f>
        <v/>
      </c>
      <c r="H72" s="21">
        <f>'07b_하반기입력'!Y27</f>
        <v/>
      </c>
      <c r="I72" s="21">
        <f>'07b_하반기입력'!Z27</f>
        <v/>
      </c>
      <c r="J72" s="57">
        <f>IF(I72&lt;&gt;"",I72,H72)</f>
        <v/>
      </c>
      <c r="K72" s="58">
        <f>IF(J72="","",IF(J72="S",5,IF(J72="A",4,IF(J72="B",3,IF(J72="C",2,IF(J72="D",1,0))))))</f>
        <v/>
      </c>
      <c r="L72" s="4" t="inlineStr"/>
    </row>
    <row r="73" ht="22" customHeight="1">
      <c r="A73" s="33">
        <f>'01_인적정보'!A28</f>
        <v/>
      </c>
      <c r="B73" s="33">
        <f>'01_인적정보'!B28</f>
        <v/>
      </c>
      <c r="C73" s="8">
        <f>'01_인적정보'!C28</f>
        <v/>
      </c>
      <c r="D73" s="8">
        <f>'01_인적정보'!E28</f>
        <v/>
      </c>
      <c r="E73" s="16">
        <f>'01_인적정보'!H28</f>
        <v/>
      </c>
      <c r="F73" s="20">
        <f>COUNTIF('14_직무책무DB'!$B$6:$B$80,D73)</f>
        <v/>
      </c>
      <c r="G73" s="21">
        <f>'01_인적정보'!L28</f>
        <v/>
      </c>
      <c r="H73" s="21">
        <f>'07b_하반기입력'!Y28</f>
        <v/>
      </c>
      <c r="I73" s="21">
        <f>'07b_하반기입력'!Z28</f>
        <v/>
      </c>
      <c r="J73" s="57">
        <f>IF(I73&lt;&gt;"",I73,H73)</f>
        <v/>
      </c>
      <c r="K73" s="58">
        <f>IF(J73="","",IF(J73="S",5,IF(J73="A",4,IF(J73="B",3,IF(J73="C",2,IF(J73="D",1,0))))))</f>
        <v/>
      </c>
      <c r="L73" s="4" t="inlineStr"/>
    </row>
    <row r="74" ht="22" customHeight="1">
      <c r="A74" s="33">
        <f>'01_인적정보'!A29</f>
        <v/>
      </c>
      <c r="B74" s="33">
        <f>'01_인적정보'!B29</f>
        <v/>
      </c>
      <c r="C74" s="8">
        <f>'01_인적정보'!C29</f>
        <v/>
      </c>
      <c r="D74" s="8">
        <f>'01_인적정보'!E29</f>
        <v/>
      </c>
      <c r="E74" s="16">
        <f>'01_인적정보'!H29</f>
        <v/>
      </c>
      <c r="F74" s="20">
        <f>COUNTIF('14_직무책무DB'!$B$6:$B$80,D74)</f>
        <v/>
      </c>
      <c r="G74" s="21">
        <f>'01_인적정보'!L29</f>
        <v/>
      </c>
      <c r="H74" s="21">
        <f>'07b_하반기입력'!Y29</f>
        <v/>
      </c>
      <c r="I74" s="21">
        <f>'07b_하반기입력'!Z29</f>
        <v/>
      </c>
      <c r="J74" s="57">
        <f>IF(I74&lt;&gt;"",I74,H74)</f>
        <v/>
      </c>
      <c r="K74" s="58">
        <f>IF(J74="","",IF(J74="S",5,IF(J74="A",4,IF(J74="B",3,IF(J74="C",2,IF(J74="D",1,0))))))</f>
        <v/>
      </c>
      <c r="L74" s="4" t="inlineStr"/>
    </row>
    <row r="75" ht="22" customHeight="1">
      <c r="A75" s="33">
        <f>'01_인적정보'!A30</f>
        <v/>
      </c>
      <c r="B75" s="33">
        <f>'01_인적정보'!B30</f>
        <v/>
      </c>
      <c r="C75" s="8">
        <f>'01_인적정보'!C30</f>
        <v/>
      </c>
      <c r="D75" s="8">
        <f>'01_인적정보'!E30</f>
        <v/>
      </c>
      <c r="E75" s="16">
        <f>'01_인적정보'!H30</f>
        <v/>
      </c>
      <c r="F75" s="20">
        <f>COUNTIF('14_직무책무DB'!$B$6:$B$80,D75)</f>
        <v/>
      </c>
      <c r="G75" s="21">
        <f>'01_인적정보'!L30</f>
        <v/>
      </c>
      <c r="H75" s="21">
        <f>'07b_하반기입력'!Y30</f>
        <v/>
      </c>
      <c r="I75" s="21">
        <f>'07b_하반기입력'!Z30</f>
        <v/>
      </c>
      <c r="J75" s="57">
        <f>IF(I75&lt;&gt;"",I75,H75)</f>
        <v/>
      </c>
      <c r="K75" s="58">
        <f>IF(J75="","",IF(J75="S",5,IF(J75="A",4,IF(J75="B",3,IF(J75="C",2,IF(J75="D",1,0))))))</f>
        <v/>
      </c>
      <c r="L75" s="4" t="inlineStr"/>
    </row>
    <row r="76" ht="22" customHeight="1">
      <c r="A76" s="33">
        <f>'01_인적정보'!A31</f>
        <v/>
      </c>
      <c r="B76" s="33">
        <f>'01_인적정보'!B31</f>
        <v/>
      </c>
      <c r="C76" s="8">
        <f>'01_인적정보'!C31</f>
        <v/>
      </c>
      <c r="D76" s="8">
        <f>'01_인적정보'!E31</f>
        <v/>
      </c>
      <c r="E76" s="16">
        <f>'01_인적정보'!H31</f>
        <v/>
      </c>
      <c r="F76" s="20">
        <f>COUNTIF('14_직무책무DB'!$B$6:$B$80,D76)</f>
        <v/>
      </c>
      <c r="G76" s="21">
        <f>'01_인적정보'!L31</f>
        <v/>
      </c>
      <c r="H76" s="21">
        <f>'07b_하반기입력'!Y31</f>
        <v/>
      </c>
      <c r="I76" s="21">
        <f>'07b_하반기입력'!Z31</f>
        <v/>
      </c>
      <c r="J76" s="57">
        <f>IF(I76&lt;&gt;"",I76,H76)</f>
        <v/>
      </c>
      <c r="K76" s="58">
        <f>IF(J76="","",IF(J76="S",5,IF(J76="A",4,IF(J76="B",3,IF(J76="C",2,IF(J76="D",1,0))))))</f>
        <v/>
      </c>
      <c r="L76" s="4" t="inlineStr"/>
    </row>
    <row r="77" ht="22" customHeight="1">
      <c r="A77" s="33">
        <f>'01_인적정보'!A32</f>
        <v/>
      </c>
      <c r="B77" s="33">
        <f>'01_인적정보'!B32</f>
        <v/>
      </c>
      <c r="C77" s="8">
        <f>'01_인적정보'!C32</f>
        <v/>
      </c>
      <c r="D77" s="8">
        <f>'01_인적정보'!E32</f>
        <v/>
      </c>
      <c r="E77" s="16">
        <f>'01_인적정보'!H32</f>
        <v/>
      </c>
      <c r="F77" s="20">
        <f>COUNTIF('14_직무책무DB'!$B$6:$B$80,D77)</f>
        <v/>
      </c>
      <c r="G77" s="21">
        <f>'01_인적정보'!L32</f>
        <v/>
      </c>
      <c r="H77" s="21">
        <f>'07b_하반기입력'!Y32</f>
        <v/>
      </c>
      <c r="I77" s="21">
        <f>'07b_하반기입력'!Z32</f>
        <v/>
      </c>
      <c r="J77" s="57">
        <f>IF(I77&lt;&gt;"",I77,H77)</f>
        <v/>
      </c>
      <c r="K77" s="58">
        <f>IF(J77="","",IF(J77="S",5,IF(J77="A",4,IF(J77="B",3,IF(J77="C",2,IF(J77="D",1,0))))))</f>
        <v/>
      </c>
      <c r="L77" s="4" t="inlineStr"/>
    </row>
    <row r="78" ht="22" customHeight="1">
      <c r="A78" s="33">
        <f>'01_인적정보'!A33</f>
        <v/>
      </c>
      <c r="B78" s="33">
        <f>'01_인적정보'!B33</f>
        <v/>
      </c>
      <c r="C78" s="8">
        <f>'01_인적정보'!C33</f>
        <v/>
      </c>
      <c r="D78" s="8">
        <f>'01_인적정보'!E33</f>
        <v/>
      </c>
      <c r="E78" s="16">
        <f>'01_인적정보'!H33</f>
        <v/>
      </c>
      <c r="F78" s="20">
        <f>COUNTIF('14_직무책무DB'!$B$6:$B$80,D78)</f>
        <v/>
      </c>
      <c r="G78" s="21">
        <f>'01_인적정보'!L33</f>
        <v/>
      </c>
      <c r="H78" s="21">
        <f>'07b_하반기입력'!Y33</f>
        <v/>
      </c>
      <c r="I78" s="21">
        <f>'07b_하반기입력'!Z33</f>
        <v/>
      </c>
      <c r="J78" s="57">
        <f>IF(I78&lt;&gt;"",I78,H78)</f>
        <v/>
      </c>
      <c r="K78" s="58">
        <f>IF(J78="","",IF(J78="S",5,IF(J78="A",4,IF(J78="B",3,IF(J78="C",2,IF(J78="D",1,0))))))</f>
        <v/>
      </c>
      <c r="L78" s="4" t="inlineStr"/>
    </row>
    <row r="79" ht="22" customHeight="1">
      <c r="A79" s="33">
        <f>'01_인적정보'!A34</f>
        <v/>
      </c>
      <c r="B79" s="33">
        <f>'01_인적정보'!B34</f>
        <v/>
      </c>
      <c r="C79" s="8">
        <f>'01_인적정보'!C34</f>
        <v/>
      </c>
      <c r="D79" s="8">
        <f>'01_인적정보'!E34</f>
        <v/>
      </c>
      <c r="E79" s="16">
        <f>'01_인적정보'!H34</f>
        <v/>
      </c>
      <c r="F79" s="20">
        <f>COUNTIF('14_직무책무DB'!$B$6:$B$80,D79)</f>
        <v/>
      </c>
      <c r="G79" s="21">
        <f>'01_인적정보'!L34</f>
        <v/>
      </c>
      <c r="H79" s="21">
        <f>'07b_하반기입력'!Y34</f>
        <v/>
      </c>
      <c r="I79" s="21">
        <f>'07b_하반기입력'!Z34</f>
        <v/>
      </c>
      <c r="J79" s="57">
        <f>IF(I79&lt;&gt;"",I79,H79)</f>
        <v/>
      </c>
      <c r="K79" s="58">
        <f>IF(J79="","",IF(J79="S",5,IF(J79="A",4,IF(J79="B",3,IF(J79="C",2,IF(J79="D",1,0))))))</f>
        <v/>
      </c>
      <c r="L79" s="4" t="inlineStr"/>
    </row>
    <row r="80" ht="22" customHeight="1">
      <c r="A80" s="33">
        <f>'01_인적정보'!A35</f>
        <v/>
      </c>
      <c r="B80" s="33">
        <f>'01_인적정보'!B35</f>
        <v/>
      </c>
      <c r="C80" s="8">
        <f>'01_인적정보'!C35</f>
        <v/>
      </c>
      <c r="D80" s="8">
        <f>'01_인적정보'!E35</f>
        <v/>
      </c>
      <c r="E80" s="16">
        <f>'01_인적정보'!H35</f>
        <v/>
      </c>
      <c r="F80" s="20">
        <f>COUNTIF('14_직무책무DB'!$B$6:$B$80,D80)</f>
        <v/>
      </c>
      <c r="G80" s="21">
        <f>'01_인적정보'!L35</f>
        <v/>
      </c>
      <c r="H80" s="21">
        <f>'07b_하반기입력'!Y35</f>
        <v/>
      </c>
      <c r="I80" s="21">
        <f>'07b_하반기입력'!Z35</f>
        <v/>
      </c>
      <c r="J80" s="57">
        <f>IF(I80&lt;&gt;"",I80,H80)</f>
        <v/>
      </c>
      <c r="K80" s="58">
        <f>IF(J80="","",IF(J80="S",5,IF(J80="A",4,IF(J80="B",3,IF(J80="C",2,IF(J80="D",1,0))))))</f>
        <v/>
      </c>
      <c r="L80" s="4" t="inlineStr"/>
    </row>
    <row r="81" ht="22" customHeight="1">
      <c r="A81" s="33">
        <f>'01_인적정보'!A36</f>
        <v/>
      </c>
      <c r="B81" s="33">
        <f>'01_인적정보'!B36</f>
        <v/>
      </c>
      <c r="C81" s="8">
        <f>'01_인적정보'!C36</f>
        <v/>
      </c>
      <c r="D81" s="8">
        <f>'01_인적정보'!E36</f>
        <v/>
      </c>
      <c r="E81" s="16">
        <f>'01_인적정보'!H36</f>
        <v/>
      </c>
      <c r="F81" s="20">
        <f>COUNTIF('14_직무책무DB'!$B$6:$B$80,D81)</f>
        <v/>
      </c>
      <c r="G81" s="21">
        <f>'01_인적정보'!L36</f>
        <v/>
      </c>
      <c r="H81" s="21">
        <f>'07b_하반기입력'!Y36</f>
        <v/>
      </c>
      <c r="I81" s="21">
        <f>'07b_하반기입력'!Z36</f>
        <v/>
      </c>
      <c r="J81" s="57">
        <f>IF(I81&lt;&gt;"",I81,H81)</f>
        <v/>
      </c>
      <c r="K81" s="58">
        <f>IF(J81="","",IF(J81="S",5,IF(J81="A",4,IF(J81="B",3,IF(J81="C",2,IF(J81="D",1,0))))))</f>
        <v/>
      </c>
      <c r="L81" s="4" t="inlineStr"/>
    </row>
    <row r="82" ht="22" customHeight="1">
      <c r="A82" s="33">
        <f>'01_인적정보'!A37</f>
        <v/>
      </c>
      <c r="B82" s="33">
        <f>'01_인적정보'!B37</f>
        <v/>
      </c>
      <c r="C82" s="8">
        <f>'01_인적정보'!C37</f>
        <v/>
      </c>
      <c r="D82" s="8">
        <f>'01_인적정보'!E37</f>
        <v/>
      </c>
      <c r="E82" s="16">
        <f>'01_인적정보'!H37</f>
        <v/>
      </c>
      <c r="F82" s="20">
        <f>COUNTIF('14_직무책무DB'!$B$6:$B$80,D82)</f>
        <v/>
      </c>
      <c r="G82" s="21">
        <f>'01_인적정보'!L37</f>
        <v/>
      </c>
      <c r="H82" s="21">
        <f>'07b_하반기입력'!Y37</f>
        <v/>
      </c>
      <c r="I82" s="21">
        <f>'07b_하반기입력'!Z37</f>
        <v/>
      </c>
      <c r="J82" s="57">
        <f>IF(I82&lt;&gt;"",I82,H82)</f>
        <v/>
      </c>
      <c r="K82" s="58">
        <f>IF(J82="","",IF(J82="S",5,IF(J82="A",4,IF(J82="B",3,IF(J82="C",2,IF(J82="D",1,0))))))</f>
        <v/>
      </c>
      <c r="L82" s="4" t="inlineStr"/>
    </row>
    <row r="83" ht="22" customHeight="1">
      <c r="A83" s="33">
        <f>'01_인적정보'!A38</f>
        <v/>
      </c>
      <c r="B83" s="33">
        <f>'01_인적정보'!B38</f>
        <v/>
      </c>
      <c r="C83" s="8">
        <f>'01_인적정보'!C38</f>
        <v/>
      </c>
      <c r="D83" s="8">
        <f>'01_인적정보'!E38</f>
        <v/>
      </c>
      <c r="E83" s="16">
        <f>'01_인적정보'!H38</f>
        <v/>
      </c>
      <c r="F83" s="20">
        <f>COUNTIF('14_직무책무DB'!$B$6:$B$80,D83)</f>
        <v/>
      </c>
      <c r="G83" s="21">
        <f>'01_인적정보'!L38</f>
        <v/>
      </c>
      <c r="H83" s="21">
        <f>'07b_하반기입력'!Y38</f>
        <v/>
      </c>
      <c r="I83" s="21">
        <f>'07b_하반기입력'!Z38</f>
        <v/>
      </c>
      <c r="J83" s="57">
        <f>IF(I83&lt;&gt;"",I83,H83)</f>
        <v/>
      </c>
      <c r="K83" s="58">
        <f>IF(J83="","",IF(J83="S",5,IF(J83="A",4,IF(J83="B",3,IF(J83="C",2,IF(J83="D",1,0))))))</f>
        <v/>
      </c>
      <c r="L83" s="4" t="inlineStr"/>
    </row>
    <row r="84" ht="22" customHeight="1">
      <c r="A84" s="33">
        <f>'01_인적정보'!A39</f>
        <v/>
      </c>
      <c r="B84" s="33">
        <f>'01_인적정보'!B39</f>
        <v/>
      </c>
      <c r="C84" s="8">
        <f>'01_인적정보'!C39</f>
        <v/>
      </c>
      <c r="D84" s="8">
        <f>'01_인적정보'!E39</f>
        <v/>
      </c>
      <c r="E84" s="16">
        <f>'01_인적정보'!H39</f>
        <v/>
      </c>
      <c r="F84" s="20">
        <f>COUNTIF('14_직무책무DB'!$B$6:$B$80,D84)</f>
        <v/>
      </c>
      <c r="G84" s="21">
        <f>'01_인적정보'!L39</f>
        <v/>
      </c>
      <c r="H84" s="21">
        <f>'07b_하반기입력'!Y39</f>
        <v/>
      </c>
      <c r="I84" s="21">
        <f>'07b_하반기입력'!Z39</f>
        <v/>
      </c>
      <c r="J84" s="57">
        <f>IF(I84&lt;&gt;"",I84,H84)</f>
        <v/>
      </c>
      <c r="K84" s="58">
        <f>IF(J84="","",IF(J84="S",5,IF(J84="A",4,IF(J84="B",3,IF(J84="C",2,IF(J84="D",1,0))))))</f>
        <v/>
      </c>
      <c r="L84" s="4" t="inlineStr"/>
    </row>
  </sheetData>
  <mergeCells count="4">
    <mergeCell ref="A2:R2"/>
    <mergeCell ref="A49:L49"/>
    <mergeCell ref="A1:L1"/>
    <mergeCell ref="A4:L4"/>
  </mergeCells>
  <conditionalFormatting sqref="H6:J39">
    <cfRule type="cellIs" priority="1" operator="equal" dxfId="2">
      <formula>"S"</formula>
    </cfRule>
    <cfRule type="cellIs" priority="2" operator="equal" dxfId="3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conditionalFormatting sqref="H51:J84">
    <cfRule type="cellIs" priority="5" operator="equal" dxfId="2">
      <formula>"S"</formula>
    </cfRule>
    <cfRule type="cellIs" priority="6" operator="equal" dxfId="3">
      <formula>"A"</formula>
    </cfRule>
    <cfRule type="cellIs" priority="7" operator="equal" dxfId="1">
      <formula>"C"</formula>
    </cfRule>
    <cfRule type="cellIs" priority="8" operator="equal" dxfId="0">
      <formula>"D"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AC43"/>
  <sheetViews>
    <sheetView workbookViewId="0">
      <pane xSplit="6" ySplit="5" topLeftCell="G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0" customWidth="1" min="4" max="4"/>
    <col width="12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9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10" customWidth="1" min="24" max="24"/>
    <col width="9" customWidth="1" min="25" max="25"/>
    <col width="9" customWidth="1" min="26" max="26"/>
    <col width="25" customWidth="1" min="27" max="27"/>
  </cols>
  <sheetData>
    <row r="1" ht="28" customHeight="1">
      <c r="A1" s="1" t="inlineStr">
        <is>
          <t>상반기 (H1) 평가 결과 입력 (07a_상반기입력)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9" t="n"/>
    </row>
    <row r="2">
      <c r="A2" s="2" t="inlineStr">
        <is>
          <t>부서별 평가지에서 회수한 등급을 노란셀에 입력. 자동으로 04~06 평가 시트 및 08 종합평가에 반영.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9" t="n"/>
    </row>
    <row r="3" ht="18" customHeight="1">
      <c r="A3" s="37" t="inlineStr">
        <is>
          <t>인적정보 (자동 참조)</t>
        </is>
      </c>
      <c r="B3" s="18" t="n"/>
      <c r="C3" s="18" t="n"/>
      <c r="D3" s="18" t="n"/>
      <c r="E3" s="18" t="n"/>
      <c r="F3" s="19" t="n"/>
      <c r="G3" s="38" t="inlineStr">
        <is>
          <t>① 역할평가 - 5개 BARS 세부 (평균 산출용)</t>
        </is>
      </c>
      <c r="H3" s="18" t="n"/>
      <c r="I3" s="18" t="n"/>
      <c r="J3" s="18" t="n"/>
      <c r="K3" s="19" t="n"/>
      <c r="L3" s="38" t="inlineStr">
        <is>
          <t>① 역할 평가자별 종합</t>
        </is>
      </c>
      <c r="M3" s="19" t="n"/>
      <c r="N3" s="39" t="inlineStr">
        <is>
          <t>② 공통역량 11개 (1·2차 평가자 평균값)</t>
        </is>
      </c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9" t="n"/>
      <c r="Y3" s="40" t="inlineStr">
        <is>
          <t>③ 직무역량 평가자별 종합</t>
        </is>
      </c>
      <c r="Z3" s="19" t="n"/>
      <c r="AA3" s="41" t="inlineStr">
        <is>
          <t>소견</t>
        </is>
      </c>
    </row>
    <row r="4" ht="30" customHeight="1">
      <c r="A4" s="89" t="inlineStr">
        <is>
          <t>★ 사용법: 부서별 평가지(상반기 (H1))에서 [복사용 입력 행]을 통째 복사한 뒤 → 해당 사번의 행에서 G열부터 [값 붙여넣기]. S/A/B/C/D 드롭다운 적용됨. 입력 즉시 04~12 시트가 자동 갱신. 진행률은 00_운영현황판에서 확인.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9" t="n"/>
    </row>
    <row r="5" ht="38" customHeight="1">
      <c r="A5" s="43" t="inlineStr">
        <is>
          <t>No.</t>
        </is>
      </c>
      <c r="B5" s="43" t="inlineStr">
        <is>
          <t>사번</t>
        </is>
      </c>
      <c r="C5" s="43" t="inlineStr">
        <is>
          <t>성명</t>
        </is>
      </c>
      <c r="D5" s="43" t="inlineStr">
        <is>
          <t>직군</t>
        </is>
      </c>
      <c r="E5" s="43" t="inlineStr">
        <is>
          <t>직무</t>
        </is>
      </c>
      <c r="F5" s="43" t="inlineStr">
        <is>
          <t>역할등급</t>
        </is>
      </c>
      <c r="G5" s="44" t="inlineStr">
        <is>
          <t>R-1 책임</t>
        </is>
      </c>
      <c r="H5" s="44" t="inlineStr">
        <is>
          <t>R-2 의사결정</t>
        </is>
      </c>
      <c r="I5" s="44" t="inlineStr">
        <is>
          <t>R-3 성과</t>
        </is>
      </c>
      <c r="J5" s="44" t="inlineStr">
        <is>
          <t>R-4 코칭</t>
        </is>
      </c>
      <c r="K5" s="44" t="inlineStr">
        <is>
          <t>R-5 산출물</t>
        </is>
      </c>
      <c r="L5" s="44" t="inlineStr">
        <is>
          <t>역할(1차)</t>
        </is>
      </c>
      <c r="M5" s="44" t="inlineStr">
        <is>
          <t>역할(2차)</t>
        </is>
      </c>
      <c r="N5" s="45" t="inlineStr">
        <is>
          <t>C-1 직무전문성</t>
        </is>
      </c>
      <c r="O5" s="45" t="inlineStr">
        <is>
          <t>C-2 분석력</t>
        </is>
      </c>
      <c r="P5" s="45" t="inlineStr">
        <is>
          <t>C-3 기획실행</t>
        </is>
      </c>
      <c r="Q5" s="45" t="inlineStr">
        <is>
          <t>C-4 자원시간</t>
        </is>
      </c>
      <c r="R5" s="45" t="inlineStr">
        <is>
          <t>C-5 협업</t>
        </is>
      </c>
      <c r="S5" s="45" t="inlineStr">
        <is>
          <t>C-6 소통</t>
        </is>
      </c>
      <c r="T5" s="45" t="inlineStr">
        <is>
          <t>C-7 윤리</t>
        </is>
      </c>
      <c r="U5" s="45" t="inlineStr">
        <is>
          <t>C-8 태도</t>
        </is>
      </c>
      <c r="V5" s="45" t="inlineStr">
        <is>
          <t>C-9 혁신</t>
        </is>
      </c>
      <c r="W5" s="45" t="inlineStr">
        <is>
          <t>C-10 프로세스</t>
        </is>
      </c>
      <c r="X5" s="45" t="inlineStr">
        <is>
          <t>C-11 지속가능</t>
        </is>
      </c>
      <c r="Y5" s="46" t="inlineStr">
        <is>
          <t>직무(1차)</t>
        </is>
      </c>
      <c r="Z5" s="46" t="inlineStr">
        <is>
          <t>직무(2차)</t>
        </is>
      </c>
      <c r="AA5" s="47" t="inlineStr">
        <is>
          <t>종합 소견</t>
        </is>
      </c>
    </row>
    <row r="6" ht="22" customHeight="1">
      <c r="A6" s="33">
        <f>'01_인적정보'!A6</f>
        <v/>
      </c>
      <c r="B6" s="33">
        <f>'01_인적정보'!B6</f>
        <v/>
      </c>
      <c r="C6" s="8">
        <f>'01_인적정보'!C6</f>
        <v/>
      </c>
      <c r="D6" s="8">
        <f>'01_인적정보'!D6</f>
        <v/>
      </c>
      <c r="E6" s="8">
        <f>'01_인적정보'!E6</f>
        <v/>
      </c>
      <c r="F6" s="16">
        <f>'01_인적정보'!H6</f>
        <v/>
      </c>
      <c r="G6" s="23" t="inlineStr"/>
      <c r="H6" s="23" t="inlineStr"/>
      <c r="I6" s="23" t="inlineStr"/>
      <c r="J6" s="23" t="inlineStr"/>
      <c r="K6" s="23" t="inlineStr"/>
      <c r="L6" s="24" t="inlineStr"/>
      <c r="M6" s="24" t="inlineStr"/>
      <c r="N6" s="23" t="inlineStr"/>
      <c r="O6" s="23" t="inlineStr"/>
      <c r="P6" s="23" t="inlineStr"/>
      <c r="Q6" s="23" t="inlineStr"/>
      <c r="R6" s="23" t="inlineStr"/>
      <c r="S6" s="23" t="inlineStr"/>
      <c r="T6" s="23" t="inlineStr"/>
      <c r="U6" s="23" t="inlineStr"/>
      <c r="V6" s="23" t="inlineStr"/>
      <c r="W6" s="23" t="inlineStr"/>
      <c r="X6" s="23" t="inlineStr"/>
      <c r="Y6" s="24" t="inlineStr"/>
      <c r="Z6" s="24" t="inlineStr"/>
      <c r="AA6" s="4" t="inlineStr"/>
    </row>
    <row r="7" ht="22" customHeight="1">
      <c r="A7" s="33">
        <f>'01_인적정보'!A7</f>
        <v/>
      </c>
      <c r="B7" s="33">
        <f>'01_인적정보'!B7</f>
        <v/>
      </c>
      <c r="C7" s="8">
        <f>'01_인적정보'!C7</f>
        <v/>
      </c>
      <c r="D7" s="8">
        <f>'01_인적정보'!D7</f>
        <v/>
      </c>
      <c r="E7" s="8">
        <f>'01_인적정보'!E7</f>
        <v/>
      </c>
      <c r="F7" s="16">
        <f>'01_인적정보'!H7</f>
        <v/>
      </c>
      <c r="G7" s="23" t="inlineStr"/>
      <c r="H7" s="23" t="inlineStr"/>
      <c r="I7" s="23" t="inlineStr"/>
      <c r="J7" s="23" t="inlineStr"/>
      <c r="K7" s="23" t="inlineStr"/>
      <c r="L7" s="24" t="inlineStr"/>
      <c r="M7" s="24" t="inlineStr"/>
      <c r="N7" s="23" t="inlineStr"/>
      <c r="O7" s="23" t="inlineStr"/>
      <c r="P7" s="23" t="inlineStr"/>
      <c r="Q7" s="23" t="inlineStr"/>
      <c r="R7" s="23" t="inlineStr"/>
      <c r="S7" s="23" t="inlineStr"/>
      <c r="T7" s="23" t="inlineStr"/>
      <c r="U7" s="23" t="inlineStr"/>
      <c r="V7" s="23" t="inlineStr"/>
      <c r="W7" s="23" t="inlineStr"/>
      <c r="X7" s="23" t="inlineStr"/>
      <c r="Y7" s="24" t="inlineStr"/>
      <c r="Z7" s="24" t="inlineStr"/>
      <c r="AA7" s="4" t="inlineStr"/>
    </row>
    <row r="8" ht="22" customHeight="1">
      <c r="A8" s="33">
        <f>'01_인적정보'!A8</f>
        <v/>
      </c>
      <c r="B8" s="33">
        <f>'01_인적정보'!B8</f>
        <v/>
      </c>
      <c r="C8" s="8">
        <f>'01_인적정보'!C8</f>
        <v/>
      </c>
      <c r="D8" s="8">
        <f>'01_인적정보'!D8</f>
        <v/>
      </c>
      <c r="E8" s="8">
        <f>'01_인적정보'!E8</f>
        <v/>
      </c>
      <c r="F8" s="16">
        <f>'01_인적정보'!H8</f>
        <v/>
      </c>
      <c r="G8" s="23" t="inlineStr"/>
      <c r="H8" s="23" t="inlineStr"/>
      <c r="I8" s="23" t="inlineStr"/>
      <c r="J8" s="23" t="inlineStr"/>
      <c r="K8" s="23" t="inlineStr"/>
      <c r="L8" s="24" t="inlineStr"/>
      <c r="M8" s="24" t="inlineStr"/>
      <c r="N8" s="23" t="inlineStr"/>
      <c r="O8" s="23" t="inlineStr"/>
      <c r="P8" s="23" t="inlineStr"/>
      <c r="Q8" s="23" t="inlineStr"/>
      <c r="R8" s="23" t="inlineStr"/>
      <c r="S8" s="23" t="inlineStr"/>
      <c r="T8" s="23" t="inlineStr"/>
      <c r="U8" s="23" t="inlineStr"/>
      <c r="V8" s="23" t="inlineStr"/>
      <c r="W8" s="23" t="inlineStr"/>
      <c r="X8" s="23" t="inlineStr"/>
      <c r="Y8" s="24" t="inlineStr"/>
      <c r="Z8" s="24" t="inlineStr"/>
      <c r="AA8" s="4" t="inlineStr"/>
    </row>
    <row r="9" ht="22" customHeight="1">
      <c r="A9" s="33">
        <f>'01_인적정보'!A9</f>
        <v/>
      </c>
      <c r="B9" s="33">
        <f>'01_인적정보'!B9</f>
        <v/>
      </c>
      <c r="C9" s="8">
        <f>'01_인적정보'!C9</f>
        <v/>
      </c>
      <c r="D9" s="8">
        <f>'01_인적정보'!D9</f>
        <v/>
      </c>
      <c r="E9" s="8">
        <f>'01_인적정보'!E9</f>
        <v/>
      </c>
      <c r="F9" s="16">
        <f>'01_인적정보'!H9</f>
        <v/>
      </c>
      <c r="G9" s="23" t="inlineStr"/>
      <c r="H9" s="23" t="inlineStr"/>
      <c r="I9" s="23" t="inlineStr"/>
      <c r="J9" s="23" t="inlineStr"/>
      <c r="K9" s="23" t="inlineStr"/>
      <c r="L9" s="24" t="inlineStr"/>
      <c r="M9" s="24" t="inlineStr"/>
      <c r="N9" s="23" t="inlineStr"/>
      <c r="O9" s="23" t="inlineStr"/>
      <c r="P9" s="23" t="inlineStr"/>
      <c r="Q9" s="23" t="inlineStr"/>
      <c r="R9" s="23" t="inlineStr"/>
      <c r="S9" s="23" t="inlineStr"/>
      <c r="T9" s="23" t="inlineStr"/>
      <c r="U9" s="23" t="inlineStr"/>
      <c r="V9" s="23" t="inlineStr"/>
      <c r="W9" s="23" t="inlineStr"/>
      <c r="X9" s="23" t="inlineStr"/>
      <c r="Y9" s="24" t="inlineStr"/>
      <c r="Z9" s="24" t="inlineStr"/>
      <c r="AA9" s="4" t="inlineStr"/>
    </row>
    <row r="10" ht="22" customHeight="1">
      <c r="A10" s="33">
        <f>'01_인적정보'!A10</f>
        <v/>
      </c>
      <c r="B10" s="33">
        <f>'01_인적정보'!B10</f>
        <v/>
      </c>
      <c r="C10" s="8">
        <f>'01_인적정보'!C10</f>
        <v/>
      </c>
      <c r="D10" s="8">
        <f>'01_인적정보'!D10</f>
        <v/>
      </c>
      <c r="E10" s="8">
        <f>'01_인적정보'!E10</f>
        <v/>
      </c>
      <c r="F10" s="16">
        <f>'01_인적정보'!H10</f>
        <v/>
      </c>
      <c r="G10" s="23" t="inlineStr"/>
      <c r="H10" s="23" t="inlineStr"/>
      <c r="I10" s="23" t="inlineStr"/>
      <c r="J10" s="23" t="inlineStr"/>
      <c r="K10" s="23" t="inlineStr"/>
      <c r="L10" s="24" t="inlineStr"/>
      <c r="M10" s="24" t="inlineStr"/>
      <c r="N10" s="23" t="inlineStr"/>
      <c r="O10" s="23" t="inlineStr"/>
      <c r="P10" s="23" t="inlineStr"/>
      <c r="Q10" s="23" t="inlineStr"/>
      <c r="R10" s="23" t="inlineStr"/>
      <c r="S10" s="23" t="inlineStr"/>
      <c r="T10" s="23" t="inlineStr"/>
      <c r="U10" s="23" t="inlineStr"/>
      <c r="V10" s="23" t="inlineStr"/>
      <c r="W10" s="23" t="inlineStr"/>
      <c r="X10" s="23" t="inlineStr"/>
      <c r="Y10" s="24" t="inlineStr"/>
      <c r="Z10" s="24" t="inlineStr"/>
      <c r="AA10" s="4" t="inlineStr"/>
    </row>
    <row r="11" ht="22" customHeight="1">
      <c r="A11" s="33">
        <f>'01_인적정보'!A11</f>
        <v/>
      </c>
      <c r="B11" s="33">
        <f>'01_인적정보'!B11</f>
        <v/>
      </c>
      <c r="C11" s="8">
        <f>'01_인적정보'!C11</f>
        <v/>
      </c>
      <c r="D11" s="8">
        <f>'01_인적정보'!D11</f>
        <v/>
      </c>
      <c r="E11" s="8">
        <f>'01_인적정보'!E11</f>
        <v/>
      </c>
      <c r="F11" s="16">
        <f>'01_인적정보'!H11</f>
        <v/>
      </c>
      <c r="G11" s="23" t="inlineStr"/>
      <c r="H11" s="23" t="inlineStr"/>
      <c r="I11" s="23" t="inlineStr"/>
      <c r="J11" s="23" t="inlineStr"/>
      <c r="K11" s="23" t="inlineStr"/>
      <c r="L11" s="24" t="inlineStr"/>
      <c r="M11" s="24" t="inlineStr"/>
      <c r="N11" s="23" t="inlineStr"/>
      <c r="O11" s="23" t="inlineStr"/>
      <c r="P11" s="23" t="inlineStr"/>
      <c r="Q11" s="23" t="inlineStr"/>
      <c r="R11" s="23" t="inlineStr"/>
      <c r="S11" s="23" t="inlineStr"/>
      <c r="T11" s="23" t="inlineStr"/>
      <c r="U11" s="23" t="inlineStr"/>
      <c r="V11" s="23" t="inlineStr"/>
      <c r="W11" s="23" t="inlineStr"/>
      <c r="X11" s="23" t="inlineStr"/>
      <c r="Y11" s="24" t="inlineStr"/>
      <c r="Z11" s="24" t="inlineStr"/>
      <c r="AA11" s="4" t="inlineStr"/>
    </row>
    <row r="12" ht="22" customHeight="1">
      <c r="A12" s="33">
        <f>'01_인적정보'!A12</f>
        <v/>
      </c>
      <c r="B12" s="33">
        <f>'01_인적정보'!B12</f>
        <v/>
      </c>
      <c r="C12" s="8">
        <f>'01_인적정보'!C12</f>
        <v/>
      </c>
      <c r="D12" s="8">
        <f>'01_인적정보'!D12</f>
        <v/>
      </c>
      <c r="E12" s="8">
        <f>'01_인적정보'!E12</f>
        <v/>
      </c>
      <c r="F12" s="16">
        <f>'01_인적정보'!H12</f>
        <v/>
      </c>
      <c r="G12" s="23" t="inlineStr"/>
      <c r="H12" s="23" t="inlineStr"/>
      <c r="I12" s="23" t="inlineStr"/>
      <c r="J12" s="23" t="inlineStr"/>
      <c r="K12" s="23" t="inlineStr"/>
      <c r="L12" s="24" t="inlineStr"/>
      <c r="M12" s="24" t="inlineStr"/>
      <c r="N12" s="23" t="inlineStr"/>
      <c r="O12" s="23" t="inlineStr"/>
      <c r="P12" s="23" t="inlineStr"/>
      <c r="Q12" s="23" t="inlineStr"/>
      <c r="R12" s="23" t="inlineStr"/>
      <c r="S12" s="23" t="inlineStr"/>
      <c r="T12" s="23" t="inlineStr"/>
      <c r="U12" s="23" t="inlineStr"/>
      <c r="V12" s="23" t="inlineStr"/>
      <c r="W12" s="23" t="inlineStr"/>
      <c r="X12" s="23" t="inlineStr"/>
      <c r="Y12" s="24" t="inlineStr"/>
      <c r="Z12" s="24" t="inlineStr"/>
      <c r="AA12" s="4" t="inlineStr"/>
    </row>
    <row r="13" ht="22" customHeight="1">
      <c r="A13" s="33">
        <f>'01_인적정보'!A13</f>
        <v/>
      </c>
      <c r="B13" s="33">
        <f>'01_인적정보'!B13</f>
        <v/>
      </c>
      <c r="C13" s="8">
        <f>'01_인적정보'!C13</f>
        <v/>
      </c>
      <c r="D13" s="8">
        <f>'01_인적정보'!D13</f>
        <v/>
      </c>
      <c r="E13" s="8">
        <f>'01_인적정보'!E13</f>
        <v/>
      </c>
      <c r="F13" s="16">
        <f>'01_인적정보'!H13</f>
        <v/>
      </c>
      <c r="G13" s="23" t="inlineStr"/>
      <c r="H13" s="23" t="inlineStr"/>
      <c r="I13" s="23" t="inlineStr"/>
      <c r="J13" s="23" t="inlineStr"/>
      <c r="K13" s="23" t="inlineStr"/>
      <c r="L13" s="24" t="inlineStr"/>
      <c r="M13" s="24" t="inlineStr"/>
      <c r="N13" s="23" t="inlineStr"/>
      <c r="O13" s="23" t="inlineStr"/>
      <c r="P13" s="23" t="inlineStr"/>
      <c r="Q13" s="23" t="inlineStr"/>
      <c r="R13" s="23" t="inlineStr"/>
      <c r="S13" s="23" t="inlineStr"/>
      <c r="T13" s="23" t="inlineStr"/>
      <c r="U13" s="23" t="inlineStr"/>
      <c r="V13" s="23" t="inlineStr"/>
      <c r="W13" s="23" t="inlineStr"/>
      <c r="X13" s="23" t="inlineStr"/>
      <c r="Y13" s="24" t="inlineStr"/>
      <c r="Z13" s="24" t="inlineStr"/>
      <c r="AA13" s="4" t="inlineStr"/>
    </row>
    <row r="14" ht="22" customHeight="1">
      <c r="A14" s="33">
        <f>'01_인적정보'!A14</f>
        <v/>
      </c>
      <c r="B14" s="33">
        <f>'01_인적정보'!B14</f>
        <v/>
      </c>
      <c r="C14" s="8">
        <f>'01_인적정보'!C14</f>
        <v/>
      </c>
      <c r="D14" s="8">
        <f>'01_인적정보'!D14</f>
        <v/>
      </c>
      <c r="E14" s="8">
        <f>'01_인적정보'!E14</f>
        <v/>
      </c>
      <c r="F14" s="16">
        <f>'01_인적정보'!H14</f>
        <v/>
      </c>
      <c r="G14" s="23" t="inlineStr"/>
      <c r="H14" s="23" t="inlineStr"/>
      <c r="I14" s="23" t="inlineStr"/>
      <c r="J14" s="23" t="inlineStr"/>
      <c r="K14" s="23" t="inlineStr"/>
      <c r="L14" s="24" t="inlineStr"/>
      <c r="M14" s="24" t="inlineStr"/>
      <c r="N14" s="23" t="inlineStr"/>
      <c r="O14" s="23" t="inlineStr"/>
      <c r="P14" s="23" t="inlineStr"/>
      <c r="Q14" s="23" t="inlineStr"/>
      <c r="R14" s="23" t="inlineStr"/>
      <c r="S14" s="23" t="inlineStr"/>
      <c r="T14" s="23" t="inlineStr"/>
      <c r="U14" s="23" t="inlineStr"/>
      <c r="V14" s="23" t="inlineStr"/>
      <c r="W14" s="23" t="inlineStr"/>
      <c r="X14" s="23" t="inlineStr"/>
      <c r="Y14" s="24" t="inlineStr"/>
      <c r="Z14" s="24" t="inlineStr"/>
      <c r="AA14" s="4" t="inlineStr"/>
    </row>
    <row r="15" ht="22" customHeight="1">
      <c r="A15" s="33">
        <f>'01_인적정보'!A15</f>
        <v/>
      </c>
      <c r="B15" s="33">
        <f>'01_인적정보'!B15</f>
        <v/>
      </c>
      <c r="C15" s="8">
        <f>'01_인적정보'!C15</f>
        <v/>
      </c>
      <c r="D15" s="8">
        <f>'01_인적정보'!D15</f>
        <v/>
      </c>
      <c r="E15" s="8">
        <f>'01_인적정보'!E15</f>
        <v/>
      </c>
      <c r="F15" s="16">
        <f>'01_인적정보'!H15</f>
        <v/>
      </c>
      <c r="G15" s="23" t="inlineStr"/>
      <c r="H15" s="23" t="inlineStr"/>
      <c r="I15" s="23" t="inlineStr"/>
      <c r="J15" s="23" t="inlineStr"/>
      <c r="K15" s="23" t="inlineStr"/>
      <c r="L15" s="24" t="inlineStr"/>
      <c r="M15" s="24" t="inlineStr"/>
      <c r="N15" s="23" t="inlineStr"/>
      <c r="O15" s="23" t="inlineStr"/>
      <c r="P15" s="23" t="inlineStr"/>
      <c r="Q15" s="23" t="inlineStr"/>
      <c r="R15" s="23" t="inlineStr"/>
      <c r="S15" s="23" t="inlineStr"/>
      <c r="T15" s="23" t="inlineStr"/>
      <c r="U15" s="23" t="inlineStr"/>
      <c r="V15" s="23" t="inlineStr"/>
      <c r="W15" s="23" t="inlineStr"/>
      <c r="X15" s="23" t="inlineStr"/>
      <c r="Y15" s="24" t="inlineStr"/>
      <c r="Z15" s="24" t="inlineStr"/>
      <c r="AA15" s="4" t="inlineStr"/>
    </row>
    <row r="16" ht="22" customHeight="1">
      <c r="A16" s="33">
        <f>'01_인적정보'!A16</f>
        <v/>
      </c>
      <c r="B16" s="33">
        <f>'01_인적정보'!B16</f>
        <v/>
      </c>
      <c r="C16" s="8">
        <f>'01_인적정보'!C16</f>
        <v/>
      </c>
      <c r="D16" s="8">
        <f>'01_인적정보'!D16</f>
        <v/>
      </c>
      <c r="E16" s="8">
        <f>'01_인적정보'!E16</f>
        <v/>
      </c>
      <c r="F16" s="16">
        <f>'01_인적정보'!H16</f>
        <v/>
      </c>
      <c r="G16" s="23" t="inlineStr"/>
      <c r="H16" s="23" t="inlineStr"/>
      <c r="I16" s="23" t="inlineStr"/>
      <c r="J16" s="23" t="inlineStr"/>
      <c r="K16" s="23" t="inlineStr"/>
      <c r="L16" s="24" t="inlineStr"/>
      <c r="M16" s="24" t="inlineStr"/>
      <c r="N16" s="23" t="inlineStr"/>
      <c r="O16" s="23" t="inlineStr"/>
      <c r="P16" s="23" t="inlineStr"/>
      <c r="Q16" s="23" t="inlineStr"/>
      <c r="R16" s="23" t="inlineStr"/>
      <c r="S16" s="23" t="inlineStr"/>
      <c r="T16" s="23" t="inlineStr"/>
      <c r="U16" s="23" t="inlineStr"/>
      <c r="V16" s="23" t="inlineStr"/>
      <c r="W16" s="23" t="inlineStr"/>
      <c r="X16" s="23" t="inlineStr"/>
      <c r="Y16" s="24" t="inlineStr"/>
      <c r="Z16" s="24" t="inlineStr"/>
      <c r="AA16" s="4" t="inlineStr"/>
    </row>
    <row r="17" ht="22" customHeight="1">
      <c r="A17" s="33">
        <f>'01_인적정보'!A17</f>
        <v/>
      </c>
      <c r="B17" s="33">
        <f>'01_인적정보'!B17</f>
        <v/>
      </c>
      <c r="C17" s="8">
        <f>'01_인적정보'!C17</f>
        <v/>
      </c>
      <c r="D17" s="8">
        <f>'01_인적정보'!D17</f>
        <v/>
      </c>
      <c r="E17" s="8">
        <f>'01_인적정보'!E17</f>
        <v/>
      </c>
      <c r="F17" s="16">
        <f>'01_인적정보'!H17</f>
        <v/>
      </c>
      <c r="G17" s="23" t="n"/>
      <c r="H17" s="23" t="n"/>
      <c r="I17" s="23" t="n"/>
      <c r="J17" s="23" t="n"/>
      <c r="K17" s="23" t="n"/>
      <c r="L17" s="24" t="n"/>
      <c r="M17" s="24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4" t="n"/>
      <c r="Z17" s="24" t="n"/>
      <c r="AA17" s="4" t="n"/>
    </row>
    <row r="18" ht="22" customHeight="1">
      <c r="A18" s="33">
        <f>'01_인적정보'!A18</f>
        <v/>
      </c>
      <c r="B18" s="33">
        <f>'01_인적정보'!B18</f>
        <v/>
      </c>
      <c r="C18" s="8">
        <f>'01_인적정보'!C18</f>
        <v/>
      </c>
      <c r="D18" s="8">
        <f>'01_인적정보'!D18</f>
        <v/>
      </c>
      <c r="E18" s="8">
        <f>'01_인적정보'!E18</f>
        <v/>
      </c>
      <c r="F18" s="16">
        <f>'01_인적정보'!H18</f>
        <v/>
      </c>
      <c r="G18" s="23" t="inlineStr"/>
      <c r="H18" s="23" t="inlineStr"/>
      <c r="I18" s="23" t="inlineStr"/>
      <c r="J18" s="23" t="inlineStr"/>
      <c r="K18" s="23" t="inlineStr"/>
      <c r="L18" s="24" t="inlineStr"/>
      <c r="M18" s="24" t="inlineStr"/>
      <c r="N18" s="23" t="inlineStr"/>
      <c r="O18" s="23" t="inlineStr"/>
      <c r="P18" s="23" t="inlineStr"/>
      <c r="Q18" s="23" t="inlineStr"/>
      <c r="R18" s="23" t="inlineStr"/>
      <c r="S18" s="23" t="inlineStr"/>
      <c r="T18" s="23" t="inlineStr"/>
      <c r="U18" s="23" t="inlineStr"/>
      <c r="V18" s="23" t="inlineStr"/>
      <c r="W18" s="23" t="inlineStr"/>
      <c r="X18" s="23" t="inlineStr"/>
      <c r="Y18" s="24" t="inlineStr"/>
      <c r="Z18" s="24" t="inlineStr"/>
      <c r="AA18" s="4" t="inlineStr"/>
    </row>
    <row r="19" ht="22" customHeight="1">
      <c r="A19" s="33">
        <f>'01_인적정보'!A19</f>
        <v/>
      </c>
      <c r="B19" s="33">
        <f>'01_인적정보'!B19</f>
        <v/>
      </c>
      <c r="C19" s="8">
        <f>'01_인적정보'!C19</f>
        <v/>
      </c>
      <c r="D19" s="8">
        <f>'01_인적정보'!D19</f>
        <v/>
      </c>
      <c r="E19" s="8">
        <f>'01_인적정보'!E19</f>
        <v/>
      </c>
      <c r="F19" s="16">
        <f>'01_인적정보'!H19</f>
        <v/>
      </c>
      <c r="G19" s="23" t="inlineStr"/>
      <c r="H19" s="23" t="inlineStr"/>
      <c r="I19" s="23" t="inlineStr"/>
      <c r="J19" s="23" t="inlineStr"/>
      <c r="K19" s="23" t="inlineStr"/>
      <c r="L19" s="24" t="inlineStr"/>
      <c r="M19" s="24" t="inlineStr"/>
      <c r="N19" s="23" t="inlineStr"/>
      <c r="O19" s="23" t="inlineStr"/>
      <c r="P19" s="23" t="inlineStr"/>
      <c r="Q19" s="23" t="inlineStr"/>
      <c r="R19" s="23" t="inlineStr"/>
      <c r="S19" s="23" t="inlineStr"/>
      <c r="T19" s="23" t="inlineStr"/>
      <c r="U19" s="23" t="inlineStr"/>
      <c r="V19" s="23" t="inlineStr"/>
      <c r="W19" s="23" t="inlineStr"/>
      <c r="X19" s="23" t="inlineStr"/>
      <c r="Y19" s="24" t="inlineStr"/>
      <c r="Z19" s="24" t="inlineStr"/>
      <c r="AA19" s="4" t="inlineStr"/>
    </row>
    <row r="20" ht="22" customHeight="1">
      <c r="A20" s="33">
        <f>'01_인적정보'!A20</f>
        <v/>
      </c>
      <c r="B20" s="33">
        <f>'01_인적정보'!B20</f>
        <v/>
      </c>
      <c r="C20" s="8">
        <f>'01_인적정보'!C20</f>
        <v/>
      </c>
      <c r="D20" s="8">
        <f>'01_인적정보'!D20</f>
        <v/>
      </c>
      <c r="E20" s="8">
        <f>'01_인적정보'!E20</f>
        <v/>
      </c>
      <c r="F20" s="16">
        <f>'01_인적정보'!H20</f>
        <v/>
      </c>
      <c r="G20" s="23" t="inlineStr"/>
      <c r="H20" s="23" t="inlineStr"/>
      <c r="I20" s="23" t="inlineStr"/>
      <c r="J20" s="23" t="inlineStr"/>
      <c r="K20" s="23" t="inlineStr"/>
      <c r="L20" s="24" t="inlineStr"/>
      <c r="M20" s="24" t="inlineStr"/>
      <c r="N20" s="23" t="inlineStr"/>
      <c r="O20" s="23" t="inlineStr"/>
      <c r="P20" s="23" t="inlineStr"/>
      <c r="Q20" s="23" t="inlineStr"/>
      <c r="R20" s="23" t="inlineStr"/>
      <c r="S20" s="23" t="inlineStr"/>
      <c r="T20" s="23" t="inlineStr"/>
      <c r="U20" s="23" t="inlineStr"/>
      <c r="V20" s="23" t="inlineStr"/>
      <c r="W20" s="23" t="inlineStr"/>
      <c r="X20" s="23" t="inlineStr"/>
      <c r="Y20" s="24" t="inlineStr"/>
      <c r="Z20" s="24" t="inlineStr"/>
      <c r="AA20" s="4" t="inlineStr"/>
    </row>
    <row r="21" ht="22" customHeight="1">
      <c r="A21" s="33">
        <f>'01_인적정보'!A21</f>
        <v/>
      </c>
      <c r="B21" s="33">
        <f>'01_인적정보'!B21</f>
        <v/>
      </c>
      <c r="C21" s="8">
        <f>'01_인적정보'!C21</f>
        <v/>
      </c>
      <c r="D21" s="8">
        <f>'01_인적정보'!D21</f>
        <v/>
      </c>
      <c r="E21" s="8">
        <f>'01_인적정보'!E21</f>
        <v/>
      </c>
      <c r="F21" s="16">
        <f>'01_인적정보'!H21</f>
        <v/>
      </c>
      <c r="G21" s="23" t="inlineStr"/>
      <c r="H21" s="23" t="inlineStr"/>
      <c r="I21" s="23" t="inlineStr"/>
      <c r="J21" s="23" t="inlineStr"/>
      <c r="K21" s="23" t="inlineStr"/>
      <c r="L21" s="24" t="inlineStr"/>
      <c r="M21" s="24" t="inlineStr"/>
      <c r="N21" s="23" t="inlineStr"/>
      <c r="O21" s="23" t="inlineStr"/>
      <c r="P21" s="23" t="inlineStr"/>
      <c r="Q21" s="23" t="inlineStr"/>
      <c r="R21" s="23" t="inlineStr"/>
      <c r="S21" s="23" t="inlineStr"/>
      <c r="T21" s="23" t="inlineStr"/>
      <c r="U21" s="23" t="inlineStr"/>
      <c r="V21" s="23" t="inlineStr"/>
      <c r="W21" s="23" t="inlineStr"/>
      <c r="X21" s="23" t="inlineStr"/>
      <c r="Y21" s="24" t="inlineStr"/>
      <c r="Z21" s="24" t="inlineStr"/>
      <c r="AA21" s="4" t="inlineStr"/>
    </row>
    <row r="22" ht="22" customHeight="1">
      <c r="A22" s="33">
        <f>'01_인적정보'!A22</f>
        <v/>
      </c>
      <c r="B22" s="33">
        <f>'01_인적정보'!B22</f>
        <v/>
      </c>
      <c r="C22" s="8">
        <f>'01_인적정보'!C22</f>
        <v/>
      </c>
      <c r="D22" s="8">
        <f>'01_인적정보'!D22</f>
        <v/>
      </c>
      <c r="E22" s="8">
        <f>'01_인적정보'!E22</f>
        <v/>
      </c>
      <c r="F22" s="16">
        <f>'01_인적정보'!H22</f>
        <v/>
      </c>
      <c r="G22" s="23" t="inlineStr"/>
      <c r="H22" s="23" t="inlineStr"/>
      <c r="I22" s="23" t="inlineStr"/>
      <c r="J22" s="23" t="inlineStr"/>
      <c r="K22" s="23" t="inlineStr"/>
      <c r="L22" s="24" t="inlineStr"/>
      <c r="M22" s="24" t="inlineStr"/>
      <c r="N22" s="23" t="inlineStr"/>
      <c r="O22" s="23" t="inlineStr"/>
      <c r="P22" s="23" t="inlineStr"/>
      <c r="Q22" s="23" t="inlineStr"/>
      <c r="R22" s="23" t="inlineStr"/>
      <c r="S22" s="23" t="inlineStr"/>
      <c r="T22" s="23" t="inlineStr"/>
      <c r="U22" s="23" t="inlineStr"/>
      <c r="V22" s="23" t="inlineStr"/>
      <c r="W22" s="23" t="inlineStr"/>
      <c r="X22" s="23" t="inlineStr"/>
      <c r="Y22" s="24" t="inlineStr"/>
      <c r="Z22" s="24" t="inlineStr"/>
      <c r="AA22" s="4" t="inlineStr"/>
    </row>
    <row r="23" ht="22" customHeight="1">
      <c r="A23" s="33">
        <f>'01_인적정보'!A23</f>
        <v/>
      </c>
      <c r="B23" s="33">
        <f>'01_인적정보'!B23</f>
        <v/>
      </c>
      <c r="C23" s="8">
        <f>'01_인적정보'!C23</f>
        <v/>
      </c>
      <c r="D23" s="8">
        <f>'01_인적정보'!D23</f>
        <v/>
      </c>
      <c r="E23" s="8">
        <f>'01_인적정보'!E23</f>
        <v/>
      </c>
      <c r="F23" s="16">
        <f>'01_인적정보'!H23</f>
        <v/>
      </c>
      <c r="G23" s="23" t="inlineStr"/>
      <c r="H23" s="23" t="inlineStr"/>
      <c r="I23" s="23" t="inlineStr"/>
      <c r="J23" s="23" t="inlineStr"/>
      <c r="K23" s="23" t="inlineStr"/>
      <c r="L23" s="24" t="inlineStr"/>
      <c r="M23" s="24" t="inlineStr"/>
      <c r="N23" s="23" t="inlineStr"/>
      <c r="O23" s="23" t="inlineStr"/>
      <c r="P23" s="23" t="inlineStr"/>
      <c r="Q23" s="23" t="inlineStr"/>
      <c r="R23" s="23" t="inlineStr"/>
      <c r="S23" s="23" t="inlineStr"/>
      <c r="T23" s="23" t="inlineStr"/>
      <c r="U23" s="23" t="inlineStr"/>
      <c r="V23" s="23" t="inlineStr"/>
      <c r="W23" s="23" t="inlineStr"/>
      <c r="X23" s="23" t="inlineStr"/>
      <c r="Y23" s="24" t="inlineStr"/>
      <c r="Z23" s="24" t="inlineStr"/>
      <c r="AA23" s="4" t="inlineStr"/>
    </row>
    <row r="24" ht="22" customHeight="1">
      <c r="A24" s="33">
        <f>'01_인적정보'!A24</f>
        <v/>
      </c>
      <c r="B24" s="33">
        <f>'01_인적정보'!B24</f>
        <v/>
      </c>
      <c r="C24" s="8">
        <f>'01_인적정보'!C24</f>
        <v/>
      </c>
      <c r="D24" s="8">
        <f>'01_인적정보'!D24</f>
        <v/>
      </c>
      <c r="E24" s="8">
        <f>'01_인적정보'!E24</f>
        <v/>
      </c>
      <c r="F24" s="16">
        <f>'01_인적정보'!H24</f>
        <v/>
      </c>
      <c r="G24" s="23" t="inlineStr"/>
      <c r="H24" s="23" t="inlineStr"/>
      <c r="I24" s="23" t="inlineStr"/>
      <c r="J24" s="23" t="inlineStr"/>
      <c r="K24" s="23" t="inlineStr"/>
      <c r="L24" s="24" t="inlineStr"/>
      <c r="M24" s="24" t="inlineStr"/>
      <c r="N24" s="23" t="inlineStr"/>
      <c r="O24" s="23" t="inlineStr"/>
      <c r="P24" s="23" t="inlineStr"/>
      <c r="Q24" s="23" t="inlineStr"/>
      <c r="R24" s="23" t="inlineStr"/>
      <c r="S24" s="23" t="inlineStr"/>
      <c r="T24" s="23" t="inlineStr"/>
      <c r="U24" s="23" t="inlineStr"/>
      <c r="V24" s="23" t="inlineStr"/>
      <c r="W24" s="23" t="inlineStr"/>
      <c r="X24" s="23" t="inlineStr"/>
      <c r="Y24" s="24" t="inlineStr"/>
      <c r="Z24" s="24" t="inlineStr"/>
      <c r="AA24" s="4" t="inlineStr"/>
    </row>
    <row r="25" ht="22" customHeight="1">
      <c r="A25" s="33">
        <f>'01_인적정보'!A25</f>
        <v/>
      </c>
      <c r="B25" s="33">
        <f>'01_인적정보'!B25</f>
        <v/>
      </c>
      <c r="C25" s="8">
        <f>'01_인적정보'!C25</f>
        <v/>
      </c>
      <c r="D25" s="8">
        <f>'01_인적정보'!D25</f>
        <v/>
      </c>
      <c r="E25" s="8">
        <f>'01_인적정보'!E25</f>
        <v/>
      </c>
      <c r="F25" s="16">
        <f>'01_인적정보'!H25</f>
        <v/>
      </c>
      <c r="G25" s="23" t="inlineStr"/>
      <c r="H25" s="23" t="inlineStr"/>
      <c r="I25" s="23" t="inlineStr"/>
      <c r="J25" s="23" t="inlineStr"/>
      <c r="K25" s="23" t="inlineStr"/>
      <c r="L25" s="24" t="inlineStr"/>
      <c r="M25" s="24" t="inlineStr"/>
      <c r="N25" s="23" t="inlineStr"/>
      <c r="O25" s="23" t="inlineStr"/>
      <c r="P25" s="23" t="inlineStr"/>
      <c r="Q25" s="23" t="inlineStr"/>
      <c r="R25" s="23" t="inlineStr"/>
      <c r="S25" s="23" t="inlineStr"/>
      <c r="T25" s="23" t="inlineStr"/>
      <c r="U25" s="23" t="inlineStr"/>
      <c r="V25" s="23" t="inlineStr"/>
      <c r="W25" s="23" t="inlineStr"/>
      <c r="X25" s="23" t="inlineStr"/>
      <c r="Y25" s="24" t="inlineStr"/>
      <c r="Z25" s="24" t="inlineStr"/>
      <c r="AA25" s="4" t="inlineStr"/>
    </row>
    <row r="26" ht="22" customHeight="1">
      <c r="A26" s="33">
        <f>'01_인적정보'!A26</f>
        <v/>
      </c>
      <c r="B26" s="33">
        <f>'01_인적정보'!B26</f>
        <v/>
      </c>
      <c r="C26" s="8">
        <f>'01_인적정보'!C26</f>
        <v/>
      </c>
      <c r="D26" s="8">
        <f>'01_인적정보'!D26</f>
        <v/>
      </c>
      <c r="E26" s="8">
        <f>'01_인적정보'!E26</f>
        <v/>
      </c>
      <c r="F26" s="16">
        <f>'01_인적정보'!H26</f>
        <v/>
      </c>
      <c r="G26" s="23" t="inlineStr"/>
      <c r="H26" s="23" t="inlineStr"/>
      <c r="I26" s="23" t="inlineStr"/>
      <c r="J26" s="23" t="inlineStr"/>
      <c r="K26" s="23" t="inlineStr"/>
      <c r="L26" s="24" t="inlineStr"/>
      <c r="M26" s="24" t="inlineStr"/>
      <c r="N26" s="23" t="inlineStr"/>
      <c r="O26" s="23" t="inlineStr"/>
      <c r="P26" s="23" t="inlineStr"/>
      <c r="Q26" s="23" t="inlineStr"/>
      <c r="R26" s="23" t="inlineStr"/>
      <c r="S26" s="23" t="inlineStr"/>
      <c r="T26" s="23" t="inlineStr"/>
      <c r="U26" s="23" t="inlineStr"/>
      <c r="V26" s="23" t="inlineStr"/>
      <c r="W26" s="23" t="inlineStr"/>
      <c r="X26" s="23" t="inlineStr"/>
      <c r="Y26" s="24" t="inlineStr"/>
      <c r="Z26" s="24" t="inlineStr"/>
      <c r="AA26" s="4" t="inlineStr"/>
    </row>
    <row r="27" ht="22" customHeight="1">
      <c r="A27" s="33">
        <f>'01_인적정보'!A27</f>
        <v/>
      </c>
      <c r="B27" s="33">
        <f>'01_인적정보'!B27</f>
        <v/>
      </c>
      <c r="C27" s="8">
        <f>'01_인적정보'!C27</f>
        <v/>
      </c>
      <c r="D27" s="8">
        <f>'01_인적정보'!D27</f>
        <v/>
      </c>
      <c r="E27" s="8">
        <f>'01_인적정보'!E27</f>
        <v/>
      </c>
      <c r="F27" s="16">
        <f>'01_인적정보'!H27</f>
        <v/>
      </c>
      <c r="G27" s="23" t="inlineStr"/>
      <c r="H27" s="23" t="inlineStr"/>
      <c r="I27" s="23" t="inlineStr"/>
      <c r="J27" s="23" t="inlineStr"/>
      <c r="K27" s="23" t="inlineStr"/>
      <c r="L27" s="24" t="inlineStr"/>
      <c r="M27" s="24" t="inlineStr"/>
      <c r="N27" s="23" t="inlineStr"/>
      <c r="O27" s="23" t="inlineStr"/>
      <c r="P27" s="23" t="inlineStr"/>
      <c r="Q27" s="23" t="inlineStr"/>
      <c r="R27" s="23" t="inlineStr"/>
      <c r="S27" s="23" t="inlineStr"/>
      <c r="T27" s="23" t="inlineStr"/>
      <c r="U27" s="23" t="inlineStr"/>
      <c r="V27" s="23" t="inlineStr"/>
      <c r="W27" s="23" t="inlineStr"/>
      <c r="X27" s="23" t="inlineStr"/>
      <c r="Y27" s="24" t="inlineStr"/>
      <c r="Z27" s="24" t="inlineStr"/>
      <c r="AA27" s="4" t="inlineStr"/>
    </row>
    <row r="28" ht="22" customHeight="1">
      <c r="A28" s="33">
        <f>'01_인적정보'!A28</f>
        <v/>
      </c>
      <c r="B28" s="33">
        <f>'01_인적정보'!B28</f>
        <v/>
      </c>
      <c r="C28" s="8">
        <f>'01_인적정보'!C28</f>
        <v/>
      </c>
      <c r="D28" s="8">
        <f>'01_인적정보'!D28</f>
        <v/>
      </c>
      <c r="E28" s="8">
        <f>'01_인적정보'!E28</f>
        <v/>
      </c>
      <c r="F28" s="16">
        <f>'01_인적정보'!H28</f>
        <v/>
      </c>
      <c r="G28" s="23" t="inlineStr"/>
      <c r="H28" s="23" t="inlineStr"/>
      <c r="I28" s="23" t="inlineStr"/>
      <c r="J28" s="23" t="inlineStr"/>
      <c r="K28" s="23" t="inlineStr"/>
      <c r="L28" s="24" t="inlineStr"/>
      <c r="M28" s="24" t="inlineStr"/>
      <c r="N28" s="23" t="inlineStr"/>
      <c r="O28" s="23" t="inlineStr"/>
      <c r="P28" s="23" t="inlineStr"/>
      <c r="Q28" s="23" t="inlineStr"/>
      <c r="R28" s="23" t="inlineStr"/>
      <c r="S28" s="23" t="inlineStr"/>
      <c r="T28" s="23" t="inlineStr"/>
      <c r="U28" s="23" t="inlineStr"/>
      <c r="V28" s="23" t="inlineStr"/>
      <c r="W28" s="23" t="inlineStr"/>
      <c r="X28" s="23" t="inlineStr"/>
      <c r="Y28" s="24" t="inlineStr"/>
      <c r="Z28" s="24" t="inlineStr"/>
      <c r="AA28" s="4" t="inlineStr"/>
    </row>
    <row r="29" ht="22" customHeight="1">
      <c r="A29" s="33">
        <f>'01_인적정보'!A29</f>
        <v/>
      </c>
      <c r="B29" s="33">
        <f>'01_인적정보'!B29</f>
        <v/>
      </c>
      <c r="C29" s="8">
        <f>'01_인적정보'!C29</f>
        <v/>
      </c>
      <c r="D29" s="8">
        <f>'01_인적정보'!D29</f>
        <v/>
      </c>
      <c r="E29" s="8">
        <f>'01_인적정보'!E29</f>
        <v/>
      </c>
      <c r="F29" s="16">
        <f>'01_인적정보'!H29</f>
        <v/>
      </c>
      <c r="G29" s="23" t="inlineStr"/>
      <c r="H29" s="23" t="inlineStr"/>
      <c r="I29" s="23" t="inlineStr"/>
      <c r="J29" s="23" t="inlineStr"/>
      <c r="K29" s="23" t="inlineStr"/>
      <c r="L29" s="24" t="inlineStr"/>
      <c r="M29" s="24" t="inlineStr"/>
      <c r="N29" s="23" t="inlineStr"/>
      <c r="O29" s="23" t="inlineStr"/>
      <c r="P29" s="23" t="inlineStr"/>
      <c r="Q29" s="23" t="inlineStr"/>
      <c r="R29" s="23" t="inlineStr"/>
      <c r="S29" s="23" t="inlineStr"/>
      <c r="T29" s="23" t="inlineStr"/>
      <c r="U29" s="23" t="inlineStr"/>
      <c r="V29" s="23" t="inlineStr"/>
      <c r="W29" s="23" t="inlineStr"/>
      <c r="X29" s="23" t="inlineStr"/>
      <c r="Y29" s="24" t="inlineStr"/>
      <c r="Z29" s="24" t="inlineStr"/>
      <c r="AA29" s="4" t="inlineStr"/>
    </row>
    <row r="30" ht="22" customHeight="1">
      <c r="A30" s="33">
        <f>'01_인적정보'!A30</f>
        <v/>
      </c>
      <c r="B30" s="33">
        <f>'01_인적정보'!B30</f>
        <v/>
      </c>
      <c r="C30" s="8">
        <f>'01_인적정보'!C30</f>
        <v/>
      </c>
      <c r="D30" s="8">
        <f>'01_인적정보'!D30</f>
        <v/>
      </c>
      <c r="E30" s="8">
        <f>'01_인적정보'!E30</f>
        <v/>
      </c>
      <c r="F30" s="16">
        <f>'01_인적정보'!H30</f>
        <v/>
      </c>
      <c r="G30" s="23" t="inlineStr"/>
      <c r="H30" s="23" t="inlineStr"/>
      <c r="I30" s="23" t="inlineStr"/>
      <c r="J30" s="23" t="inlineStr"/>
      <c r="K30" s="23" t="inlineStr"/>
      <c r="L30" s="24" t="inlineStr"/>
      <c r="M30" s="24" t="inlineStr"/>
      <c r="N30" s="23" t="inlineStr"/>
      <c r="O30" s="23" t="inlineStr"/>
      <c r="P30" s="23" t="inlineStr"/>
      <c r="Q30" s="23" t="inlineStr"/>
      <c r="R30" s="23" t="inlineStr"/>
      <c r="S30" s="23" t="inlineStr"/>
      <c r="T30" s="23" t="inlineStr"/>
      <c r="U30" s="23" t="inlineStr"/>
      <c r="V30" s="23" t="inlineStr"/>
      <c r="W30" s="23" t="inlineStr"/>
      <c r="X30" s="23" t="inlineStr"/>
      <c r="Y30" s="24" t="inlineStr"/>
      <c r="Z30" s="24" t="inlineStr"/>
      <c r="AA30" s="4" t="inlineStr"/>
    </row>
    <row r="31" ht="22" customHeight="1">
      <c r="A31" s="33">
        <f>'01_인적정보'!A31</f>
        <v/>
      </c>
      <c r="B31" s="33">
        <f>'01_인적정보'!B31</f>
        <v/>
      </c>
      <c r="C31" s="8">
        <f>'01_인적정보'!C31</f>
        <v/>
      </c>
      <c r="D31" s="8">
        <f>'01_인적정보'!D31</f>
        <v/>
      </c>
      <c r="E31" s="8">
        <f>'01_인적정보'!E31</f>
        <v/>
      </c>
      <c r="F31" s="16">
        <f>'01_인적정보'!H31</f>
        <v/>
      </c>
      <c r="G31" s="23" t="n"/>
      <c r="H31" s="23" t="n"/>
      <c r="I31" s="23" t="n"/>
      <c r="J31" s="23" t="n"/>
      <c r="K31" s="23" t="n"/>
      <c r="L31" s="24" t="n"/>
      <c r="M31" s="24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4" t="n"/>
      <c r="Z31" s="24" t="n"/>
      <c r="AA31" s="4" t="n"/>
    </row>
    <row r="32" ht="22" customHeight="1">
      <c r="A32" s="33">
        <f>'01_인적정보'!A32</f>
        <v/>
      </c>
      <c r="B32" s="33">
        <f>'01_인적정보'!B32</f>
        <v/>
      </c>
      <c r="C32" s="8">
        <f>'01_인적정보'!C32</f>
        <v/>
      </c>
      <c r="D32" s="8">
        <f>'01_인적정보'!D32</f>
        <v/>
      </c>
      <c r="E32" s="8">
        <f>'01_인적정보'!E32</f>
        <v/>
      </c>
      <c r="F32" s="16">
        <f>'01_인적정보'!H32</f>
        <v/>
      </c>
      <c r="G32" s="23" t="inlineStr"/>
      <c r="H32" s="23" t="inlineStr"/>
      <c r="I32" s="23" t="inlineStr"/>
      <c r="J32" s="23" t="inlineStr"/>
      <c r="K32" s="23" t="inlineStr"/>
      <c r="L32" s="24" t="inlineStr"/>
      <c r="M32" s="24" t="inlineStr"/>
      <c r="N32" s="23" t="inlineStr"/>
      <c r="O32" s="23" t="inlineStr"/>
      <c r="P32" s="23" t="inlineStr"/>
      <c r="Q32" s="23" t="inlineStr"/>
      <c r="R32" s="23" t="inlineStr"/>
      <c r="S32" s="23" t="inlineStr"/>
      <c r="T32" s="23" t="inlineStr"/>
      <c r="U32" s="23" t="inlineStr"/>
      <c r="V32" s="23" t="inlineStr"/>
      <c r="W32" s="23" t="inlineStr"/>
      <c r="X32" s="23" t="inlineStr"/>
      <c r="Y32" s="24" t="inlineStr"/>
      <c r="Z32" s="24" t="inlineStr"/>
      <c r="AA32" s="4" t="inlineStr"/>
    </row>
    <row r="33" ht="22" customHeight="1">
      <c r="A33" s="33">
        <f>'01_인적정보'!A33</f>
        <v/>
      </c>
      <c r="B33" s="33">
        <f>'01_인적정보'!B33</f>
        <v/>
      </c>
      <c r="C33" s="8">
        <f>'01_인적정보'!C33</f>
        <v/>
      </c>
      <c r="D33" s="8">
        <f>'01_인적정보'!D33</f>
        <v/>
      </c>
      <c r="E33" s="8">
        <f>'01_인적정보'!E33</f>
        <v/>
      </c>
      <c r="F33" s="16">
        <f>'01_인적정보'!H33</f>
        <v/>
      </c>
      <c r="G33" s="23" t="inlineStr"/>
      <c r="H33" s="23" t="inlineStr"/>
      <c r="I33" s="23" t="inlineStr"/>
      <c r="J33" s="23" t="inlineStr"/>
      <c r="K33" s="23" t="inlineStr"/>
      <c r="L33" s="24" t="inlineStr"/>
      <c r="M33" s="24" t="inlineStr"/>
      <c r="N33" s="23" t="inlineStr"/>
      <c r="O33" s="23" t="inlineStr"/>
      <c r="P33" s="23" t="inlineStr"/>
      <c r="Q33" s="23" t="inlineStr"/>
      <c r="R33" s="23" t="inlineStr"/>
      <c r="S33" s="23" t="inlineStr"/>
      <c r="T33" s="23" t="inlineStr"/>
      <c r="U33" s="23" t="inlineStr"/>
      <c r="V33" s="23" t="inlineStr"/>
      <c r="W33" s="23" t="inlineStr"/>
      <c r="X33" s="23" t="inlineStr"/>
      <c r="Y33" s="24" t="inlineStr"/>
      <c r="Z33" s="24" t="inlineStr"/>
      <c r="AA33" s="4" t="inlineStr"/>
    </row>
    <row r="34" ht="22" customHeight="1">
      <c r="A34" s="33">
        <f>'01_인적정보'!A34</f>
        <v/>
      </c>
      <c r="B34" s="33">
        <f>'01_인적정보'!B34</f>
        <v/>
      </c>
      <c r="C34" s="8">
        <f>'01_인적정보'!C34</f>
        <v/>
      </c>
      <c r="D34" s="8">
        <f>'01_인적정보'!D34</f>
        <v/>
      </c>
      <c r="E34" s="8">
        <f>'01_인적정보'!E34</f>
        <v/>
      </c>
      <c r="F34" s="16">
        <f>'01_인적정보'!H34</f>
        <v/>
      </c>
      <c r="G34" s="23" t="inlineStr"/>
      <c r="H34" s="23" t="inlineStr"/>
      <c r="I34" s="23" t="inlineStr"/>
      <c r="J34" s="23" t="inlineStr"/>
      <c r="K34" s="23" t="inlineStr"/>
      <c r="L34" s="24" t="inlineStr"/>
      <c r="M34" s="24" t="inlineStr"/>
      <c r="N34" s="23" t="inlineStr"/>
      <c r="O34" s="23" t="inlineStr"/>
      <c r="P34" s="23" t="inlineStr"/>
      <c r="Q34" s="23" t="inlineStr"/>
      <c r="R34" s="23" t="inlineStr"/>
      <c r="S34" s="23" t="inlineStr"/>
      <c r="T34" s="23" t="inlineStr"/>
      <c r="U34" s="23" t="inlineStr"/>
      <c r="V34" s="23" t="inlineStr"/>
      <c r="W34" s="23" t="inlineStr"/>
      <c r="X34" s="23" t="inlineStr"/>
      <c r="Y34" s="24" t="inlineStr"/>
      <c r="Z34" s="24" t="inlineStr"/>
      <c r="AA34" s="4" t="inlineStr"/>
    </row>
    <row r="35" ht="22" customHeight="1">
      <c r="A35" s="33">
        <f>'01_인적정보'!A35</f>
        <v/>
      </c>
      <c r="B35" s="33">
        <f>'01_인적정보'!B35</f>
        <v/>
      </c>
      <c r="C35" s="8">
        <f>'01_인적정보'!C35</f>
        <v/>
      </c>
      <c r="D35" s="8">
        <f>'01_인적정보'!D35</f>
        <v/>
      </c>
      <c r="E35" s="8">
        <f>'01_인적정보'!E35</f>
        <v/>
      </c>
      <c r="F35" s="16">
        <f>'01_인적정보'!H35</f>
        <v/>
      </c>
      <c r="G35" s="23" t="inlineStr"/>
      <c r="H35" s="23" t="inlineStr"/>
      <c r="I35" s="23" t="inlineStr"/>
      <c r="J35" s="23" t="inlineStr"/>
      <c r="K35" s="23" t="inlineStr"/>
      <c r="L35" s="24" t="inlineStr"/>
      <c r="M35" s="24" t="inlineStr"/>
      <c r="N35" s="23" t="inlineStr"/>
      <c r="O35" s="23" t="inlineStr"/>
      <c r="P35" s="23" t="inlineStr"/>
      <c r="Q35" s="23" t="inlineStr"/>
      <c r="R35" s="23" t="inlineStr"/>
      <c r="S35" s="23" t="inlineStr"/>
      <c r="T35" s="23" t="inlineStr"/>
      <c r="U35" s="23" t="inlineStr"/>
      <c r="V35" s="23" t="inlineStr"/>
      <c r="W35" s="23" t="inlineStr"/>
      <c r="X35" s="23" t="inlineStr"/>
      <c r="Y35" s="24" t="inlineStr"/>
      <c r="Z35" s="24" t="inlineStr"/>
      <c r="AA35" s="4" t="inlineStr"/>
    </row>
    <row r="36" ht="22" customHeight="1">
      <c r="A36" s="33">
        <f>'01_인적정보'!A36</f>
        <v/>
      </c>
      <c r="B36" s="33">
        <f>'01_인적정보'!B36</f>
        <v/>
      </c>
      <c r="C36" s="8">
        <f>'01_인적정보'!C36</f>
        <v/>
      </c>
      <c r="D36" s="8">
        <f>'01_인적정보'!D36</f>
        <v/>
      </c>
      <c r="E36" s="8">
        <f>'01_인적정보'!E36</f>
        <v/>
      </c>
      <c r="F36" s="16">
        <f>'01_인적정보'!H36</f>
        <v/>
      </c>
      <c r="G36" s="23" t="inlineStr"/>
      <c r="H36" s="23" t="inlineStr"/>
      <c r="I36" s="23" t="inlineStr"/>
      <c r="J36" s="23" t="inlineStr"/>
      <c r="K36" s="23" t="inlineStr"/>
      <c r="L36" s="24" t="inlineStr"/>
      <c r="M36" s="24" t="inlineStr"/>
      <c r="N36" s="23" t="inlineStr"/>
      <c r="O36" s="23" t="inlineStr"/>
      <c r="P36" s="23" t="inlineStr"/>
      <c r="Q36" s="23" t="inlineStr"/>
      <c r="R36" s="23" t="inlineStr"/>
      <c r="S36" s="23" t="inlineStr"/>
      <c r="T36" s="23" t="inlineStr"/>
      <c r="U36" s="23" t="inlineStr"/>
      <c r="V36" s="23" t="inlineStr"/>
      <c r="W36" s="23" t="inlineStr"/>
      <c r="X36" s="23" t="inlineStr"/>
      <c r="Y36" s="24" t="inlineStr"/>
      <c r="Z36" s="24" t="inlineStr"/>
      <c r="AA36" s="4" t="inlineStr"/>
    </row>
    <row r="37" ht="22" customHeight="1">
      <c r="A37" s="33">
        <f>'01_인적정보'!A37</f>
        <v/>
      </c>
      <c r="B37" s="33">
        <f>'01_인적정보'!B37</f>
        <v/>
      </c>
      <c r="C37" s="8">
        <f>'01_인적정보'!C37</f>
        <v/>
      </c>
      <c r="D37" s="8">
        <f>'01_인적정보'!D37</f>
        <v/>
      </c>
      <c r="E37" s="8">
        <f>'01_인적정보'!E37</f>
        <v/>
      </c>
      <c r="F37" s="16">
        <f>'01_인적정보'!H37</f>
        <v/>
      </c>
      <c r="G37" s="23" t="inlineStr"/>
      <c r="H37" s="23" t="inlineStr"/>
      <c r="I37" s="23" t="inlineStr"/>
      <c r="J37" s="23" t="inlineStr"/>
      <c r="K37" s="23" t="inlineStr"/>
      <c r="L37" s="24" t="inlineStr"/>
      <c r="M37" s="24" t="inlineStr"/>
      <c r="N37" s="23" t="inlineStr"/>
      <c r="O37" s="23" t="inlineStr"/>
      <c r="P37" s="23" t="inlineStr"/>
      <c r="Q37" s="23" t="inlineStr"/>
      <c r="R37" s="23" t="inlineStr"/>
      <c r="S37" s="23" t="inlineStr"/>
      <c r="T37" s="23" t="inlineStr"/>
      <c r="U37" s="23" t="inlineStr"/>
      <c r="V37" s="23" t="inlineStr"/>
      <c r="W37" s="23" t="inlineStr"/>
      <c r="X37" s="23" t="inlineStr"/>
      <c r="Y37" s="24" t="inlineStr"/>
      <c r="Z37" s="24" t="inlineStr"/>
      <c r="AA37" s="4" t="inlineStr"/>
    </row>
    <row r="38" ht="22" customHeight="1">
      <c r="A38" s="33">
        <f>'01_인적정보'!A38</f>
        <v/>
      </c>
      <c r="B38" s="33">
        <f>'01_인적정보'!B38</f>
        <v/>
      </c>
      <c r="C38" s="8">
        <f>'01_인적정보'!C38</f>
        <v/>
      </c>
      <c r="D38" s="8">
        <f>'01_인적정보'!D38</f>
        <v/>
      </c>
      <c r="E38" s="8">
        <f>'01_인적정보'!E38</f>
        <v/>
      </c>
      <c r="F38" s="16">
        <f>'01_인적정보'!H38</f>
        <v/>
      </c>
      <c r="G38" s="23" t="inlineStr"/>
      <c r="H38" s="23" t="inlineStr"/>
      <c r="I38" s="23" t="inlineStr"/>
      <c r="J38" s="23" t="inlineStr"/>
      <c r="K38" s="23" t="inlineStr"/>
      <c r="L38" s="24" t="inlineStr"/>
      <c r="M38" s="24" t="inlineStr"/>
      <c r="N38" s="23" t="inlineStr"/>
      <c r="O38" s="23" t="inlineStr"/>
      <c r="P38" s="23" t="inlineStr"/>
      <c r="Q38" s="23" t="inlineStr"/>
      <c r="R38" s="23" t="inlineStr"/>
      <c r="S38" s="23" t="inlineStr"/>
      <c r="T38" s="23" t="inlineStr"/>
      <c r="U38" s="23" t="inlineStr"/>
      <c r="V38" s="23" t="inlineStr"/>
      <c r="W38" s="23" t="inlineStr"/>
      <c r="X38" s="23" t="inlineStr"/>
      <c r="Y38" s="24" t="inlineStr"/>
      <c r="Z38" s="24" t="inlineStr"/>
      <c r="AA38" s="4" t="inlineStr"/>
    </row>
    <row r="39" ht="22" customHeight="1">
      <c r="A39" s="33">
        <f>'01_인적정보'!A39</f>
        <v/>
      </c>
      <c r="B39" s="33">
        <f>'01_인적정보'!B39</f>
        <v/>
      </c>
      <c r="C39" s="8">
        <f>'01_인적정보'!C39</f>
        <v/>
      </c>
      <c r="D39" s="8">
        <f>'01_인적정보'!D39</f>
        <v/>
      </c>
      <c r="E39" s="8">
        <f>'01_인적정보'!E39</f>
        <v/>
      </c>
      <c r="F39" s="16">
        <f>'01_인적정보'!H39</f>
        <v/>
      </c>
      <c r="G39" s="23" t="inlineStr"/>
      <c r="H39" s="23" t="inlineStr"/>
      <c r="I39" s="23" t="inlineStr"/>
      <c r="J39" s="23" t="inlineStr"/>
      <c r="K39" s="23" t="inlineStr"/>
      <c r="L39" s="24" t="inlineStr"/>
      <c r="M39" s="24" t="inlineStr"/>
      <c r="N39" s="23" t="inlineStr"/>
      <c r="O39" s="23" t="inlineStr"/>
      <c r="P39" s="23" t="inlineStr"/>
      <c r="Q39" s="23" t="inlineStr"/>
      <c r="R39" s="23" t="inlineStr"/>
      <c r="S39" s="23" t="inlineStr"/>
      <c r="T39" s="23" t="inlineStr"/>
      <c r="U39" s="23" t="inlineStr"/>
      <c r="V39" s="23" t="inlineStr"/>
      <c r="W39" s="23" t="inlineStr"/>
      <c r="X39" s="23" t="inlineStr"/>
      <c r="Y39" s="24" t="inlineStr"/>
      <c r="Z39" s="24" t="inlineStr"/>
      <c r="AA39" s="4" t="inlineStr"/>
    </row>
    <row r="41">
      <c r="A41" s="91" t="n"/>
      <c r="B41" s="76" t="n"/>
      <c r="C41" s="76" t="n"/>
      <c r="D41" s="76" t="n"/>
      <c r="E41" s="76" t="n"/>
      <c r="F41" s="76" t="n"/>
      <c r="G41" s="92" t="n"/>
      <c r="H41" s="76" t="n"/>
      <c r="I41" s="76" t="n"/>
      <c r="J41" s="92" t="n"/>
      <c r="K41" s="76" t="n"/>
      <c r="L41" s="76" t="n"/>
      <c r="M41" s="76" t="n"/>
      <c r="N41" s="92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  <c r="AA41" s="76" t="n"/>
      <c r="AB41" s="76" t="n"/>
      <c r="AC41" s="76" t="n"/>
    </row>
    <row r="42">
      <c r="A42" s="76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  <c r="AA42" s="76" t="n"/>
      <c r="AB42" s="76" t="n"/>
      <c r="AC42" s="76" t="n"/>
    </row>
    <row r="43">
      <c r="A43" s="76" t="n"/>
      <c r="B43" s="76" t="n"/>
      <c r="C43" s="76" t="n"/>
      <c r="D43" s="76" t="n"/>
      <c r="E43" s="76" t="n"/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  <c r="AA43" s="76" t="n"/>
      <c r="AB43" s="76" t="n"/>
      <c r="AC43" s="76" t="n"/>
    </row>
  </sheetData>
  <mergeCells count="9">
    <mergeCell ref="G3:K3"/>
    <mergeCell ref="L3:M3"/>
    <mergeCell ref="A4:AA4"/>
    <mergeCell ref="N3:X3"/>
    <mergeCell ref="Y3:Z3"/>
    <mergeCell ref="AA3"/>
    <mergeCell ref="A2:AA2"/>
    <mergeCell ref="A3:F3"/>
    <mergeCell ref="A1:AA1"/>
  </mergeCells>
  <conditionalFormatting sqref="G6:Z39">
    <cfRule type="cellIs" priority="1" operator="equal" dxfId="2">
      <formula>"S"</formula>
    </cfRule>
    <cfRule type="cellIs" priority="2" operator="equal" dxfId="3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dataValidations count="2">
    <dataValidation sqref="G6:M85" showDropDown="0" showInputMessage="0" showErrorMessage="0" allowBlank="1" type="list">
      <formula1>"S,A,B,C,D"</formula1>
    </dataValidation>
    <dataValidation sqref="N6:Z8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/>
  </sheetPr>
  <dimension ref="A1:AC43"/>
  <sheetViews>
    <sheetView workbookViewId="0">
      <pane xSplit="6" ySplit="5" topLeftCell="G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0" customWidth="1" min="4" max="4"/>
    <col width="12" customWidth="1" min="5" max="5"/>
    <col width="8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9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10" customWidth="1" min="24" max="24"/>
    <col width="9" customWidth="1" min="25" max="25"/>
    <col width="9" customWidth="1" min="26" max="26"/>
    <col width="25" customWidth="1" min="27" max="27"/>
  </cols>
  <sheetData>
    <row r="1" ht="28" customHeight="1">
      <c r="A1" s="1" t="inlineStr">
        <is>
          <t>하반기 (H2) 평가 결과 입력 (07b_하반기입력)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8" t="n"/>
      <c r="AA1" s="19" t="n"/>
    </row>
    <row r="2">
      <c r="A2" s="2" t="inlineStr">
        <is>
          <t>부서별 평가지에서 회수한 등급을 노란셀에 입력. 자동으로 04~06 평가 시트 및 08 종합평가에 반영.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9" t="n"/>
    </row>
    <row r="3" ht="18" customHeight="1">
      <c r="A3" s="37" t="inlineStr">
        <is>
          <t>인적정보 (자동 참조)</t>
        </is>
      </c>
      <c r="B3" s="18" t="n"/>
      <c r="C3" s="18" t="n"/>
      <c r="D3" s="18" t="n"/>
      <c r="E3" s="18" t="n"/>
      <c r="F3" s="19" t="n"/>
      <c r="G3" s="38" t="inlineStr">
        <is>
          <t>① 역할평가 - 5개 BARS 세부 (평균 산출용)</t>
        </is>
      </c>
      <c r="H3" s="18" t="n"/>
      <c r="I3" s="18" t="n"/>
      <c r="J3" s="18" t="n"/>
      <c r="K3" s="19" t="n"/>
      <c r="L3" s="38" t="inlineStr">
        <is>
          <t>① 역할 평가자별 종합</t>
        </is>
      </c>
      <c r="M3" s="19" t="n"/>
      <c r="N3" s="39" t="inlineStr">
        <is>
          <t>② 공통역량 11개 (1·2차 평가자 평균값)</t>
        </is>
      </c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9" t="n"/>
      <c r="Y3" s="40" t="inlineStr">
        <is>
          <t>③ 직무역량 평가자별 종합</t>
        </is>
      </c>
      <c r="Z3" s="19" t="n"/>
      <c r="AA3" s="41" t="inlineStr">
        <is>
          <t>소견</t>
        </is>
      </c>
    </row>
    <row r="4" ht="30" customHeight="1">
      <c r="A4" s="89" t="inlineStr">
        <is>
          <t>★ 사용법: 부서별 평가지(하반기 (H2))에서 [복사용 입력 행]을 통째 복사한 뒤 → 해당 사번의 행에서 G열부터 [값 붙여넣기]. S/A/B/C/D 드롭다운 적용됨. 입력 즉시 04~12 시트가 자동 갱신. 진행률은 00_운영현황판에서 확인.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9" t="n"/>
    </row>
    <row r="5" ht="38" customHeight="1">
      <c r="A5" s="43" t="inlineStr">
        <is>
          <t>No.</t>
        </is>
      </c>
      <c r="B5" s="43" t="inlineStr">
        <is>
          <t>사번</t>
        </is>
      </c>
      <c r="C5" s="43" t="inlineStr">
        <is>
          <t>성명</t>
        </is>
      </c>
      <c r="D5" s="43" t="inlineStr">
        <is>
          <t>직군</t>
        </is>
      </c>
      <c r="E5" s="43" t="inlineStr">
        <is>
          <t>직무</t>
        </is>
      </c>
      <c r="F5" s="43" t="inlineStr">
        <is>
          <t>역할등급</t>
        </is>
      </c>
      <c r="G5" s="44" t="inlineStr">
        <is>
          <t>R-1 책임</t>
        </is>
      </c>
      <c r="H5" s="44" t="inlineStr">
        <is>
          <t>R-2 의사결정</t>
        </is>
      </c>
      <c r="I5" s="44" t="inlineStr">
        <is>
          <t>R-3 성과</t>
        </is>
      </c>
      <c r="J5" s="44" t="inlineStr">
        <is>
          <t>R-4 코칭</t>
        </is>
      </c>
      <c r="K5" s="44" t="inlineStr">
        <is>
          <t>R-5 산출물</t>
        </is>
      </c>
      <c r="L5" s="44" t="inlineStr">
        <is>
          <t>역할(1차)</t>
        </is>
      </c>
      <c r="M5" s="44" t="inlineStr">
        <is>
          <t>역할(2차)</t>
        </is>
      </c>
      <c r="N5" s="45" t="inlineStr">
        <is>
          <t>C-1 직무전문성</t>
        </is>
      </c>
      <c r="O5" s="45" t="inlineStr">
        <is>
          <t>C-2 분석력</t>
        </is>
      </c>
      <c r="P5" s="45" t="inlineStr">
        <is>
          <t>C-3 기획실행</t>
        </is>
      </c>
      <c r="Q5" s="45" t="inlineStr">
        <is>
          <t>C-4 자원시간</t>
        </is>
      </c>
      <c r="R5" s="45" t="inlineStr">
        <is>
          <t>C-5 협업</t>
        </is>
      </c>
      <c r="S5" s="45" t="inlineStr">
        <is>
          <t>C-6 소통</t>
        </is>
      </c>
      <c r="T5" s="45" t="inlineStr">
        <is>
          <t>C-7 윤리</t>
        </is>
      </c>
      <c r="U5" s="45" t="inlineStr">
        <is>
          <t>C-8 태도</t>
        </is>
      </c>
      <c r="V5" s="45" t="inlineStr">
        <is>
          <t>C-9 혁신</t>
        </is>
      </c>
      <c r="W5" s="45" t="inlineStr">
        <is>
          <t>C-10 프로세스</t>
        </is>
      </c>
      <c r="X5" s="45" t="inlineStr">
        <is>
          <t>C-11 지속가능</t>
        </is>
      </c>
      <c r="Y5" s="46" t="inlineStr">
        <is>
          <t>직무(1차)</t>
        </is>
      </c>
      <c r="Z5" s="46" t="inlineStr">
        <is>
          <t>직무(2차)</t>
        </is>
      </c>
      <c r="AA5" s="47" t="inlineStr">
        <is>
          <t>종합 소견</t>
        </is>
      </c>
    </row>
    <row r="6" ht="22" customHeight="1">
      <c r="A6" s="33">
        <f>'01_인적정보'!A6</f>
        <v/>
      </c>
      <c r="B6" s="33">
        <f>'01_인적정보'!B6</f>
        <v/>
      </c>
      <c r="C6" s="8">
        <f>'01_인적정보'!C6</f>
        <v/>
      </c>
      <c r="D6" s="8">
        <f>'01_인적정보'!D6</f>
        <v/>
      </c>
      <c r="E6" s="8">
        <f>'01_인적정보'!E6</f>
        <v/>
      </c>
      <c r="F6" s="16">
        <f>'01_인적정보'!H6</f>
        <v/>
      </c>
      <c r="G6" s="23" t="inlineStr"/>
      <c r="H6" s="23" t="inlineStr"/>
      <c r="I6" s="23" t="inlineStr"/>
      <c r="J6" s="23" t="inlineStr"/>
      <c r="K6" s="23" t="inlineStr"/>
      <c r="L6" s="24" t="inlineStr"/>
      <c r="M6" s="24" t="inlineStr"/>
      <c r="N6" s="23" t="inlineStr"/>
      <c r="O6" s="23" t="inlineStr"/>
      <c r="P6" s="23" t="inlineStr"/>
      <c r="Q6" s="23" t="inlineStr"/>
      <c r="R6" s="23" t="inlineStr"/>
      <c r="S6" s="23" t="inlineStr"/>
      <c r="T6" s="23" t="inlineStr"/>
      <c r="U6" s="23" t="inlineStr"/>
      <c r="V6" s="23" t="inlineStr"/>
      <c r="W6" s="23" t="inlineStr"/>
      <c r="X6" s="23" t="inlineStr"/>
      <c r="Y6" s="24" t="inlineStr"/>
      <c r="Z6" s="24" t="inlineStr"/>
      <c r="AA6" s="4" t="inlineStr"/>
    </row>
    <row r="7" ht="22" customHeight="1">
      <c r="A7" s="33">
        <f>'01_인적정보'!A7</f>
        <v/>
      </c>
      <c r="B7" s="33">
        <f>'01_인적정보'!B7</f>
        <v/>
      </c>
      <c r="C7" s="8">
        <f>'01_인적정보'!C7</f>
        <v/>
      </c>
      <c r="D7" s="8">
        <f>'01_인적정보'!D7</f>
        <v/>
      </c>
      <c r="E7" s="8">
        <f>'01_인적정보'!E7</f>
        <v/>
      </c>
      <c r="F7" s="16">
        <f>'01_인적정보'!H7</f>
        <v/>
      </c>
      <c r="G7" s="23" t="inlineStr"/>
      <c r="H7" s="23" t="inlineStr"/>
      <c r="I7" s="23" t="inlineStr"/>
      <c r="J7" s="23" t="inlineStr"/>
      <c r="K7" s="23" t="inlineStr"/>
      <c r="L7" s="24" t="inlineStr"/>
      <c r="M7" s="24" t="inlineStr"/>
      <c r="N7" s="23" t="inlineStr"/>
      <c r="O7" s="23" t="inlineStr"/>
      <c r="P7" s="23" t="inlineStr"/>
      <c r="Q7" s="23" t="inlineStr"/>
      <c r="R7" s="23" t="inlineStr"/>
      <c r="S7" s="23" t="inlineStr"/>
      <c r="T7" s="23" t="inlineStr"/>
      <c r="U7" s="23" t="inlineStr"/>
      <c r="V7" s="23" t="inlineStr"/>
      <c r="W7" s="23" t="inlineStr"/>
      <c r="X7" s="23" t="inlineStr"/>
      <c r="Y7" s="24" t="inlineStr"/>
      <c r="Z7" s="24" t="inlineStr"/>
      <c r="AA7" s="4" t="inlineStr"/>
    </row>
    <row r="8" ht="22" customHeight="1">
      <c r="A8" s="33">
        <f>'01_인적정보'!A8</f>
        <v/>
      </c>
      <c r="B8" s="33">
        <f>'01_인적정보'!B8</f>
        <v/>
      </c>
      <c r="C8" s="8">
        <f>'01_인적정보'!C8</f>
        <v/>
      </c>
      <c r="D8" s="8">
        <f>'01_인적정보'!D8</f>
        <v/>
      </c>
      <c r="E8" s="8">
        <f>'01_인적정보'!E8</f>
        <v/>
      </c>
      <c r="F8" s="16">
        <f>'01_인적정보'!H8</f>
        <v/>
      </c>
      <c r="G8" s="23" t="inlineStr"/>
      <c r="H8" s="23" t="inlineStr"/>
      <c r="I8" s="23" t="inlineStr"/>
      <c r="J8" s="23" t="inlineStr"/>
      <c r="K8" s="23" t="inlineStr"/>
      <c r="L8" s="24" t="inlineStr"/>
      <c r="M8" s="24" t="inlineStr"/>
      <c r="N8" s="23" t="inlineStr"/>
      <c r="O8" s="23" t="inlineStr"/>
      <c r="P8" s="23" t="inlineStr"/>
      <c r="Q8" s="23" t="inlineStr"/>
      <c r="R8" s="23" t="inlineStr"/>
      <c r="S8" s="23" t="inlineStr"/>
      <c r="T8" s="23" t="inlineStr"/>
      <c r="U8" s="23" t="inlineStr"/>
      <c r="V8" s="23" t="inlineStr"/>
      <c r="W8" s="23" t="inlineStr"/>
      <c r="X8" s="23" t="inlineStr"/>
      <c r="Y8" s="24" t="inlineStr"/>
      <c r="Z8" s="24" t="inlineStr"/>
      <c r="AA8" s="4" t="inlineStr"/>
    </row>
    <row r="9" ht="22" customHeight="1">
      <c r="A9" s="33">
        <f>'01_인적정보'!A9</f>
        <v/>
      </c>
      <c r="B9" s="33">
        <f>'01_인적정보'!B9</f>
        <v/>
      </c>
      <c r="C9" s="8">
        <f>'01_인적정보'!C9</f>
        <v/>
      </c>
      <c r="D9" s="8">
        <f>'01_인적정보'!D9</f>
        <v/>
      </c>
      <c r="E9" s="8">
        <f>'01_인적정보'!E9</f>
        <v/>
      </c>
      <c r="F9" s="16">
        <f>'01_인적정보'!H9</f>
        <v/>
      </c>
      <c r="G9" s="23" t="inlineStr"/>
      <c r="H9" s="23" t="inlineStr"/>
      <c r="I9" s="23" t="inlineStr"/>
      <c r="J9" s="23" t="inlineStr"/>
      <c r="K9" s="23" t="inlineStr"/>
      <c r="L9" s="24" t="inlineStr"/>
      <c r="M9" s="24" t="inlineStr"/>
      <c r="N9" s="23" t="inlineStr"/>
      <c r="O9" s="23" t="inlineStr"/>
      <c r="P9" s="23" t="inlineStr"/>
      <c r="Q9" s="23" t="inlineStr"/>
      <c r="R9" s="23" t="inlineStr"/>
      <c r="S9" s="23" t="inlineStr"/>
      <c r="T9" s="23" t="inlineStr"/>
      <c r="U9" s="23" t="inlineStr"/>
      <c r="V9" s="23" t="inlineStr"/>
      <c r="W9" s="23" t="inlineStr"/>
      <c r="X9" s="23" t="inlineStr"/>
      <c r="Y9" s="24" t="inlineStr"/>
      <c r="Z9" s="24" t="inlineStr"/>
      <c r="AA9" s="4" t="inlineStr"/>
    </row>
    <row r="10" ht="22" customHeight="1">
      <c r="A10" s="33">
        <f>'01_인적정보'!A10</f>
        <v/>
      </c>
      <c r="B10" s="33">
        <f>'01_인적정보'!B10</f>
        <v/>
      </c>
      <c r="C10" s="8">
        <f>'01_인적정보'!C10</f>
        <v/>
      </c>
      <c r="D10" s="8">
        <f>'01_인적정보'!D10</f>
        <v/>
      </c>
      <c r="E10" s="8">
        <f>'01_인적정보'!E10</f>
        <v/>
      </c>
      <c r="F10" s="16">
        <f>'01_인적정보'!H10</f>
        <v/>
      </c>
      <c r="G10" s="23" t="inlineStr"/>
      <c r="H10" s="23" t="inlineStr"/>
      <c r="I10" s="23" t="inlineStr"/>
      <c r="J10" s="23" t="inlineStr"/>
      <c r="K10" s="23" t="inlineStr"/>
      <c r="L10" s="24" t="inlineStr"/>
      <c r="M10" s="24" t="inlineStr"/>
      <c r="N10" s="23" t="inlineStr"/>
      <c r="O10" s="23" t="inlineStr"/>
      <c r="P10" s="23" t="inlineStr"/>
      <c r="Q10" s="23" t="inlineStr"/>
      <c r="R10" s="23" t="inlineStr"/>
      <c r="S10" s="23" t="inlineStr"/>
      <c r="T10" s="23" t="inlineStr"/>
      <c r="U10" s="23" t="inlineStr"/>
      <c r="V10" s="23" t="inlineStr"/>
      <c r="W10" s="23" t="inlineStr"/>
      <c r="X10" s="23" t="inlineStr"/>
      <c r="Y10" s="24" t="inlineStr"/>
      <c r="Z10" s="24" t="inlineStr"/>
      <c r="AA10" s="4" t="inlineStr"/>
    </row>
    <row r="11" ht="22" customHeight="1">
      <c r="A11" s="33">
        <f>'01_인적정보'!A11</f>
        <v/>
      </c>
      <c r="B11" s="33">
        <f>'01_인적정보'!B11</f>
        <v/>
      </c>
      <c r="C11" s="8">
        <f>'01_인적정보'!C11</f>
        <v/>
      </c>
      <c r="D11" s="8">
        <f>'01_인적정보'!D11</f>
        <v/>
      </c>
      <c r="E11" s="8">
        <f>'01_인적정보'!E11</f>
        <v/>
      </c>
      <c r="F11" s="16">
        <f>'01_인적정보'!H11</f>
        <v/>
      </c>
      <c r="G11" s="23" t="inlineStr"/>
      <c r="H11" s="23" t="inlineStr"/>
      <c r="I11" s="23" t="inlineStr"/>
      <c r="J11" s="23" t="inlineStr"/>
      <c r="K11" s="23" t="inlineStr"/>
      <c r="L11" s="24" t="inlineStr"/>
      <c r="M11" s="24" t="inlineStr"/>
      <c r="N11" s="23" t="inlineStr"/>
      <c r="O11" s="23" t="inlineStr"/>
      <c r="P11" s="23" t="inlineStr"/>
      <c r="Q11" s="23" t="inlineStr"/>
      <c r="R11" s="23" t="inlineStr"/>
      <c r="S11" s="23" t="inlineStr"/>
      <c r="T11" s="23" t="inlineStr"/>
      <c r="U11" s="23" t="inlineStr"/>
      <c r="V11" s="23" t="inlineStr"/>
      <c r="W11" s="23" t="inlineStr"/>
      <c r="X11" s="23" t="inlineStr"/>
      <c r="Y11" s="24" t="inlineStr"/>
      <c r="Z11" s="24" t="inlineStr"/>
      <c r="AA11" s="4" t="inlineStr"/>
    </row>
    <row r="12" ht="22" customHeight="1">
      <c r="A12" s="33">
        <f>'01_인적정보'!A12</f>
        <v/>
      </c>
      <c r="B12" s="33">
        <f>'01_인적정보'!B12</f>
        <v/>
      </c>
      <c r="C12" s="8">
        <f>'01_인적정보'!C12</f>
        <v/>
      </c>
      <c r="D12" s="8">
        <f>'01_인적정보'!D12</f>
        <v/>
      </c>
      <c r="E12" s="8">
        <f>'01_인적정보'!E12</f>
        <v/>
      </c>
      <c r="F12" s="16">
        <f>'01_인적정보'!H12</f>
        <v/>
      </c>
      <c r="G12" s="23" t="inlineStr"/>
      <c r="H12" s="23" t="inlineStr"/>
      <c r="I12" s="23" t="inlineStr"/>
      <c r="J12" s="23" t="inlineStr"/>
      <c r="K12" s="23" t="inlineStr"/>
      <c r="L12" s="24" t="inlineStr"/>
      <c r="M12" s="24" t="inlineStr"/>
      <c r="N12" s="23" t="inlineStr"/>
      <c r="O12" s="23" t="inlineStr"/>
      <c r="P12" s="23" t="inlineStr"/>
      <c r="Q12" s="23" t="inlineStr"/>
      <c r="R12" s="23" t="inlineStr"/>
      <c r="S12" s="23" t="inlineStr"/>
      <c r="T12" s="23" t="inlineStr"/>
      <c r="U12" s="23" t="inlineStr"/>
      <c r="V12" s="23" t="inlineStr"/>
      <c r="W12" s="23" t="inlineStr"/>
      <c r="X12" s="23" t="inlineStr"/>
      <c r="Y12" s="24" t="inlineStr"/>
      <c r="Z12" s="24" t="inlineStr"/>
      <c r="AA12" s="4" t="inlineStr"/>
    </row>
    <row r="13" ht="22" customHeight="1">
      <c r="A13" s="33">
        <f>'01_인적정보'!A13</f>
        <v/>
      </c>
      <c r="B13" s="33">
        <f>'01_인적정보'!B13</f>
        <v/>
      </c>
      <c r="C13" s="8">
        <f>'01_인적정보'!C13</f>
        <v/>
      </c>
      <c r="D13" s="8">
        <f>'01_인적정보'!D13</f>
        <v/>
      </c>
      <c r="E13" s="8">
        <f>'01_인적정보'!E13</f>
        <v/>
      </c>
      <c r="F13" s="16">
        <f>'01_인적정보'!H13</f>
        <v/>
      </c>
      <c r="G13" s="23" t="inlineStr"/>
      <c r="H13" s="23" t="inlineStr"/>
      <c r="I13" s="23" t="inlineStr"/>
      <c r="J13" s="23" t="inlineStr"/>
      <c r="K13" s="23" t="inlineStr"/>
      <c r="L13" s="24" t="inlineStr"/>
      <c r="M13" s="24" t="inlineStr"/>
      <c r="N13" s="23" t="inlineStr"/>
      <c r="O13" s="23" t="inlineStr"/>
      <c r="P13" s="23" t="inlineStr"/>
      <c r="Q13" s="23" t="inlineStr"/>
      <c r="R13" s="23" t="inlineStr"/>
      <c r="S13" s="23" t="inlineStr"/>
      <c r="T13" s="23" t="inlineStr"/>
      <c r="U13" s="23" t="inlineStr"/>
      <c r="V13" s="23" t="inlineStr"/>
      <c r="W13" s="23" t="inlineStr"/>
      <c r="X13" s="23" t="inlineStr"/>
      <c r="Y13" s="24" t="inlineStr"/>
      <c r="Z13" s="24" t="inlineStr"/>
      <c r="AA13" s="4" t="inlineStr"/>
    </row>
    <row r="14" ht="22" customHeight="1">
      <c r="A14" s="33">
        <f>'01_인적정보'!A14</f>
        <v/>
      </c>
      <c r="B14" s="33">
        <f>'01_인적정보'!B14</f>
        <v/>
      </c>
      <c r="C14" s="8">
        <f>'01_인적정보'!C14</f>
        <v/>
      </c>
      <c r="D14" s="8">
        <f>'01_인적정보'!D14</f>
        <v/>
      </c>
      <c r="E14" s="8">
        <f>'01_인적정보'!E14</f>
        <v/>
      </c>
      <c r="F14" s="16">
        <f>'01_인적정보'!H14</f>
        <v/>
      </c>
      <c r="G14" s="23" t="inlineStr"/>
      <c r="H14" s="23" t="inlineStr"/>
      <c r="I14" s="23" t="inlineStr"/>
      <c r="J14" s="23" t="inlineStr"/>
      <c r="K14" s="23" t="inlineStr"/>
      <c r="L14" s="24" t="inlineStr"/>
      <c r="M14" s="24" t="inlineStr"/>
      <c r="N14" s="23" t="inlineStr"/>
      <c r="O14" s="23" t="inlineStr"/>
      <c r="P14" s="23" t="inlineStr"/>
      <c r="Q14" s="23" t="inlineStr"/>
      <c r="R14" s="23" t="inlineStr"/>
      <c r="S14" s="23" t="inlineStr"/>
      <c r="T14" s="23" t="inlineStr"/>
      <c r="U14" s="23" t="inlineStr"/>
      <c r="V14" s="23" t="inlineStr"/>
      <c r="W14" s="23" t="inlineStr"/>
      <c r="X14" s="23" t="inlineStr"/>
      <c r="Y14" s="24" t="inlineStr"/>
      <c r="Z14" s="24" t="inlineStr"/>
      <c r="AA14" s="4" t="inlineStr"/>
    </row>
    <row r="15" ht="22" customHeight="1">
      <c r="A15" s="33">
        <f>'01_인적정보'!A15</f>
        <v/>
      </c>
      <c r="B15" s="33">
        <f>'01_인적정보'!B15</f>
        <v/>
      </c>
      <c r="C15" s="8">
        <f>'01_인적정보'!C15</f>
        <v/>
      </c>
      <c r="D15" s="8">
        <f>'01_인적정보'!D15</f>
        <v/>
      </c>
      <c r="E15" s="8">
        <f>'01_인적정보'!E15</f>
        <v/>
      </c>
      <c r="F15" s="16">
        <f>'01_인적정보'!H15</f>
        <v/>
      </c>
      <c r="G15" s="23" t="inlineStr"/>
      <c r="H15" s="23" t="inlineStr"/>
      <c r="I15" s="23" t="inlineStr"/>
      <c r="J15" s="23" t="inlineStr"/>
      <c r="K15" s="23" t="inlineStr"/>
      <c r="L15" s="24" t="inlineStr"/>
      <c r="M15" s="24" t="inlineStr"/>
      <c r="N15" s="23" t="inlineStr"/>
      <c r="O15" s="23" t="inlineStr"/>
      <c r="P15" s="23" t="inlineStr"/>
      <c r="Q15" s="23" t="inlineStr"/>
      <c r="R15" s="23" t="inlineStr"/>
      <c r="S15" s="23" t="inlineStr"/>
      <c r="T15" s="23" t="inlineStr"/>
      <c r="U15" s="23" t="inlineStr"/>
      <c r="V15" s="23" t="inlineStr"/>
      <c r="W15" s="23" t="inlineStr"/>
      <c r="X15" s="23" t="inlineStr"/>
      <c r="Y15" s="24" t="inlineStr"/>
      <c r="Z15" s="24" t="inlineStr"/>
      <c r="AA15" s="4" t="inlineStr"/>
    </row>
    <row r="16" ht="22" customHeight="1">
      <c r="A16" s="33">
        <f>'01_인적정보'!A16</f>
        <v/>
      </c>
      <c r="B16" s="33">
        <f>'01_인적정보'!B16</f>
        <v/>
      </c>
      <c r="C16" s="8">
        <f>'01_인적정보'!C16</f>
        <v/>
      </c>
      <c r="D16" s="8">
        <f>'01_인적정보'!D16</f>
        <v/>
      </c>
      <c r="E16" s="8">
        <f>'01_인적정보'!E16</f>
        <v/>
      </c>
      <c r="F16" s="16">
        <f>'01_인적정보'!H16</f>
        <v/>
      </c>
      <c r="G16" s="23" t="inlineStr"/>
      <c r="H16" s="23" t="inlineStr"/>
      <c r="I16" s="23" t="inlineStr"/>
      <c r="J16" s="23" t="inlineStr"/>
      <c r="K16" s="23" t="inlineStr"/>
      <c r="L16" s="24" t="inlineStr"/>
      <c r="M16" s="24" t="inlineStr"/>
      <c r="N16" s="23" t="inlineStr"/>
      <c r="O16" s="23" t="inlineStr"/>
      <c r="P16" s="23" t="inlineStr"/>
      <c r="Q16" s="23" t="inlineStr"/>
      <c r="R16" s="23" t="inlineStr"/>
      <c r="S16" s="23" t="inlineStr"/>
      <c r="T16" s="23" t="inlineStr"/>
      <c r="U16" s="23" t="inlineStr"/>
      <c r="V16" s="23" t="inlineStr"/>
      <c r="W16" s="23" t="inlineStr"/>
      <c r="X16" s="23" t="inlineStr"/>
      <c r="Y16" s="24" t="inlineStr"/>
      <c r="Z16" s="24" t="inlineStr"/>
      <c r="AA16" s="4" t="inlineStr"/>
    </row>
    <row r="17" ht="22" customHeight="1">
      <c r="A17" s="33">
        <f>'01_인적정보'!A17</f>
        <v/>
      </c>
      <c r="B17" s="33">
        <f>'01_인적정보'!B17</f>
        <v/>
      </c>
      <c r="C17" s="8">
        <f>'01_인적정보'!C17</f>
        <v/>
      </c>
      <c r="D17" s="8">
        <f>'01_인적정보'!D17</f>
        <v/>
      </c>
      <c r="E17" s="8">
        <f>'01_인적정보'!E17</f>
        <v/>
      </c>
      <c r="F17" s="16">
        <f>'01_인적정보'!H17</f>
        <v/>
      </c>
      <c r="G17" s="23" t="n"/>
      <c r="H17" s="23" t="n"/>
      <c r="I17" s="23" t="n"/>
      <c r="J17" s="23" t="n"/>
      <c r="K17" s="23" t="n"/>
      <c r="L17" s="24" t="n"/>
      <c r="M17" s="24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4" t="n"/>
      <c r="Z17" s="24" t="n"/>
      <c r="AA17" s="4" t="n"/>
    </row>
    <row r="18" ht="22" customHeight="1">
      <c r="A18" s="33">
        <f>'01_인적정보'!A18</f>
        <v/>
      </c>
      <c r="B18" s="33">
        <f>'01_인적정보'!B18</f>
        <v/>
      </c>
      <c r="C18" s="8">
        <f>'01_인적정보'!C18</f>
        <v/>
      </c>
      <c r="D18" s="8">
        <f>'01_인적정보'!D18</f>
        <v/>
      </c>
      <c r="E18" s="8">
        <f>'01_인적정보'!E18</f>
        <v/>
      </c>
      <c r="F18" s="16">
        <f>'01_인적정보'!H18</f>
        <v/>
      </c>
      <c r="G18" s="23" t="inlineStr"/>
      <c r="H18" s="23" t="inlineStr"/>
      <c r="I18" s="23" t="inlineStr"/>
      <c r="J18" s="23" t="inlineStr"/>
      <c r="K18" s="23" t="inlineStr"/>
      <c r="L18" s="24" t="inlineStr"/>
      <c r="M18" s="24" t="inlineStr"/>
      <c r="N18" s="23" t="inlineStr"/>
      <c r="O18" s="23" t="inlineStr"/>
      <c r="P18" s="23" t="inlineStr"/>
      <c r="Q18" s="23" t="inlineStr"/>
      <c r="R18" s="23" t="inlineStr"/>
      <c r="S18" s="23" t="inlineStr"/>
      <c r="T18" s="23" t="inlineStr"/>
      <c r="U18" s="23" t="inlineStr"/>
      <c r="V18" s="23" t="inlineStr"/>
      <c r="W18" s="23" t="inlineStr"/>
      <c r="X18" s="23" t="inlineStr"/>
      <c r="Y18" s="24" t="inlineStr"/>
      <c r="Z18" s="24" t="inlineStr"/>
      <c r="AA18" s="4" t="inlineStr"/>
    </row>
    <row r="19" ht="22" customHeight="1">
      <c r="A19" s="33">
        <f>'01_인적정보'!A19</f>
        <v/>
      </c>
      <c r="B19" s="33">
        <f>'01_인적정보'!B19</f>
        <v/>
      </c>
      <c r="C19" s="8">
        <f>'01_인적정보'!C19</f>
        <v/>
      </c>
      <c r="D19" s="8">
        <f>'01_인적정보'!D19</f>
        <v/>
      </c>
      <c r="E19" s="8">
        <f>'01_인적정보'!E19</f>
        <v/>
      </c>
      <c r="F19" s="16">
        <f>'01_인적정보'!H19</f>
        <v/>
      </c>
      <c r="G19" s="23" t="inlineStr"/>
      <c r="H19" s="23" t="inlineStr"/>
      <c r="I19" s="23" t="inlineStr"/>
      <c r="J19" s="23" t="inlineStr"/>
      <c r="K19" s="23" t="inlineStr"/>
      <c r="L19" s="24" t="inlineStr"/>
      <c r="M19" s="24" t="inlineStr"/>
      <c r="N19" s="23" t="inlineStr"/>
      <c r="O19" s="23" t="inlineStr"/>
      <c r="P19" s="23" t="inlineStr"/>
      <c r="Q19" s="23" t="inlineStr"/>
      <c r="R19" s="23" t="inlineStr"/>
      <c r="S19" s="23" t="inlineStr"/>
      <c r="T19" s="23" t="inlineStr"/>
      <c r="U19" s="23" t="inlineStr"/>
      <c r="V19" s="23" t="inlineStr"/>
      <c r="W19" s="23" t="inlineStr"/>
      <c r="X19" s="23" t="inlineStr"/>
      <c r="Y19" s="24" t="inlineStr"/>
      <c r="Z19" s="24" t="inlineStr"/>
      <c r="AA19" s="4" t="inlineStr"/>
    </row>
    <row r="20" ht="22" customHeight="1">
      <c r="A20" s="33">
        <f>'01_인적정보'!A20</f>
        <v/>
      </c>
      <c r="B20" s="33">
        <f>'01_인적정보'!B20</f>
        <v/>
      </c>
      <c r="C20" s="8">
        <f>'01_인적정보'!C20</f>
        <v/>
      </c>
      <c r="D20" s="8">
        <f>'01_인적정보'!D20</f>
        <v/>
      </c>
      <c r="E20" s="8">
        <f>'01_인적정보'!E20</f>
        <v/>
      </c>
      <c r="F20" s="16">
        <f>'01_인적정보'!H20</f>
        <v/>
      </c>
      <c r="G20" s="23" t="inlineStr"/>
      <c r="H20" s="23" t="inlineStr"/>
      <c r="I20" s="23" t="inlineStr"/>
      <c r="J20" s="23" t="inlineStr"/>
      <c r="K20" s="23" t="inlineStr"/>
      <c r="L20" s="24" t="inlineStr"/>
      <c r="M20" s="24" t="inlineStr"/>
      <c r="N20" s="23" t="inlineStr"/>
      <c r="O20" s="23" t="inlineStr"/>
      <c r="P20" s="23" t="inlineStr"/>
      <c r="Q20" s="23" t="inlineStr"/>
      <c r="R20" s="23" t="inlineStr"/>
      <c r="S20" s="23" t="inlineStr"/>
      <c r="T20" s="23" t="inlineStr"/>
      <c r="U20" s="23" t="inlineStr"/>
      <c r="V20" s="23" t="inlineStr"/>
      <c r="W20" s="23" t="inlineStr"/>
      <c r="X20" s="23" t="inlineStr"/>
      <c r="Y20" s="24" t="inlineStr"/>
      <c r="Z20" s="24" t="inlineStr"/>
      <c r="AA20" s="4" t="inlineStr"/>
    </row>
    <row r="21" ht="22" customHeight="1">
      <c r="A21" s="33">
        <f>'01_인적정보'!A21</f>
        <v/>
      </c>
      <c r="B21" s="33">
        <f>'01_인적정보'!B21</f>
        <v/>
      </c>
      <c r="C21" s="8">
        <f>'01_인적정보'!C21</f>
        <v/>
      </c>
      <c r="D21" s="8">
        <f>'01_인적정보'!D21</f>
        <v/>
      </c>
      <c r="E21" s="8">
        <f>'01_인적정보'!E21</f>
        <v/>
      </c>
      <c r="F21" s="16">
        <f>'01_인적정보'!H21</f>
        <v/>
      </c>
      <c r="G21" s="23" t="inlineStr"/>
      <c r="H21" s="23" t="inlineStr"/>
      <c r="I21" s="23" t="inlineStr"/>
      <c r="J21" s="23" t="inlineStr"/>
      <c r="K21" s="23" t="inlineStr"/>
      <c r="L21" s="24" t="inlineStr"/>
      <c r="M21" s="24" t="inlineStr"/>
      <c r="N21" s="23" t="inlineStr"/>
      <c r="O21" s="23" t="inlineStr"/>
      <c r="P21" s="23" t="inlineStr"/>
      <c r="Q21" s="23" t="inlineStr"/>
      <c r="R21" s="23" t="inlineStr"/>
      <c r="S21" s="23" t="inlineStr"/>
      <c r="T21" s="23" t="inlineStr"/>
      <c r="U21" s="23" t="inlineStr"/>
      <c r="V21" s="23" t="inlineStr"/>
      <c r="W21" s="23" t="inlineStr"/>
      <c r="X21" s="23" t="inlineStr"/>
      <c r="Y21" s="24" t="inlineStr"/>
      <c r="Z21" s="24" t="inlineStr"/>
      <c r="AA21" s="4" t="inlineStr"/>
    </row>
    <row r="22" ht="22" customHeight="1">
      <c r="A22" s="33">
        <f>'01_인적정보'!A22</f>
        <v/>
      </c>
      <c r="B22" s="33">
        <f>'01_인적정보'!B22</f>
        <v/>
      </c>
      <c r="C22" s="8">
        <f>'01_인적정보'!C22</f>
        <v/>
      </c>
      <c r="D22" s="8">
        <f>'01_인적정보'!D22</f>
        <v/>
      </c>
      <c r="E22" s="8">
        <f>'01_인적정보'!E22</f>
        <v/>
      </c>
      <c r="F22" s="16">
        <f>'01_인적정보'!H22</f>
        <v/>
      </c>
      <c r="G22" s="23" t="inlineStr"/>
      <c r="H22" s="23" t="inlineStr"/>
      <c r="I22" s="23" t="inlineStr"/>
      <c r="J22" s="23" t="inlineStr"/>
      <c r="K22" s="23" t="inlineStr"/>
      <c r="L22" s="24" t="inlineStr"/>
      <c r="M22" s="24" t="inlineStr"/>
      <c r="N22" s="23" t="inlineStr"/>
      <c r="O22" s="23" t="inlineStr"/>
      <c r="P22" s="23" t="inlineStr"/>
      <c r="Q22" s="23" t="inlineStr"/>
      <c r="R22" s="23" t="inlineStr"/>
      <c r="S22" s="23" t="inlineStr"/>
      <c r="T22" s="23" t="inlineStr"/>
      <c r="U22" s="23" t="inlineStr"/>
      <c r="V22" s="23" t="inlineStr"/>
      <c r="W22" s="23" t="inlineStr"/>
      <c r="X22" s="23" t="inlineStr"/>
      <c r="Y22" s="24" t="inlineStr"/>
      <c r="Z22" s="24" t="inlineStr"/>
      <c r="AA22" s="4" t="inlineStr"/>
    </row>
    <row r="23" ht="22" customHeight="1">
      <c r="A23" s="33">
        <f>'01_인적정보'!A23</f>
        <v/>
      </c>
      <c r="B23" s="33">
        <f>'01_인적정보'!B23</f>
        <v/>
      </c>
      <c r="C23" s="8">
        <f>'01_인적정보'!C23</f>
        <v/>
      </c>
      <c r="D23" s="8">
        <f>'01_인적정보'!D23</f>
        <v/>
      </c>
      <c r="E23" s="8">
        <f>'01_인적정보'!E23</f>
        <v/>
      </c>
      <c r="F23" s="16">
        <f>'01_인적정보'!H23</f>
        <v/>
      </c>
      <c r="G23" s="23" t="inlineStr"/>
      <c r="H23" s="23" t="inlineStr"/>
      <c r="I23" s="23" t="inlineStr"/>
      <c r="J23" s="23" t="inlineStr"/>
      <c r="K23" s="23" t="inlineStr"/>
      <c r="L23" s="24" t="inlineStr"/>
      <c r="M23" s="24" t="inlineStr"/>
      <c r="N23" s="23" t="inlineStr"/>
      <c r="O23" s="23" t="inlineStr"/>
      <c r="P23" s="23" t="inlineStr"/>
      <c r="Q23" s="23" t="inlineStr"/>
      <c r="R23" s="23" t="inlineStr"/>
      <c r="S23" s="23" t="inlineStr"/>
      <c r="T23" s="23" t="inlineStr"/>
      <c r="U23" s="23" t="inlineStr"/>
      <c r="V23" s="23" t="inlineStr"/>
      <c r="W23" s="23" t="inlineStr"/>
      <c r="X23" s="23" t="inlineStr"/>
      <c r="Y23" s="24" t="inlineStr"/>
      <c r="Z23" s="24" t="inlineStr"/>
      <c r="AA23" s="4" t="inlineStr"/>
    </row>
    <row r="24" ht="22" customHeight="1">
      <c r="A24" s="33">
        <f>'01_인적정보'!A24</f>
        <v/>
      </c>
      <c r="B24" s="33">
        <f>'01_인적정보'!B24</f>
        <v/>
      </c>
      <c r="C24" s="8">
        <f>'01_인적정보'!C24</f>
        <v/>
      </c>
      <c r="D24" s="8">
        <f>'01_인적정보'!D24</f>
        <v/>
      </c>
      <c r="E24" s="8">
        <f>'01_인적정보'!E24</f>
        <v/>
      </c>
      <c r="F24" s="16">
        <f>'01_인적정보'!H24</f>
        <v/>
      </c>
      <c r="G24" s="23" t="inlineStr"/>
      <c r="H24" s="23" t="inlineStr"/>
      <c r="I24" s="23" t="inlineStr"/>
      <c r="J24" s="23" t="inlineStr"/>
      <c r="K24" s="23" t="inlineStr"/>
      <c r="L24" s="24" t="inlineStr"/>
      <c r="M24" s="24" t="inlineStr"/>
      <c r="N24" s="23" t="inlineStr"/>
      <c r="O24" s="23" t="inlineStr"/>
      <c r="P24" s="23" t="inlineStr"/>
      <c r="Q24" s="23" t="inlineStr"/>
      <c r="R24" s="23" t="inlineStr"/>
      <c r="S24" s="23" t="inlineStr"/>
      <c r="T24" s="23" t="inlineStr"/>
      <c r="U24" s="23" t="inlineStr"/>
      <c r="V24" s="23" t="inlineStr"/>
      <c r="W24" s="23" t="inlineStr"/>
      <c r="X24" s="23" t="inlineStr"/>
      <c r="Y24" s="24" t="inlineStr"/>
      <c r="Z24" s="24" t="inlineStr"/>
      <c r="AA24" s="4" t="inlineStr"/>
    </row>
    <row r="25" ht="22" customHeight="1">
      <c r="A25" s="33">
        <f>'01_인적정보'!A25</f>
        <v/>
      </c>
      <c r="B25" s="33">
        <f>'01_인적정보'!B25</f>
        <v/>
      </c>
      <c r="C25" s="8">
        <f>'01_인적정보'!C25</f>
        <v/>
      </c>
      <c r="D25" s="8">
        <f>'01_인적정보'!D25</f>
        <v/>
      </c>
      <c r="E25" s="8">
        <f>'01_인적정보'!E25</f>
        <v/>
      </c>
      <c r="F25" s="16">
        <f>'01_인적정보'!H25</f>
        <v/>
      </c>
      <c r="G25" s="23" t="inlineStr"/>
      <c r="H25" s="23" t="inlineStr"/>
      <c r="I25" s="23" t="inlineStr"/>
      <c r="J25" s="23" t="inlineStr"/>
      <c r="K25" s="23" t="inlineStr"/>
      <c r="L25" s="24" t="inlineStr"/>
      <c r="M25" s="24" t="inlineStr"/>
      <c r="N25" s="23" t="inlineStr"/>
      <c r="O25" s="23" t="inlineStr"/>
      <c r="P25" s="23" t="inlineStr"/>
      <c r="Q25" s="23" t="inlineStr"/>
      <c r="R25" s="23" t="inlineStr"/>
      <c r="S25" s="23" t="inlineStr"/>
      <c r="T25" s="23" t="inlineStr"/>
      <c r="U25" s="23" t="inlineStr"/>
      <c r="V25" s="23" t="inlineStr"/>
      <c r="W25" s="23" t="inlineStr"/>
      <c r="X25" s="23" t="inlineStr"/>
      <c r="Y25" s="24" t="inlineStr"/>
      <c r="Z25" s="24" t="inlineStr"/>
      <c r="AA25" s="4" t="inlineStr"/>
    </row>
    <row r="26" ht="22" customHeight="1">
      <c r="A26" s="33">
        <f>'01_인적정보'!A26</f>
        <v/>
      </c>
      <c r="B26" s="33">
        <f>'01_인적정보'!B26</f>
        <v/>
      </c>
      <c r="C26" s="8">
        <f>'01_인적정보'!C26</f>
        <v/>
      </c>
      <c r="D26" s="8">
        <f>'01_인적정보'!D26</f>
        <v/>
      </c>
      <c r="E26" s="8">
        <f>'01_인적정보'!E26</f>
        <v/>
      </c>
      <c r="F26" s="16">
        <f>'01_인적정보'!H26</f>
        <v/>
      </c>
      <c r="G26" s="23" t="inlineStr"/>
      <c r="H26" s="23" t="inlineStr"/>
      <c r="I26" s="23" t="inlineStr"/>
      <c r="J26" s="23" t="inlineStr"/>
      <c r="K26" s="23" t="inlineStr"/>
      <c r="L26" s="24" t="inlineStr"/>
      <c r="M26" s="24" t="inlineStr"/>
      <c r="N26" s="23" t="inlineStr"/>
      <c r="O26" s="23" t="inlineStr"/>
      <c r="P26" s="23" t="inlineStr"/>
      <c r="Q26" s="23" t="inlineStr"/>
      <c r="R26" s="23" t="inlineStr"/>
      <c r="S26" s="23" t="inlineStr"/>
      <c r="T26" s="23" t="inlineStr"/>
      <c r="U26" s="23" t="inlineStr"/>
      <c r="V26" s="23" t="inlineStr"/>
      <c r="W26" s="23" t="inlineStr"/>
      <c r="X26" s="23" t="inlineStr"/>
      <c r="Y26" s="24" t="inlineStr"/>
      <c r="Z26" s="24" t="inlineStr"/>
      <c r="AA26" s="4" t="inlineStr"/>
    </row>
    <row r="27" ht="22" customHeight="1">
      <c r="A27" s="33">
        <f>'01_인적정보'!A27</f>
        <v/>
      </c>
      <c r="B27" s="33">
        <f>'01_인적정보'!B27</f>
        <v/>
      </c>
      <c r="C27" s="8">
        <f>'01_인적정보'!C27</f>
        <v/>
      </c>
      <c r="D27" s="8">
        <f>'01_인적정보'!D27</f>
        <v/>
      </c>
      <c r="E27" s="8">
        <f>'01_인적정보'!E27</f>
        <v/>
      </c>
      <c r="F27" s="16">
        <f>'01_인적정보'!H27</f>
        <v/>
      </c>
      <c r="G27" s="23" t="inlineStr"/>
      <c r="H27" s="23" t="inlineStr"/>
      <c r="I27" s="23" t="inlineStr"/>
      <c r="J27" s="23" t="inlineStr"/>
      <c r="K27" s="23" t="inlineStr"/>
      <c r="L27" s="24" t="inlineStr"/>
      <c r="M27" s="24" t="inlineStr"/>
      <c r="N27" s="23" t="inlineStr"/>
      <c r="O27" s="23" t="inlineStr"/>
      <c r="P27" s="23" t="inlineStr"/>
      <c r="Q27" s="23" t="inlineStr"/>
      <c r="R27" s="23" t="inlineStr"/>
      <c r="S27" s="23" t="inlineStr"/>
      <c r="T27" s="23" t="inlineStr"/>
      <c r="U27" s="23" t="inlineStr"/>
      <c r="V27" s="23" t="inlineStr"/>
      <c r="W27" s="23" t="inlineStr"/>
      <c r="X27" s="23" t="inlineStr"/>
      <c r="Y27" s="24" t="inlineStr"/>
      <c r="Z27" s="24" t="inlineStr"/>
      <c r="AA27" s="4" t="inlineStr"/>
    </row>
    <row r="28" ht="22" customHeight="1">
      <c r="A28" s="33">
        <f>'01_인적정보'!A28</f>
        <v/>
      </c>
      <c r="B28" s="33">
        <f>'01_인적정보'!B28</f>
        <v/>
      </c>
      <c r="C28" s="8">
        <f>'01_인적정보'!C28</f>
        <v/>
      </c>
      <c r="D28" s="8">
        <f>'01_인적정보'!D28</f>
        <v/>
      </c>
      <c r="E28" s="8">
        <f>'01_인적정보'!E28</f>
        <v/>
      </c>
      <c r="F28" s="16">
        <f>'01_인적정보'!H28</f>
        <v/>
      </c>
      <c r="G28" s="23" t="inlineStr"/>
      <c r="H28" s="23" t="inlineStr"/>
      <c r="I28" s="23" t="inlineStr"/>
      <c r="J28" s="23" t="inlineStr"/>
      <c r="K28" s="23" t="inlineStr"/>
      <c r="L28" s="24" t="inlineStr"/>
      <c r="M28" s="24" t="inlineStr"/>
      <c r="N28" s="23" t="inlineStr"/>
      <c r="O28" s="23" t="inlineStr"/>
      <c r="P28" s="23" t="inlineStr"/>
      <c r="Q28" s="23" t="inlineStr"/>
      <c r="R28" s="23" t="inlineStr"/>
      <c r="S28" s="23" t="inlineStr"/>
      <c r="T28" s="23" t="inlineStr"/>
      <c r="U28" s="23" t="inlineStr"/>
      <c r="V28" s="23" t="inlineStr"/>
      <c r="W28" s="23" t="inlineStr"/>
      <c r="X28" s="23" t="inlineStr"/>
      <c r="Y28" s="24" t="inlineStr"/>
      <c r="Z28" s="24" t="inlineStr"/>
      <c r="AA28" s="4" t="inlineStr"/>
    </row>
    <row r="29" ht="22" customHeight="1">
      <c r="A29" s="33">
        <f>'01_인적정보'!A29</f>
        <v/>
      </c>
      <c r="B29" s="33">
        <f>'01_인적정보'!B29</f>
        <v/>
      </c>
      <c r="C29" s="8">
        <f>'01_인적정보'!C29</f>
        <v/>
      </c>
      <c r="D29" s="8">
        <f>'01_인적정보'!D29</f>
        <v/>
      </c>
      <c r="E29" s="8">
        <f>'01_인적정보'!E29</f>
        <v/>
      </c>
      <c r="F29" s="16">
        <f>'01_인적정보'!H29</f>
        <v/>
      </c>
      <c r="G29" s="23" t="inlineStr"/>
      <c r="H29" s="23" t="inlineStr"/>
      <c r="I29" s="23" t="inlineStr"/>
      <c r="J29" s="23" t="inlineStr"/>
      <c r="K29" s="23" t="inlineStr"/>
      <c r="L29" s="24" t="inlineStr"/>
      <c r="M29" s="24" t="inlineStr"/>
      <c r="N29" s="23" t="inlineStr"/>
      <c r="O29" s="23" t="inlineStr"/>
      <c r="P29" s="23" t="inlineStr"/>
      <c r="Q29" s="23" t="inlineStr"/>
      <c r="R29" s="23" t="inlineStr"/>
      <c r="S29" s="23" t="inlineStr"/>
      <c r="T29" s="23" t="inlineStr"/>
      <c r="U29" s="23" t="inlineStr"/>
      <c r="V29" s="23" t="inlineStr"/>
      <c r="W29" s="23" t="inlineStr"/>
      <c r="X29" s="23" t="inlineStr"/>
      <c r="Y29" s="24" t="inlineStr"/>
      <c r="Z29" s="24" t="inlineStr"/>
      <c r="AA29" s="4" t="inlineStr"/>
    </row>
    <row r="30" ht="22" customHeight="1">
      <c r="A30" s="33">
        <f>'01_인적정보'!A30</f>
        <v/>
      </c>
      <c r="B30" s="33">
        <f>'01_인적정보'!B30</f>
        <v/>
      </c>
      <c r="C30" s="8">
        <f>'01_인적정보'!C30</f>
        <v/>
      </c>
      <c r="D30" s="8">
        <f>'01_인적정보'!D30</f>
        <v/>
      </c>
      <c r="E30" s="8">
        <f>'01_인적정보'!E30</f>
        <v/>
      </c>
      <c r="F30" s="16">
        <f>'01_인적정보'!H30</f>
        <v/>
      </c>
      <c r="G30" s="23" t="inlineStr"/>
      <c r="H30" s="23" t="inlineStr"/>
      <c r="I30" s="23" t="inlineStr"/>
      <c r="J30" s="23" t="inlineStr"/>
      <c r="K30" s="23" t="inlineStr"/>
      <c r="L30" s="24" t="inlineStr"/>
      <c r="M30" s="24" t="inlineStr"/>
      <c r="N30" s="23" t="inlineStr"/>
      <c r="O30" s="23" t="inlineStr"/>
      <c r="P30" s="23" t="inlineStr"/>
      <c r="Q30" s="23" t="inlineStr"/>
      <c r="R30" s="23" t="inlineStr"/>
      <c r="S30" s="23" t="inlineStr"/>
      <c r="T30" s="23" t="inlineStr"/>
      <c r="U30" s="23" t="inlineStr"/>
      <c r="V30" s="23" t="inlineStr"/>
      <c r="W30" s="23" t="inlineStr"/>
      <c r="X30" s="23" t="inlineStr"/>
      <c r="Y30" s="24" t="inlineStr"/>
      <c r="Z30" s="24" t="inlineStr"/>
      <c r="AA30" s="4" t="inlineStr"/>
    </row>
    <row r="31" ht="22" customHeight="1">
      <c r="A31" s="33">
        <f>'01_인적정보'!A31</f>
        <v/>
      </c>
      <c r="B31" s="33">
        <f>'01_인적정보'!B31</f>
        <v/>
      </c>
      <c r="C31" s="8">
        <f>'01_인적정보'!C31</f>
        <v/>
      </c>
      <c r="D31" s="8">
        <f>'01_인적정보'!D31</f>
        <v/>
      </c>
      <c r="E31" s="8">
        <f>'01_인적정보'!E31</f>
        <v/>
      </c>
      <c r="F31" s="16">
        <f>'01_인적정보'!H31</f>
        <v/>
      </c>
      <c r="G31" s="23" t="n"/>
      <c r="H31" s="23" t="n"/>
      <c r="I31" s="23" t="n"/>
      <c r="J31" s="23" t="n"/>
      <c r="K31" s="23" t="n"/>
      <c r="L31" s="24" t="n"/>
      <c r="M31" s="24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4" t="n"/>
      <c r="Z31" s="24" t="n"/>
      <c r="AA31" s="4" t="n"/>
    </row>
    <row r="32" ht="22" customHeight="1">
      <c r="A32" s="33">
        <f>'01_인적정보'!A32</f>
        <v/>
      </c>
      <c r="B32" s="33">
        <f>'01_인적정보'!B32</f>
        <v/>
      </c>
      <c r="C32" s="8">
        <f>'01_인적정보'!C32</f>
        <v/>
      </c>
      <c r="D32" s="8">
        <f>'01_인적정보'!D32</f>
        <v/>
      </c>
      <c r="E32" s="8">
        <f>'01_인적정보'!E32</f>
        <v/>
      </c>
      <c r="F32" s="16">
        <f>'01_인적정보'!H32</f>
        <v/>
      </c>
      <c r="G32" s="23" t="inlineStr"/>
      <c r="H32" s="23" t="inlineStr"/>
      <c r="I32" s="23" t="inlineStr"/>
      <c r="J32" s="23" t="inlineStr"/>
      <c r="K32" s="23" t="inlineStr"/>
      <c r="L32" s="24" t="inlineStr"/>
      <c r="M32" s="24" t="inlineStr"/>
      <c r="N32" s="23" t="inlineStr"/>
      <c r="O32" s="23" t="inlineStr"/>
      <c r="P32" s="23" t="inlineStr"/>
      <c r="Q32" s="23" t="inlineStr"/>
      <c r="R32" s="23" t="inlineStr"/>
      <c r="S32" s="23" t="inlineStr"/>
      <c r="T32" s="23" t="inlineStr"/>
      <c r="U32" s="23" t="inlineStr"/>
      <c r="V32" s="23" t="inlineStr"/>
      <c r="W32" s="23" t="inlineStr"/>
      <c r="X32" s="23" t="inlineStr"/>
      <c r="Y32" s="24" t="inlineStr"/>
      <c r="Z32" s="24" t="inlineStr"/>
      <c r="AA32" s="4" t="inlineStr"/>
    </row>
    <row r="33" ht="22" customHeight="1">
      <c r="A33" s="33">
        <f>'01_인적정보'!A33</f>
        <v/>
      </c>
      <c r="B33" s="33">
        <f>'01_인적정보'!B33</f>
        <v/>
      </c>
      <c r="C33" s="8">
        <f>'01_인적정보'!C33</f>
        <v/>
      </c>
      <c r="D33" s="8">
        <f>'01_인적정보'!D33</f>
        <v/>
      </c>
      <c r="E33" s="8">
        <f>'01_인적정보'!E33</f>
        <v/>
      </c>
      <c r="F33" s="16">
        <f>'01_인적정보'!H33</f>
        <v/>
      </c>
      <c r="G33" s="23" t="inlineStr"/>
      <c r="H33" s="23" t="inlineStr"/>
      <c r="I33" s="23" t="inlineStr"/>
      <c r="J33" s="23" t="inlineStr"/>
      <c r="K33" s="23" t="inlineStr"/>
      <c r="L33" s="24" t="inlineStr"/>
      <c r="M33" s="24" t="inlineStr"/>
      <c r="N33" s="23" t="inlineStr"/>
      <c r="O33" s="23" t="inlineStr"/>
      <c r="P33" s="23" t="inlineStr"/>
      <c r="Q33" s="23" t="inlineStr"/>
      <c r="R33" s="23" t="inlineStr"/>
      <c r="S33" s="23" t="inlineStr"/>
      <c r="T33" s="23" t="inlineStr"/>
      <c r="U33" s="23" t="inlineStr"/>
      <c r="V33" s="23" t="inlineStr"/>
      <c r="W33" s="23" t="inlineStr"/>
      <c r="X33" s="23" t="inlineStr"/>
      <c r="Y33" s="24" t="inlineStr"/>
      <c r="Z33" s="24" t="inlineStr"/>
      <c r="AA33" s="4" t="inlineStr"/>
    </row>
    <row r="34" ht="22" customHeight="1">
      <c r="A34" s="33">
        <f>'01_인적정보'!A34</f>
        <v/>
      </c>
      <c r="B34" s="33">
        <f>'01_인적정보'!B34</f>
        <v/>
      </c>
      <c r="C34" s="8">
        <f>'01_인적정보'!C34</f>
        <v/>
      </c>
      <c r="D34" s="8">
        <f>'01_인적정보'!D34</f>
        <v/>
      </c>
      <c r="E34" s="8">
        <f>'01_인적정보'!E34</f>
        <v/>
      </c>
      <c r="F34" s="16">
        <f>'01_인적정보'!H34</f>
        <v/>
      </c>
      <c r="G34" s="23" t="inlineStr"/>
      <c r="H34" s="23" t="inlineStr"/>
      <c r="I34" s="23" t="inlineStr"/>
      <c r="J34" s="23" t="inlineStr"/>
      <c r="K34" s="23" t="inlineStr"/>
      <c r="L34" s="24" t="inlineStr"/>
      <c r="M34" s="24" t="inlineStr"/>
      <c r="N34" s="23" t="inlineStr"/>
      <c r="O34" s="23" t="inlineStr"/>
      <c r="P34" s="23" t="inlineStr"/>
      <c r="Q34" s="23" t="inlineStr"/>
      <c r="R34" s="23" t="inlineStr"/>
      <c r="S34" s="23" t="inlineStr"/>
      <c r="T34" s="23" t="inlineStr"/>
      <c r="U34" s="23" t="inlineStr"/>
      <c r="V34" s="23" t="inlineStr"/>
      <c r="W34" s="23" t="inlineStr"/>
      <c r="X34" s="23" t="inlineStr"/>
      <c r="Y34" s="24" t="inlineStr"/>
      <c r="Z34" s="24" t="inlineStr"/>
      <c r="AA34" s="4" t="inlineStr"/>
    </row>
    <row r="35" ht="22" customHeight="1">
      <c r="A35" s="33">
        <f>'01_인적정보'!A35</f>
        <v/>
      </c>
      <c r="B35" s="33">
        <f>'01_인적정보'!B35</f>
        <v/>
      </c>
      <c r="C35" s="8">
        <f>'01_인적정보'!C35</f>
        <v/>
      </c>
      <c r="D35" s="8">
        <f>'01_인적정보'!D35</f>
        <v/>
      </c>
      <c r="E35" s="8">
        <f>'01_인적정보'!E35</f>
        <v/>
      </c>
      <c r="F35" s="16">
        <f>'01_인적정보'!H35</f>
        <v/>
      </c>
      <c r="G35" s="23" t="inlineStr"/>
      <c r="H35" s="23" t="inlineStr"/>
      <c r="I35" s="23" t="inlineStr"/>
      <c r="J35" s="23" t="inlineStr"/>
      <c r="K35" s="23" t="inlineStr"/>
      <c r="L35" s="24" t="inlineStr"/>
      <c r="M35" s="24" t="inlineStr"/>
      <c r="N35" s="23" t="inlineStr"/>
      <c r="O35" s="23" t="inlineStr"/>
      <c r="P35" s="23" t="inlineStr"/>
      <c r="Q35" s="23" t="inlineStr"/>
      <c r="R35" s="23" t="inlineStr"/>
      <c r="S35" s="23" t="inlineStr"/>
      <c r="T35" s="23" t="inlineStr"/>
      <c r="U35" s="23" t="inlineStr"/>
      <c r="V35" s="23" t="inlineStr"/>
      <c r="W35" s="23" t="inlineStr"/>
      <c r="X35" s="23" t="inlineStr"/>
      <c r="Y35" s="24" t="inlineStr"/>
      <c r="Z35" s="24" t="inlineStr"/>
      <c r="AA35" s="4" t="inlineStr"/>
    </row>
    <row r="36" ht="22" customHeight="1">
      <c r="A36" s="33">
        <f>'01_인적정보'!A36</f>
        <v/>
      </c>
      <c r="B36" s="33">
        <f>'01_인적정보'!B36</f>
        <v/>
      </c>
      <c r="C36" s="8">
        <f>'01_인적정보'!C36</f>
        <v/>
      </c>
      <c r="D36" s="8">
        <f>'01_인적정보'!D36</f>
        <v/>
      </c>
      <c r="E36" s="8">
        <f>'01_인적정보'!E36</f>
        <v/>
      </c>
      <c r="F36" s="16">
        <f>'01_인적정보'!H36</f>
        <v/>
      </c>
      <c r="G36" s="23" t="inlineStr"/>
      <c r="H36" s="23" t="inlineStr"/>
      <c r="I36" s="23" t="inlineStr"/>
      <c r="J36" s="23" t="inlineStr"/>
      <c r="K36" s="23" t="inlineStr"/>
      <c r="L36" s="24" t="inlineStr"/>
      <c r="M36" s="24" t="inlineStr"/>
      <c r="N36" s="23" t="inlineStr"/>
      <c r="O36" s="23" t="inlineStr"/>
      <c r="P36" s="23" t="inlineStr"/>
      <c r="Q36" s="23" t="inlineStr"/>
      <c r="R36" s="23" t="inlineStr"/>
      <c r="S36" s="23" t="inlineStr"/>
      <c r="T36" s="23" t="inlineStr"/>
      <c r="U36" s="23" t="inlineStr"/>
      <c r="V36" s="23" t="inlineStr"/>
      <c r="W36" s="23" t="inlineStr"/>
      <c r="X36" s="23" t="inlineStr"/>
      <c r="Y36" s="24" t="inlineStr"/>
      <c r="Z36" s="24" t="inlineStr"/>
      <c r="AA36" s="4" t="inlineStr"/>
    </row>
    <row r="37" ht="22" customHeight="1">
      <c r="A37" s="33">
        <f>'01_인적정보'!A37</f>
        <v/>
      </c>
      <c r="B37" s="33">
        <f>'01_인적정보'!B37</f>
        <v/>
      </c>
      <c r="C37" s="8">
        <f>'01_인적정보'!C37</f>
        <v/>
      </c>
      <c r="D37" s="8">
        <f>'01_인적정보'!D37</f>
        <v/>
      </c>
      <c r="E37" s="8">
        <f>'01_인적정보'!E37</f>
        <v/>
      </c>
      <c r="F37" s="16">
        <f>'01_인적정보'!H37</f>
        <v/>
      </c>
      <c r="G37" s="23" t="inlineStr"/>
      <c r="H37" s="23" t="inlineStr"/>
      <c r="I37" s="23" t="inlineStr"/>
      <c r="J37" s="23" t="inlineStr"/>
      <c r="K37" s="23" t="inlineStr"/>
      <c r="L37" s="24" t="inlineStr"/>
      <c r="M37" s="24" t="inlineStr"/>
      <c r="N37" s="23" t="inlineStr"/>
      <c r="O37" s="23" t="inlineStr"/>
      <c r="P37" s="23" t="inlineStr"/>
      <c r="Q37" s="23" t="inlineStr"/>
      <c r="R37" s="23" t="inlineStr"/>
      <c r="S37" s="23" t="inlineStr"/>
      <c r="T37" s="23" t="inlineStr"/>
      <c r="U37" s="23" t="inlineStr"/>
      <c r="V37" s="23" t="inlineStr"/>
      <c r="W37" s="23" t="inlineStr"/>
      <c r="X37" s="23" t="inlineStr"/>
      <c r="Y37" s="24" t="inlineStr"/>
      <c r="Z37" s="24" t="inlineStr"/>
      <c r="AA37" s="4" t="inlineStr"/>
    </row>
    <row r="38" ht="22" customHeight="1">
      <c r="A38" s="33">
        <f>'01_인적정보'!A38</f>
        <v/>
      </c>
      <c r="B38" s="33">
        <f>'01_인적정보'!B38</f>
        <v/>
      </c>
      <c r="C38" s="8">
        <f>'01_인적정보'!C38</f>
        <v/>
      </c>
      <c r="D38" s="8">
        <f>'01_인적정보'!D38</f>
        <v/>
      </c>
      <c r="E38" s="8">
        <f>'01_인적정보'!E38</f>
        <v/>
      </c>
      <c r="F38" s="16">
        <f>'01_인적정보'!H38</f>
        <v/>
      </c>
      <c r="G38" s="23" t="inlineStr"/>
      <c r="H38" s="23" t="inlineStr"/>
      <c r="I38" s="23" t="inlineStr"/>
      <c r="J38" s="23" t="inlineStr"/>
      <c r="K38" s="23" t="inlineStr"/>
      <c r="L38" s="24" t="inlineStr"/>
      <c r="M38" s="24" t="inlineStr"/>
      <c r="N38" s="23" t="inlineStr"/>
      <c r="O38" s="23" t="inlineStr"/>
      <c r="P38" s="23" t="inlineStr"/>
      <c r="Q38" s="23" t="inlineStr"/>
      <c r="R38" s="23" t="inlineStr"/>
      <c r="S38" s="23" t="inlineStr"/>
      <c r="T38" s="23" t="inlineStr"/>
      <c r="U38" s="23" t="inlineStr"/>
      <c r="V38" s="23" t="inlineStr"/>
      <c r="W38" s="23" t="inlineStr"/>
      <c r="X38" s="23" t="inlineStr"/>
      <c r="Y38" s="24" t="inlineStr"/>
      <c r="Z38" s="24" t="inlineStr"/>
      <c r="AA38" s="4" t="inlineStr"/>
    </row>
    <row r="39" ht="22" customHeight="1">
      <c r="A39" s="33">
        <f>'01_인적정보'!A39</f>
        <v/>
      </c>
      <c r="B39" s="33">
        <f>'01_인적정보'!B39</f>
        <v/>
      </c>
      <c r="C39" s="8">
        <f>'01_인적정보'!C39</f>
        <v/>
      </c>
      <c r="D39" s="8">
        <f>'01_인적정보'!D39</f>
        <v/>
      </c>
      <c r="E39" s="8">
        <f>'01_인적정보'!E39</f>
        <v/>
      </c>
      <c r="F39" s="16">
        <f>'01_인적정보'!H39</f>
        <v/>
      </c>
      <c r="G39" s="23" t="inlineStr"/>
      <c r="H39" s="23" t="inlineStr"/>
      <c r="I39" s="23" t="inlineStr"/>
      <c r="J39" s="23" t="inlineStr"/>
      <c r="K39" s="23" t="inlineStr"/>
      <c r="L39" s="24" t="inlineStr"/>
      <c r="M39" s="24" t="inlineStr"/>
      <c r="N39" s="23" t="inlineStr"/>
      <c r="O39" s="23" t="inlineStr"/>
      <c r="P39" s="23" t="inlineStr"/>
      <c r="Q39" s="23" t="inlineStr"/>
      <c r="R39" s="23" t="inlineStr"/>
      <c r="S39" s="23" t="inlineStr"/>
      <c r="T39" s="23" t="inlineStr"/>
      <c r="U39" s="23" t="inlineStr"/>
      <c r="V39" s="23" t="inlineStr"/>
      <c r="W39" s="23" t="inlineStr"/>
      <c r="X39" s="23" t="inlineStr"/>
      <c r="Y39" s="24" t="inlineStr"/>
      <c r="Z39" s="24" t="inlineStr"/>
      <c r="AA39" s="4" t="inlineStr"/>
    </row>
    <row r="41">
      <c r="A41" s="91" t="n"/>
      <c r="B41" s="76" t="n"/>
      <c r="C41" s="76" t="n"/>
      <c r="D41" s="76" t="n"/>
      <c r="E41" s="76" t="n"/>
      <c r="F41" s="76" t="n"/>
      <c r="G41" s="92" t="n"/>
      <c r="H41" s="76" t="n"/>
      <c r="I41" s="76" t="n"/>
      <c r="J41" s="92" t="n"/>
      <c r="K41" s="76" t="n"/>
      <c r="L41" s="76" t="n"/>
      <c r="M41" s="76" t="n"/>
      <c r="N41" s="92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  <c r="X41" s="76" t="n"/>
      <c r="Y41" s="76" t="n"/>
      <c r="Z41" s="76" t="n"/>
      <c r="AA41" s="76" t="n"/>
      <c r="AB41" s="76" t="n"/>
      <c r="AC41" s="76" t="n"/>
    </row>
    <row r="42">
      <c r="A42" s="76" t="n"/>
      <c r="B42" s="76" t="n"/>
      <c r="C42" s="76" t="n"/>
      <c r="D42" s="76" t="n"/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  <c r="X42" s="76" t="n"/>
      <c r="Y42" s="76" t="n"/>
      <c r="Z42" s="76" t="n"/>
      <c r="AA42" s="76" t="n"/>
      <c r="AB42" s="76" t="n"/>
      <c r="AC42" s="76" t="n"/>
    </row>
    <row r="43">
      <c r="A43" s="76" t="n"/>
      <c r="B43" s="76" t="n"/>
      <c r="C43" s="76" t="n"/>
      <c r="D43" s="76" t="n"/>
      <c r="E43" s="76" t="n"/>
      <c r="F43" s="76" t="n"/>
      <c r="G43" s="76" t="n"/>
      <c r="H43" s="76" t="n"/>
      <c r="I43" s="76" t="n"/>
      <c r="J43" s="76" t="n"/>
      <c r="K43" s="76" t="n"/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  <c r="AA43" s="76" t="n"/>
      <c r="AB43" s="76" t="n"/>
      <c r="AC43" s="76" t="n"/>
    </row>
  </sheetData>
  <mergeCells count="9">
    <mergeCell ref="G3:K3"/>
    <mergeCell ref="L3:M3"/>
    <mergeCell ref="A4:AA4"/>
    <mergeCell ref="N3:X3"/>
    <mergeCell ref="Y3:Z3"/>
    <mergeCell ref="AA3"/>
    <mergeCell ref="A2:AA2"/>
    <mergeCell ref="A3:F3"/>
    <mergeCell ref="A1:AA1"/>
  </mergeCells>
  <conditionalFormatting sqref="G6:Z39">
    <cfRule type="cellIs" priority="1" operator="equal" dxfId="2">
      <formula>"S"</formula>
    </cfRule>
    <cfRule type="cellIs" priority="2" operator="equal" dxfId="3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dataValidations count="2">
    <dataValidation sqref="G6:M85" showDropDown="0" showInputMessage="0" showErrorMessage="0" allowBlank="1" type="list">
      <formula1>"S,A,B,C,D"</formula1>
    </dataValidation>
    <dataValidation sqref="N6:Z85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0AD47"/>
    <outlinePr summaryBelow="1" summaryRight="1"/>
    <pageSetUpPr/>
  </sheetPr>
  <dimension ref="A1:V39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0" customWidth="1" min="4" max="4"/>
    <col width="1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8" customWidth="1" min="19" max="19"/>
    <col width="8" customWidth="1" min="20" max="20"/>
    <col width="8" customWidth="1" min="21" max="21"/>
    <col width="25" customWidth="1" min="22" max="22"/>
  </cols>
  <sheetData>
    <row r="1" ht="28" customHeight="1">
      <c r="A1" s="1" t="inlineStr">
        <is>
          <t>종합 성과평가 - 3축 통합 (역할 + 공통 + 직무) + 최종등급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9" t="n"/>
    </row>
    <row r="2">
      <c r="A2" s="2" t="inlineStr">
        <is>
          <t>직급별 가변 가중치 적용 → 종합점수 → 절대/상대평가 최종등급 자동 산출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</row>
    <row r="5" ht="32" customHeight="1">
      <c r="A5" s="59" t="inlineStr">
        <is>
          <t>No.</t>
        </is>
      </c>
      <c r="B5" s="59" t="inlineStr">
        <is>
          <t>사번</t>
        </is>
      </c>
      <c r="C5" s="59" t="inlineStr">
        <is>
          <t>성명</t>
        </is>
      </c>
      <c r="D5" s="59" t="inlineStr">
        <is>
          <t>직군</t>
        </is>
      </c>
      <c r="E5" s="59" t="inlineStr">
        <is>
          <t>직무</t>
        </is>
      </c>
      <c r="F5" s="59" t="inlineStr">
        <is>
          <t>역할등급</t>
        </is>
      </c>
      <c r="G5" s="59" t="inlineStr">
        <is>
          <t>역할(상)</t>
        </is>
      </c>
      <c r="H5" s="59" t="inlineStr">
        <is>
          <t>역할(하)</t>
        </is>
      </c>
      <c r="I5" s="59" t="inlineStr">
        <is>
          <t>역할점수</t>
        </is>
      </c>
      <c r="J5" s="59" t="inlineStr">
        <is>
          <t>공통(상)</t>
        </is>
      </c>
      <c r="K5" s="59" t="inlineStr">
        <is>
          <t>공통(하)</t>
        </is>
      </c>
      <c r="L5" s="59" t="inlineStr">
        <is>
          <t>공통점수</t>
        </is>
      </c>
      <c r="M5" s="59" t="inlineStr">
        <is>
          <t>직무(상)</t>
        </is>
      </c>
      <c r="N5" s="59" t="inlineStr">
        <is>
          <t>직무(하)</t>
        </is>
      </c>
      <c r="O5" s="59" t="inlineStr">
        <is>
          <t>직무점수</t>
        </is>
      </c>
      <c r="P5" s="59" t="inlineStr">
        <is>
          <t>가중(역할)</t>
        </is>
      </c>
      <c r="Q5" s="59" t="inlineStr">
        <is>
          <t>가중(공통)</t>
        </is>
      </c>
      <c r="R5" s="59" t="inlineStr">
        <is>
          <t>가중(직무)</t>
        </is>
      </c>
      <c r="S5" s="59" t="inlineStr">
        <is>
          <t>종합점수</t>
        </is>
      </c>
      <c r="T5" s="59" t="inlineStr">
        <is>
          <t>절대등급</t>
        </is>
      </c>
      <c r="U5" s="59" t="inlineStr">
        <is>
          <t>최종등급</t>
        </is>
      </c>
      <c r="V5" s="59" t="inlineStr">
        <is>
          <t>종합 코멘트</t>
        </is>
      </c>
    </row>
    <row r="6" ht="22" customHeight="1">
      <c r="A6" s="33">
        <f>'01_인적정보'!A6</f>
        <v/>
      </c>
      <c r="B6" s="33">
        <f>'01_인적정보'!B6</f>
        <v/>
      </c>
      <c r="C6" s="8">
        <f>'01_인적정보'!C6</f>
        <v/>
      </c>
      <c r="D6" s="8">
        <f>'01_인적정보'!D6</f>
        <v/>
      </c>
      <c r="E6" s="8">
        <f>'01_인적정보'!E6</f>
        <v/>
      </c>
      <c r="F6" s="16">
        <f>'01_인적정보'!H6</f>
        <v/>
      </c>
      <c r="G6" s="20">
        <f>'04_역할평가'!O13</f>
        <v/>
      </c>
      <c r="H6" s="20">
        <f>'04_역할평가'!O58</f>
        <v/>
      </c>
      <c r="I6" s="56">
        <f>IF(OR(G6="",H6=""),"",(IF(G6="S",5,IF(G6="A",4,IF(G6="B",3,IF(G6="C",2,IF(G6="D",1,0))))) * '02_의사결정·종합결과'!$B$7 + IF(H6="S",5,IF(H6="A",4,IF(H6="B",3,IF(H6="C",2,IF(H6="D",1,0))))) * '02_의사결정·종합결과'!$B$8))</f>
        <v/>
      </c>
      <c r="J6" s="20">
        <f>'05_공통역량평가'!Q6</f>
        <v/>
      </c>
      <c r="K6" s="20">
        <f>'05_공통역량평가'!Q46</f>
        <v/>
      </c>
      <c r="L6" s="56">
        <f>IF(OR(J6="",K6=""),"",IF(J6="S",5,IF(J6="A",4,IF(J6="B",3,IF(J6="C",2,IF(J6="D",1,0))))) * '02_의사결정·종합결과'!$B$7 + IF(K6="S",5,IF(K6="A",4,IF(K6="B",3,IF(K6="C",2,IF(K6="D",1,0))))) * '02_의사결정·종합결과'!$B$8)</f>
        <v/>
      </c>
      <c r="M6" s="20">
        <f>'06_직무역량평가'!J6</f>
        <v/>
      </c>
      <c r="N6" s="20">
        <f>'06_직무역량평가'!J51</f>
        <v/>
      </c>
      <c r="O6" s="56">
        <f>IF(OR(M6="",N6=""),"",IF(M6="S",5,IF(M6="A",4,IF(M6="B",3,IF(M6="C",2,IF(M6="D",1,0))))) * '02_의사결정·종합결과'!$B$7 + IF(N6="S",5,IF(N6="A",4,IF(N6="B",3,IF(N6="C",2,IF(N6="D",1,0))))) * '02_의사결정·종합결과'!$B$8)</f>
        <v/>
      </c>
      <c r="P6" s="30">
        <f>IFERROR(VLOOKUP(F6,'02_의사결정·종합결과'!$A$16:$D$22,2,FALSE),"")</f>
        <v/>
      </c>
      <c r="Q6" s="30">
        <f>IFERROR(VLOOKUP(F6,'02_의사결정·종합결과'!$A$16:$D$22,3,FALSE),"")</f>
        <v/>
      </c>
      <c r="R6" s="30">
        <f>IFERROR(VLOOKUP(F6,'02_의사결정·종합결과'!$A$16:$D$22,4,FALSE),"")</f>
        <v/>
      </c>
      <c r="S6" s="60">
        <f>IF(OR(I6="",L6="",O6=""),"",I6*P6+L6*Q6+O6*R6)</f>
        <v/>
      </c>
      <c r="T6" s="57">
        <f>IF(S6="","",IF(S6&gt;=4.5,"S",IF(S6&gt;=3.5,"A",IF(S6&gt;=2.5,"B",IF(S6&gt;=1.5,"C","D")))))</f>
        <v/>
      </c>
      <c r="U6" s="61">
        <f>IF('02_의사결정·종합결과'!$B$6="절대평가",T6,T6)</f>
        <v/>
      </c>
      <c r="V6" s="4" t="inlineStr"/>
    </row>
    <row r="7" ht="22" customHeight="1">
      <c r="A7" s="33">
        <f>'01_인적정보'!A7</f>
        <v/>
      </c>
      <c r="B7" s="33">
        <f>'01_인적정보'!B7</f>
        <v/>
      </c>
      <c r="C7" s="8">
        <f>'01_인적정보'!C7</f>
        <v/>
      </c>
      <c r="D7" s="8">
        <f>'01_인적정보'!D7</f>
        <v/>
      </c>
      <c r="E7" s="8">
        <f>'01_인적정보'!E7</f>
        <v/>
      </c>
      <c r="F7" s="16">
        <f>'01_인적정보'!H7</f>
        <v/>
      </c>
      <c r="G7" s="20">
        <f>'04_역할평가'!O14</f>
        <v/>
      </c>
      <c r="H7" s="20">
        <f>'04_역할평가'!O59</f>
        <v/>
      </c>
      <c r="I7" s="56">
        <f>IF(OR(G7="",H7=""),"",(IF(G7="S",5,IF(G7="A",4,IF(G7="B",3,IF(G7="C",2,IF(G7="D",1,0))))) * '02_의사결정·종합결과'!$B$7 + IF(H7="S",5,IF(H7="A",4,IF(H7="B",3,IF(H7="C",2,IF(H7="D",1,0))))) * '02_의사결정·종합결과'!$B$8))</f>
        <v/>
      </c>
      <c r="J7" s="20">
        <f>'05_공통역량평가'!Q7</f>
        <v/>
      </c>
      <c r="K7" s="20">
        <f>'05_공통역량평가'!Q47</f>
        <v/>
      </c>
      <c r="L7" s="56">
        <f>IF(OR(J7="",K7=""),"",IF(J7="S",5,IF(J7="A",4,IF(J7="B",3,IF(J7="C",2,IF(J7="D",1,0))))) * '02_의사결정·종합결과'!$B$7 + IF(K7="S",5,IF(K7="A",4,IF(K7="B",3,IF(K7="C",2,IF(K7="D",1,0))))) * '02_의사결정·종합결과'!$B$8)</f>
        <v/>
      </c>
      <c r="M7" s="20">
        <f>'06_직무역량평가'!J7</f>
        <v/>
      </c>
      <c r="N7" s="20">
        <f>'06_직무역량평가'!J52</f>
        <v/>
      </c>
      <c r="O7" s="56">
        <f>IF(OR(M7="",N7=""),"",IF(M7="S",5,IF(M7="A",4,IF(M7="B",3,IF(M7="C",2,IF(M7="D",1,0))))) * '02_의사결정·종합결과'!$B$7 + IF(N7="S",5,IF(N7="A",4,IF(N7="B",3,IF(N7="C",2,IF(N7="D",1,0))))) * '02_의사결정·종합결과'!$B$8)</f>
        <v/>
      </c>
      <c r="P7" s="30">
        <f>IFERROR(VLOOKUP(F7,'02_의사결정·종합결과'!$A$16:$D$22,2,FALSE),"")</f>
        <v/>
      </c>
      <c r="Q7" s="30">
        <f>IFERROR(VLOOKUP(F7,'02_의사결정·종합결과'!$A$16:$D$22,3,FALSE),"")</f>
        <v/>
      </c>
      <c r="R7" s="30">
        <f>IFERROR(VLOOKUP(F7,'02_의사결정·종합결과'!$A$16:$D$22,4,FALSE),"")</f>
        <v/>
      </c>
      <c r="S7" s="60">
        <f>IF(OR(I7="",L7="",O7=""),"",I7*P7+L7*Q7+O7*R7)</f>
        <v/>
      </c>
      <c r="T7" s="57">
        <f>IF(S7="","",IF(S7&gt;=4.5,"S",IF(S7&gt;=3.5,"A",IF(S7&gt;=2.5,"B",IF(S7&gt;=1.5,"C","D")))))</f>
        <v/>
      </c>
      <c r="U7" s="61">
        <f>IF('02_의사결정·종합결과'!$B$6="절대평가",T7,T7)</f>
        <v/>
      </c>
      <c r="V7" s="4" t="inlineStr"/>
    </row>
    <row r="8" ht="22" customHeight="1">
      <c r="A8" s="33">
        <f>'01_인적정보'!A8</f>
        <v/>
      </c>
      <c r="B8" s="33">
        <f>'01_인적정보'!B8</f>
        <v/>
      </c>
      <c r="C8" s="8">
        <f>'01_인적정보'!C8</f>
        <v/>
      </c>
      <c r="D8" s="8">
        <f>'01_인적정보'!D8</f>
        <v/>
      </c>
      <c r="E8" s="8">
        <f>'01_인적정보'!E8</f>
        <v/>
      </c>
      <c r="F8" s="16">
        <f>'01_인적정보'!H8</f>
        <v/>
      </c>
      <c r="G8" s="20">
        <f>'04_역할평가'!O15</f>
        <v/>
      </c>
      <c r="H8" s="20">
        <f>'04_역할평가'!O60</f>
        <v/>
      </c>
      <c r="I8" s="56">
        <f>IF(OR(G8="",H8=""),"",(IF(G8="S",5,IF(G8="A",4,IF(G8="B",3,IF(G8="C",2,IF(G8="D",1,0))))) * '02_의사결정·종합결과'!$B$7 + IF(H8="S",5,IF(H8="A",4,IF(H8="B",3,IF(H8="C",2,IF(H8="D",1,0))))) * '02_의사결정·종합결과'!$B$8))</f>
        <v/>
      </c>
      <c r="J8" s="20">
        <f>'05_공통역량평가'!Q8</f>
        <v/>
      </c>
      <c r="K8" s="20">
        <f>'05_공통역량평가'!Q48</f>
        <v/>
      </c>
      <c r="L8" s="56">
        <f>IF(OR(J8="",K8=""),"",IF(J8="S",5,IF(J8="A",4,IF(J8="B",3,IF(J8="C",2,IF(J8="D",1,0))))) * '02_의사결정·종합결과'!$B$7 + IF(K8="S",5,IF(K8="A",4,IF(K8="B",3,IF(K8="C",2,IF(K8="D",1,0))))) * '02_의사결정·종합결과'!$B$8)</f>
        <v/>
      </c>
      <c r="M8" s="20">
        <f>'06_직무역량평가'!J8</f>
        <v/>
      </c>
      <c r="N8" s="20">
        <f>'06_직무역량평가'!J53</f>
        <v/>
      </c>
      <c r="O8" s="56">
        <f>IF(OR(M8="",N8=""),"",IF(M8="S",5,IF(M8="A",4,IF(M8="B",3,IF(M8="C",2,IF(M8="D",1,0))))) * '02_의사결정·종합결과'!$B$7 + IF(N8="S",5,IF(N8="A",4,IF(N8="B",3,IF(N8="C",2,IF(N8="D",1,0))))) * '02_의사결정·종합결과'!$B$8)</f>
        <v/>
      </c>
      <c r="P8" s="30">
        <f>IFERROR(VLOOKUP(F8,'02_의사결정·종합결과'!$A$16:$D$22,2,FALSE),"")</f>
        <v/>
      </c>
      <c r="Q8" s="30">
        <f>IFERROR(VLOOKUP(F8,'02_의사결정·종합결과'!$A$16:$D$22,3,FALSE),"")</f>
        <v/>
      </c>
      <c r="R8" s="30">
        <f>IFERROR(VLOOKUP(F8,'02_의사결정·종합결과'!$A$16:$D$22,4,FALSE),"")</f>
        <v/>
      </c>
      <c r="S8" s="60">
        <f>IF(OR(I8="",L8="",O8=""),"",I8*P8+L8*Q8+O8*R8)</f>
        <v/>
      </c>
      <c r="T8" s="57">
        <f>IF(S8="","",IF(S8&gt;=4.5,"S",IF(S8&gt;=3.5,"A",IF(S8&gt;=2.5,"B",IF(S8&gt;=1.5,"C","D")))))</f>
        <v/>
      </c>
      <c r="U8" s="61">
        <f>IF('02_의사결정·종합결과'!$B$6="절대평가",T8,T8)</f>
        <v/>
      </c>
      <c r="V8" s="4" t="inlineStr"/>
    </row>
    <row r="9" ht="22" customHeight="1">
      <c r="A9" s="33">
        <f>'01_인적정보'!A9</f>
        <v/>
      </c>
      <c r="B9" s="33">
        <f>'01_인적정보'!B9</f>
        <v/>
      </c>
      <c r="C9" s="8">
        <f>'01_인적정보'!C9</f>
        <v/>
      </c>
      <c r="D9" s="8">
        <f>'01_인적정보'!D9</f>
        <v/>
      </c>
      <c r="E9" s="8">
        <f>'01_인적정보'!E9</f>
        <v/>
      </c>
      <c r="F9" s="16">
        <f>'01_인적정보'!H9</f>
        <v/>
      </c>
      <c r="G9" s="20">
        <f>'04_역할평가'!O16</f>
        <v/>
      </c>
      <c r="H9" s="20">
        <f>'04_역할평가'!O61</f>
        <v/>
      </c>
      <c r="I9" s="56">
        <f>IF(OR(G9="",H9=""),"",(IF(G9="S",5,IF(G9="A",4,IF(G9="B",3,IF(G9="C",2,IF(G9="D",1,0))))) * '02_의사결정·종합결과'!$B$7 + IF(H9="S",5,IF(H9="A",4,IF(H9="B",3,IF(H9="C",2,IF(H9="D",1,0))))) * '02_의사결정·종합결과'!$B$8))</f>
        <v/>
      </c>
      <c r="J9" s="20">
        <f>'05_공통역량평가'!Q9</f>
        <v/>
      </c>
      <c r="K9" s="20">
        <f>'05_공통역량평가'!Q49</f>
        <v/>
      </c>
      <c r="L9" s="56">
        <f>IF(OR(J9="",K9=""),"",IF(J9="S",5,IF(J9="A",4,IF(J9="B",3,IF(J9="C",2,IF(J9="D",1,0))))) * '02_의사결정·종합결과'!$B$7 + IF(K9="S",5,IF(K9="A",4,IF(K9="B",3,IF(K9="C",2,IF(K9="D",1,0))))) * '02_의사결정·종합결과'!$B$8)</f>
        <v/>
      </c>
      <c r="M9" s="20">
        <f>'06_직무역량평가'!J9</f>
        <v/>
      </c>
      <c r="N9" s="20">
        <f>'06_직무역량평가'!J54</f>
        <v/>
      </c>
      <c r="O9" s="56">
        <f>IF(OR(M9="",N9=""),"",IF(M9="S",5,IF(M9="A",4,IF(M9="B",3,IF(M9="C",2,IF(M9="D",1,0))))) * '02_의사결정·종합결과'!$B$7 + IF(N9="S",5,IF(N9="A",4,IF(N9="B",3,IF(N9="C",2,IF(N9="D",1,0))))) * '02_의사결정·종합결과'!$B$8)</f>
        <v/>
      </c>
      <c r="P9" s="30">
        <f>IFERROR(VLOOKUP(F9,'02_의사결정·종합결과'!$A$16:$D$22,2,FALSE),"")</f>
        <v/>
      </c>
      <c r="Q9" s="30">
        <f>IFERROR(VLOOKUP(F9,'02_의사결정·종합결과'!$A$16:$D$22,3,FALSE),"")</f>
        <v/>
      </c>
      <c r="R9" s="30">
        <f>IFERROR(VLOOKUP(F9,'02_의사결정·종합결과'!$A$16:$D$22,4,FALSE),"")</f>
        <v/>
      </c>
      <c r="S9" s="60">
        <f>IF(OR(I9="",L9="",O9=""),"",I9*P9+L9*Q9+O9*R9)</f>
        <v/>
      </c>
      <c r="T9" s="57">
        <f>IF(S9="","",IF(S9&gt;=4.5,"S",IF(S9&gt;=3.5,"A",IF(S9&gt;=2.5,"B",IF(S9&gt;=1.5,"C","D")))))</f>
        <v/>
      </c>
      <c r="U9" s="61">
        <f>IF('02_의사결정·종합결과'!$B$6="절대평가",T9,T9)</f>
        <v/>
      </c>
      <c r="V9" s="4" t="inlineStr"/>
    </row>
    <row r="10" ht="22" customHeight="1">
      <c r="A10" s="33">
        <f>'01_인적정보'!A10</f>
        <v/>
      </c>
      <c r="B10" s="33">
        <f>'01_인적정보'!B10</f>
        <v/>
      </c>
      <c r="C10" s="8">
        <f>'01_인적정보'!C10</f>
        <v/>
      </c>
      <c r="D10" s="8">
        <f>'01_인적정보'!D10</f>
        <v/>
      </c>
      <c r="E10" s="8">
        <f>'01_인적정보'!E10</f>
        <v/>
      </c>
      <c r="F10" s="16">
        <f>'01_인적정보'!H10</f>
        <v/>
      </c>
      <c r="G10" s="20">
        <f>'04_역할평가'!O17</f>
        <v/>
      </c>
      <c r="H10" s="20">
        <f>'04_역할평가'!O62</f>
        <v/>
      </c>
      <c r="I10" s="56">
        <f>IF(OR(G10="",H10=""),"",(IF(G10="S",5,IF(G10="A",4,IF(G10="B",3,IF(G10="C",2,IF(G10="D",1,0))))) * '02_의사결정·종합결과'!$B$7 + IF(H10="S",5,IF(H10="A",4,IF(H10="B",3,IF(H10="C",2,IF(H10="D",1,0))))) * '02_의사결정·종합결과'!$B$8))</f>
        <v/>
      </c>
      <c r="J10" s="20">
        <f>'05_공통역량평가'!Q10</f>
        <v/>
      </c>
      <c r="K10" s="20">
        <f>'05_공통역량평가'!Q50</f>
        <v/>
      </c>
      <c r="L10" s="56">
        <f>IF(OR(J10="",K10=""),"",IF(J10="S",5,IF(J10="A",4,IF(J10="B",3,IF(J10="C",2,IF(J10="D",1,0))))) * '02_의사결정·종합결과'!$B$7 + IF(K10="S",5,IF(K10="A",4,IF(K10="B",3,IF(K10="C",2,IF(K10="D",1,0))))) * '02_의사결정·종합결과'!$B$8)</f>
        <v/>
      </c>
      <c r="M10" s="20">
        <f>'06_직무역량평가'!J10</f>
        <v/>
      </c>
      <c r="N10" s="20">
        <f>'06_직무역량평가'!J55</f>
        <v/>
      </c>
      <c r="O10" s="56">
        <f>IF(OR(M10="",N10=""),"",IF(M10="S",5,IF(M10="A",4,IF(M10="B",3,IF(M10="C",2,IF(M10="D",1,0))))) * '02_의사결정·종합결과'!$B$7 + IF(N10="S",5,IF(N10="A",4,IF(N10="B",3,IF(N10="C",2,IF(N10="D",1,0))))) * '02_의사결정·종합결과'!$B$8)</f>
        <v/>
      </c>
      <c r="P10" s="30">
        <f>IFERROR(VLOOKUP(F10,'02_의사결정·종합결과'!$A$16:$D$22,2,FALSE),"")</f>
        <v/>
      </c>
      <c r="Q10" s="30">
        <f>IFERROR(VLOOKUP(F10,'02_의사결정·종합결과'!$A$16:$D$22,3,FALSE),"")</f>
        <v/>
      </c>
      <c r="R10" s="30">
        <f>IFERROR(VLOOKUP(F10,'02_의사결정·종합결과'!$A$16:$D$22,4,FALSE),"")</f>
        <v/>
      </c>
      <c r="S10" s="60">
        <f>IF(OR(I10="",L10="",O10=""),"",I10*P10+L10*Q10+O10*R10)</f>
        <v/>
      </c>
      <c r="T10" s="57">
        <f>IF(S10="","",IF(S10&gt;=4.5,"S",IF(S10&gt;=3.5,"A",IF(S10&gt;=2.5,"B",IF(S10&gt;=1.5,"C","D")))))</f>
        <v/>
      </c>
      <c r="U10" s="61">
        <f>IF('02_의사결정·종합결과'!$B$6="절대평가",T10,T10)</f>
        <v/>
      </c>
      <c r="V10" s="4" t="inlineStr"/>
    </row>
    <row r="11" ht="22" customHeight="1">
      <c r="A11" s="33">
        <f>'01_인적정보'!A11</f>
        <v/>
      </c>
      <c r="B11" s="33">
        <f>'01_인적정보'!B11</f>
        <v/>
      </c>
      <c r="C11" s="8">
        <f>'01_인적정보'!C11</f>
        <v/>
      </c>
      <c r="D11" s="8">
        <f>'01_인적정보'!D11</f>
        <v/>
      </c>
      <c r="E11" s="8">
        <f>'01_인적정보'!E11</f>
        <v/>
      </c>
      <c r="F11" s="16">
        <f>'01_인적정보'!H11</f>
        <v/>
      </c>
      <c r="G11" s="20">
        <f>'04_역할평가'!O18</f>
        <v/>
      </c>
      <c r="H11" s="20">
        <f>'04_역할평가'!O63</f>
        <v/>
      </c>
      <c r="I11" s="56">
        <f>IF(OR(G11="",H11=""),"",(IF(G11="S",5,IF(G11="A",4,IF(G11="B",3,IF(G11="C",2,IF(G11="D",1,0))))) * '02_의사결정·종합결과'!$B$7 + IF(H11="S",5,IF(H11="A",4,IF(H11="B",3,IF(H11="C",2,IF(H11="D",1,0))))) * '02_의사결정·종합결과'!$B$8))</f>
        <v/>
      </c>
      <c r="J11" s="20">
        <f>'05_공통역량평가'!Q11</f>
        <v/>
      </c>
      <c r="K11" s="20">
        <f>'05_공통역량평가'!Q51</f>
        <v/>
      </c>
      <c r="L11" s="56">
        <f>IF(OR(J11="",K11=""),"",IF(J11="S",5,IF(J11="A",4,IF(J11="B",3,IF(J11="C",2,IF(J11="D",1,0))))) * '02_의사결정·종합결과'!$B$7 + IF(K11="S",5,IF(K11="A",4,IF(K11="B",3,IF(K11="C",2,IF(K11="D",1,0))))) * '02_의사결정·종합결과'!$B$8)</f>
        <v/>
      </c>
      <c r="M11" s="20">
        <f>'06_직무역량평가'!J11</f>
        <v/>
      </c>
      <c r="N11" s="20">
        <f>'06_직무역량평가'!J56</f>
        <v/>
      </c>
      <c r="O11" s="56">
        <f>IF(OR(M11="",N11=""),"",IF(M11="S",5,IF(M11="A",4,IF(M11="B",3,IF(M11="C",2,IF(M11="D",1,0))))) * '02_의사결정·종합결과'!$B$7 + IF(N11="S",5,IF(N11="A",4,IF(N11="B",3,IF(N11="C",2,IF(N11="D",1,0))))) * '02_의사결정·종합결과'!$B$8)</f>
        <v/>
      </c>
      <c r="P11" s="30">
        <f>IFERROR(VLOOKUP(F11,'02_의사결정·종합결과'!$A$16:$D$22,2,FALSE),"")</f>
        <v/>
      </c>
      <c r="Q11" s="30">
        <f>IFERROR(VLOOKUP(F11,'02_의사결정·종합결과'!$A$16:$D$22,3,FALSE),"")</f>
        <v/>
      </c>
      <c r="R11" s="30">
        <f>IFERROR(VLOOKUP(F11,'02_의사결정·종합결과'!$A$16:$D$22,4,FALSE),"")</f>
        <v/>
      </c>
      <c r="S11" s="60">
        <f>IF(OR(I11="",L11="",O11=""),"",I11*P11+L11*Q11+O11*R11)</f>
        <v/>
      </c>
      <c r="T11" s="57">
        <f>IF(S11="","",IF(S11&gt;=4.5,"S",IF(S11&gt;=3.5,"A",IF(S11&gt;=2.5,"B",IF(S11&gt;=1.5,"C","D")))))</f>
        <v/>
      </c>
      <c r="U11" s="61">
        <f>IF('02_의사결정·종합결과'!$B$6="절대평가",T11,T11)</f>
        <v/>
      </c>
      <c r="V11" s="4" t="inlineStr"/>
    </row>
    <row r="12" ht="22" customHeight="1">
      <c r="A12" s="33">
        <f>'01_인적정보'!A12</f>
        <v/>
      </c>
      <c r="B12" s="33">
        <f>'01_인적정보'!B12</f>
        <v/>
      </c>
      <c r="C12" s="8">
        <f>'01_인적정보'!C12</f>
        <v/>
      </c>
      <c r="D12" s="8">
        <f>'01_인적정보'!D12</f>
        <v/>
      </c>
      <c r="E12" s="8">
        <f>'01_인적정보'!E12</f>
        <v/>
      </c>
      <c r="F12" s="16">
        <f>'01_인적정보'!H12</f>
        <v/>
      </c>
      <c r="G12" s="20">
        <f>'04_역할평가'!O19</f>
        <v/>
      </c>
      <c r="H12" s="20">
        <f>'04_역할평가'!O64</f>
        <v/>
      </c>
      <c r="I12" s="56">
        <f>IF(OR(G12="",H12=""),"",(IF(G12="S",5,IF(G12="A",4,IF(G12="B",3,IF(G12="C",2,IF(G12="D",1,0))))) * '02_의사결정·종합결과'!$B$7 + IF(H12="S",5,IF(H12="A",4,IF(H12="B",3,IF(H12="C",2,IF(H12="D",1,0))))) * '02_의사결정·종합결과'!$B$8))</f>
        <v/>
      </c>
      <c r="J12" s="20">
        <f>'05_공통역량평가'!Q12</f>
        <v/>
      </c>
      <c r="K12" s="20">
        <f>'05_공통역량평가'!Q52</f>
        <v/>
      </c>
      <c r="L12" s="56">
        <f>IF(OR(J12="",K12=""),"",IF(J12="S",5,IF(J12="A",4,IF(J12="B",3,IF(J12="C",2,IF(J12="D",1,0))))) * '02_의사결정·종합결과'!$B$7 + IF(K12="S",5,IF(K12="A",4,IF(K12="B",3,IF(K12="C",2,IF(K12="D",1,0))))) * '02_의사결정·종합결과'!$B$8)</f>
        <v/>
      </c>
      <c r="M12" s="20">
        <f>'06_직무역량평가'!J12</f>
        <v/>
      </c>
      <c r="N12" s="20">
        <f>'06_직무역량평가'!J57</f>
        <v/>
      </c>
      <c r="O12" s="56">
        <f>IF(OR(M12="",N12=""),"",IF(M12="S",5,IF(M12="A",4,IF(M12="B",3,IF(M12="C",2,IF(M12="D",1,0))))) * '02_의사결정·종합결과'!$B$7 + IF(N12="S",5,IF(N12="A",4,IF(N12="B",3,IF(N12="C",2,IF(N12="D",1,0))))) * '02_의사결정·종합결과'!$B$8)</f>
        <v/>
      </c>
      <c r="P12" s="30">
        <f>IFERROR(VLOOKUP(F12,'02_의사결정·종합결과'!$A$16:$D$22,2,FALSE),"")</f>
        <v/>
      </c>
      <c r="Q12" s="30">
        <f>IFERROR(VLOOKUP(F12,'02_의사결정·종합결과'!$A$16:$D$22,3,FALSE),"")</f>
        <v/>
      </c>
      <c r="R12" s="30">
        <f>IFERROR(VLOOKUP(F12,'02_의사결정·종합결과'!$A$16:$D$22,4,FALSE),"")</f>
        <v/>
      </c>
      <c r="S12" s="60">
        <f>IF(OR(I12="",L12="",O12=""),"",I12*P12+L12*Q12+O12*R12)</f>
        <v/>
      </c>
      <c r="T12" s="57">
        <f>IF(S12="","",IF(S12&gt;=4.5,"S",IF(S12&gt;=3.5,"A",IF(S12&gt;=2.5,"B",IF(S12&gt;=1.5,"C","D")))))</f>
        <v/>
      </c>
      <c r="U12" s="61">
        <f>IF('02_의사결정·종합결과'!$B$6="절대평가",T12,T12)</f>
        <v/>
      </c>
      <c r="V12" s="4" t="inlineStr"/>
    </row>
    <row r="13" ht="22" customHeight="1">
      <c r="A13" s="33">
        <f>'01_인적정보'!A13</f>
        <v/>
      </c>
      <c r="B13" s="33">
        <f>'01_인적정보'!B13</f>
        <v/>
      </c>
      <c r="C13" s="8">
        <f>'01_인적정보'!C13</f>
        <v/>
      </c>
      <c r="D13" s="8">
        <f>'01_인적정보'!D13</f>
        <v/>
      </c>
      <c r="E13" s="8">
        <f>'01_인적정보'!E13</f>
        <v/>
      </c>
      <c r="F13" s="16">
        <f>'01_인적정보'!H13</f>
        <v/>
      </c>
      <c r="G13" s="20">
        <f>'04_역할평가'!O20</f>
        <v/>
      </c>
      <c r="H13" s="20">
        <f>'04_역할평가'!O65</f>
        <v/>
      </c>
      <c r="I13" s="56">
        <f>IF(OR(G13="",H13=""),"",(IF(G13="S",5,IF(G13="A",4,IF(G13="B",3,IF(G13="C",2,IF(G13="D",1,0))))) * '02_의사결정·종합결과'!$B$7 + IF(H13="S",5,IF(H13="A",4,IF(H13="B",3,IF(H13="C",2,IF(H13="D",1,0))))) * '02_의사결정·종합결과'!$B$8))</f>
        <v/>
      </c>
      <c r="J13" s="20">
        <f>'05_공통역량평가'!Q13</f>
        <v/>
      </c>
      <c r="K13" s="20">
        <f>'05_공통역량평가'!Q53</f>
        <v/>
      </c>
      <c r="L13" s="56">
        <f>IF(OR(J13="",K13=""),"",IF(J13="S",5,IF(J13="A",4,IF(J13="B",3,IF(J13="C",2,IF(J13="D",1,0))))) * '02_의사결정·종합결과'!$B$7 + IF(K13="S",5,IF(K13="A",4,IF(K13="B",3,IF(K13="C",2,IF(K13="D",1,0))))) * '02_의사결정·종합결과'!$B$8)</f>
        <v/>
      </c>
      <c r="M13" s="20">
        <f>'06_직무역량평가'!J13</f>
        <v/>
      </c>
      <c r="N13" s="20">
        <f>'06_직무역량평가'!J58</f>
        <v/>
      </c>
      <c r="O13" s="56">
        <f>IF(OR(M13="",N13=""),"",IF(M13="S",5,IF(M13="A",4,IF(M13="B",3,IF(M13="C",2,IF(M13="D",1,0))))) * '02_의사결정·종합결과'!$B$7 + IF(N13="S",5,IF(N13="A",4,IF(N13="B",3,IF(N13="C",2,IF(N13="D",1,0))))) * '02_의사결정·종합결과'!$B$8)</f>
        <v/>
      </c>
      <c r="P13" s="30">
        <f>IFERROR(VLOOKUP(F13,'02_의사결정·종합결과'!$A$16:$D$22,2,FALSE),"")</f>
        <v/>
      </c>
      <c r="Q13" s="30">
        <f>IFERROR(VLOOKUP(F13,'02_의사결정·종합결과'!$A$16:$D$22,3,FALSE),"")</f>
        <v/>
      </c>
      <c r="R13" s="30">
        <f>IFERROR(VLOOKUP(F13,'02_의사결정·종합결과'!$A$16:$D$22,4,FALSE),"")</f>
        <v/>
      </c>
      <c r="S13" s="60">
        <f>IF(OR(I13="",L13="",O13=""),"",I13*P13+L13*Q13+O13*R13)</f>
        <v/>
      </c>
      <c r="T13" s="57">
        <f>IF(S13="","",IF(S13&gt;=4.5,"S",IF(S13&gt;=3.5,"A",IF(S13&gt;=2.5,"B",IF(S13&gt;=1.5,"C","D")))))</f>
        <v/>
      </c>
      <c r="U13" s="61">
        <f>IF('02_의사결정·종합결과'!$B$6="절대평가",T13,T13)</f>
        <v/>
      </c>
      <c r="V13" s="4" t="inlineStr"/>
    </row>
    <row r="14" ht="22" customHeight="1">
      <c r="A14" s="33">
        <f>'01_인적정보'!A14</f>
        <v/>
      </c>
      <c r="B14" s="33">
        <f>'01_인적정보'!B14</f>
        <v/>
      </c>
      <c r="C14" s="8">
        <f>'01_인적정보'!C14</f>
        <v/>
      </c>
      <c r="D14" s="8">
        <f>'01_인적정보'!D14</f>
        <v/>
      </c>
      <c r="E14" s="8">
        <f>'01_인적정보'!E14</f>
        <v/>
      </c>
      <c r="F14" s="16">
        <f>'01_인적정보'!H14</f>
        <v/>
      </c>
      <c r="G14" s="20">
        <f>'04_역할평가'!O21</f>
        <v/>
      </c>
      <c r="H14" s="20">
        <f>'04_역할평가'!O66</f>
        <v/>
      </c>
      <c r="I14" s="56">
        <f>IF(OR(G14="",H14=""),"",(IF(G14="S",5,IF(G14="A",4,IF(G14="B",3,IF(G14="C",2,IF(G14="D",1,0))))) * '02_의사결정·종합결과'!$B$7 + IF(H14="S",5,IF(H14="A",4,IF(H14="B",3,IF(H14="C",2,IF(H14="D",1,0))))) * '02_의사결정·종합결과'!$B$8))</f>
        <v/>
      </c>
      <c r="J14" s="20">
        <f>'05_공통역량평가'!Q14</f>
        <v/>
      </c>
      <c r="K14" s="20">
        <f>'05_공통역량평가'!Q54</f>
        <v/>
      </c>
      <c r="L14" s="56">
        <f>IF(OR(J14="",K14=""),"",IF(J14="S",5,IF(J14="A",4,IF(J14="B",3,IF(J14="C",2,IF(J14="D",1,0))))) * '02_의사결정·종합결과'!$B$7 + IF(K14="S",5,IF(K14="A",4,IF(K14="B",3,IF(K14="C",2,IF(K14="D",1,0))))) * '02_의사결정·종합결과'!$B$8)</f>
        <v/>
      </c>
      <c r="M14" s="20">
        <f>'06_직무역량평가'!J14</f>
        <v/>
      </c>
      <c r="N14" s="20">
        <f>'06_직무역량평가'!J59</f>
        <v/>
      </c>
      <c r="O14" s="56">
        <f>IF(OR(M14="",N14=""),"",IF(M14="S",5,IF(M14="A",4,IF(M14="B",3,IF(M14="C",2,IF(M14="D",1,0))))) * '02_의사결정·종합결과'!$B$7 + IF(N14="S",5,IF(N14="A",4,IF(N14="B",3,IF(N14="C",2,IF(N14="D",1,0))))) * '02_의사결정·종합결과'!$B$8)</f>
        <v/>
      </c>
      <c r="P14" s="30">
        <f>IFERROR(VLOOKUP(F14,'02_의사결정·종합결과'!$A$16:$D$22,2,FALSE),"")</f>
        <v/>
      </c>
      <c r="Q14" s="30">
        <f>IFERROR(VLOOKUP(F14,'02_의사결정·종합결과'!$A$16:$D$22,3,FALSE),"")</f>
        <v/>
      </c>
      <c r="R14" s="30">
        <f>IFERROR(VLOOKUP(F14,'02_의사결정·종합결과'!$A$16:$D$22,4,FALSE),"")</f>
        <v/>
      </c>
      <c r="S14" s="60">
        <f>IF(OR(I14="",L14="",O14=""),"",I14*P14+L14*Q14+O14*R14)</f>
        <v/>
      </c>
      <c r="T14" s="57">
        <f>IF(S14="","",IF(S14&gt;=4.5,"S",IF(S14&gt;=3.5,"A",IF(S14&gt;=2.5,"B",IF(S14&gt;=1.5,"C","D")))))</f>
        <v/>
      </c>
      <c r="U14" s="61">
        <f>IF('02_의사결정·종합결과'!$B$6="절대평가",T14,T14)</f>
        <v/>
      </c>
      <c r="V14" s="4" t="inlineStr"/>
    </row>
    <row r="15" ht="22" customHeight="1">
      <c r="A15" s="33">
        <f>'01_인적정보'!A15</f>
        <v/>
      </c>
      <c r="B15" s="33">
        <f>'01_인적정보'!B15</f>
        <v/>
      </c>
      <c r="C15" s="8">
        <f>'01_인적정보'!C15</f>
        <v/>
      </c>
      <c r="D15" s="8">
        <f>'01_인적정보'!D15</f>
        <v/>
      </c>
      <c r="E15" s="8">
        <f>'01_인적정보'!E15</f>
        <v/>
      </c>
      <c r="F15" s="16">
        <f>'01_인적정보'!H15</f>
        <v/>
      </c>
      <c r="G15" s="20">
        <f>'04_역할평가'!O22</f>
        <v/>
      </c>
      <c r="H15" s="20">
        <f>'04_역할평가'!O67</f>
        <v/>
      </c>
      <c r="I15" s="56">
        <f>IF(OR(G15="",H15=""),"",(IF(G15="S",5,IF(G15="A",4,IF(G15="B",3,IF(G15="C",2,IF(G15="D",1,0))))) * '02_의사결정·종합결과'!$B$7 + IF(H15="S",5,IF(H15="A",4,IF(H15="B",3,IF(H15="C",2,IF(H15="D",1,0))))) * '02_의사결정·종합결과'!$B$8))</f>
        <v/>
      </c>
      <c r="J15" s="20">
        <f>'05_공통역량평가'!Q15</f>
        <v/>
      </c>
      <c r="K15" s="20">
        <f>'05_공통역량평가'!Q55</f>
        <v/>
      </c>
      <c r="L15" s="56">
        <f>IF(OR(J15="",K15=""),"",IF(J15="S",5,IF(J15="A",4,IF(J15="B",3,IF(J15="C",2,IF(J15="D",1,0))))) * '02_의사결정·종합결과'!$B$7 + IF(K15="S",5,IF(K15="A",4,IF(K15="B",3,IF(K15="C",2,IF(K15="D",1,0))))) * '02_의사결정·종합결과'!$B$8)</f>
        <v/>
      </c>
      <c r="M15" s="20">
        <f>'06_직무역량평가'!J15</f>
        <v/>
      </c>
      <c r="N15" s="20">
        <f>'06_직무역량평가'!J60</f>
        <v/>
      </c>
      <c r="O15" s="56">
        <f>IF(OR(M15="",N15=""),"",IF(M15="S",5,IF(M15="A",4,IF(M15="B",3,IF(M15="C",2,IF(M15="D",1,0))))) * '02_의사결정·종합결과'!$B$7 + IF(N15="S",5,IF(N15="A",4,IF(N15="B",3,IF(N15="C",2,IF(N15="D",1,0))))) * '02_의사결정·종합결과'!$B$8)</f>
        <v/>
      </c>
      <c r="P15" s="30">
        <f>IFERROR(VLOOKUP(F15,'02_의사결정·종합결과'!$A$16:$D$22,2,FALSE),"")</f>
        <v/>
      </c>
      <c r="Q15" s="30">
        <f>IFERROR(VLOOKUP(F15,'02_의사결정·종합결과'!$A$16:$D$22,3,FALSE),"")</f>
        <v/>
      </c>
      <c r="R15" s="30">
        <f>IFERROR(VLOOKUP(F15,'02_의사결정·종합결과'!$A$16:$D$22,4,FALSE),"")</f>
        <v/>
      </c>
      <c r="S15" s="60">
        <f>IF(OR(I15="",L15="",O15=""),"",I15*P15+L15*Q15+O15*R15)</f>
        <v/>
      </c>
      <c r="T15" s="57">
        <f>IF(S15="","",IF(S15&gt;=4.5,"S",IF(S15&gt;=3.5,"A",IF(S15&gt;=2.5,"B",IF(S15&gt;=1.5,"C","D")))))</f>
        <v/>
      </c>
      <c r="U15" s="61">
        <f>IF('02_의사결정·종합결과'!$B$6="절대평가",T15,T15)</f>
        <v/>
      </c>
      <c r="V15" s="4" t="inlineStr"/>
    </row>
    <row r="16" ht="22" customHeight="1">
      <c r="A16" s="33">
        <f>'01_인적정보'!A16</f>
        <v/>
      </c>
      <c r="B16" s="33">
        <f>'01_인적정보'!B16</f>
        <v/>
      </c>
      <c r="C16" s="8">
        <f>'01_인적정보'!C16</f>
        <v/>
      </c>
      <c r="D16" s="8">
        <f>'01_인적정보'!D16</f>
        <v/>
      </c>
      <c r="E16" s="8">
        <f>'01_인적정보'!E16</f>
        <v/>
      </c>
      <c r="F16" s="16">
        <f>'01_인적정보'!H16</f>
        <v/>
      </c>
      <c r="G16" s="20">
        <f>'04_역할평가'!O23</f>
        <v/>
      </c>
      <c r="H16" s="20">
        <f>'04_역할평가'!O68</f>
        <v/>
      </c>
      <c r="I16" s="56">
        <f>IF(OR(G16="",H16=""),"",(IF(G16="S",5,IF(G16="A",4,IF(G16="B",3,IF(G16="C",2,IF(G16="D",1,0))))) * '02_의사결정·종합결과'!$B$7 + IF(H16="S",5,IF(H16="A",4,IF(H16="B",3,IF(H16="C",2,IF(H16="D",1,0))))) * '02_의사결정·종합결과'!$B$8))</f>
        <v/>
      </c>
      <c r="J16" s="20">
        <f>'05_공통역량평가'!Q16</f>
        <v/>
      </c>
      <c r="K16" s="20">
        <f>'05_공통역량평가'!Q56</f>
        <v/>
      </c>
      <c r="L16" s="56">
        <f>IF(OR(J16="",K16=""),"",IF(J16="S",5,IF(J16="A",4,IF(J16="B",3,IF(J16="C",2,IF(J16="D",1,0))))) * '02_의사결정·종합결과'!$B$7 + IF(K16="S",5,IF(K16="A",4,IF(K16="B",3,IF(K16="C",2,IF(K16="D",1,0))))) * '02_의사결정·종합결과'!$B$8)</f>
        <v/>
      </c>
      <c r="M16" s="20">
        <f>'06_직무역량평가'!J16</f>
        <v/>
      </c>
      <c r="N16" s="20">
        <f>'06_직무역량평가'!J61</f>
        <v/>
      </c>
      <c r="O16" s="56">
        <f>IF(OR(M16="",N16=""),"",IF(M16="S",5,IF(M16="A",4,IF(M16="B",3,IF(M16="C",2,IF(M16="D",1,0))))) * '02_의사결정·종합결과'!$B$7 + IF(N16="S",5,IF(N16="A",4,IF(N16="B",3,IF(N16="C",2,IF(N16="D",1,0))))) * '02_의사결정·종합결과'!$B$8)</f>
        <v/>
      </c>
      <c r="P16" s="30">
        <f>IFERROR(VLOOKUP(F16,'02_의사결정·종합결과'!$A$16:$D$22,2,FALSE),"")</f>
        <v/>
      </c>
      <c r="Q16" s="30">
        <f>IFERROR(VLOOKUP(F16,'02_의사결정·종합결과'!$A$16:$D$22,3,FALSE),"")</f>
        <v/>
      </c>
      <c r="R16" s="30">
        <f>IFERROR(VLOOKUP(F16,'02_의사결정·종합결과'!$A$16:$D$22,4,FALSE),"")</f>
        <v/>
      </c>
      <c r="S16" s="60">
        <f>IF(OR(I16="",L16="",O16=""),"",I16*P16+L16*Q16+O16*R16)</f>
        <v/>
      </c>
      <c r="T16" s="57">
        <f>IF(S16="","",IF(S16&gt;=4.5,"S",IF(S16&gt;=3.5,"A",IF(S16&gt;=2.5,"B",IF(S16&gt;=1.5,"C","D")))))</f>
        <v/>
      </c>
      <c r="U16" s="61">
        <f>IF('02_의사결정·종합결과'!$B$6="절대평가",T16,T16)</f>
        <v/>
      </c>
      <c r="V16" s="4" t="inlineStr"/>
    </row>
    <row r="17" ht="22" customHeight="1">
      <c r="A17" s="33">
        <f>'01_인적정보'!A17</f>
        <v/>
      </c>
      <c r="B17" s="33">
        <f>'01_인적정보'!B17</f>
        <v/>
      </c>
      <c r="C17" s="8">
        <f>'01_인적정보'!C17</f>
        <v/>
      </c>
      <c r="D17" s="8">
        <f>'01_인적정보'!D17</f>
        <v/>
      </c>
      <c r="E17" s="8">
        <f>'01_인적정보'!E17</f>
        <v/>
      </c>
      <c r="F17" s="16">
        <f>'01_인적정보'!H17</f>
        <v/>
      </c>
      <c r="G17" s="20">
        <f>'04_역할평가'!O24</f>
        <v/>
      </c>
      <c r="H17" s="20">
        <f>'04_역할평가'!O69</f>
        <v/>
      </c>
      <c r="I17" s="56">
        <f>IF(OR(G17="",H17=""),"",(IF(G17="S",5,IF(G17="A",4,IF(G17="B",3,IF(G17="C",2,IF(G17="D",1,0))))) * '02_의사결정·종합결과'!$B$7 + IF(H17="S",5,IF(H17="A",4,IF(H17="B",3,IF(H17="C",2,IF(H17="D",1,0))))) * '02_의사결정·종합결과'!$B$8))</f>
        <v/>
      </c>
      <c r="J17" s="20">
        <f>'05_공통역량평가'!Q17</f>
        <v/>
      </c>
      <c r="K17" s="20">
        <f>'05_공통역량평가'!Q57</f>
        <v/>
      </c>
      <c r="L17" s="56">
        <f>IF(OR(J17="",K17=""),"",IF(J17="S",5,IF(J17="A",4,IF(J17="B",3,IF(J17="C",2,IF(J17="D",1,0))))) * '02_의사결정·종합결과'!$B$7 + IF(K17="S",5,IF(K17="A",4,IF(K17="B",3,IF(K17="C",2,IF(K17="D",1,0))))) * '02_의사결정·종합결과'!$B$8)</f>
        <v/>
      </c>
      <c r="M17" s="20">
        <f>'06_직무역량평가'!J17</f>
        <v/>
      </c>
      <c r="N17" s="20">
        <f>'06_직무역량평가'!J62</f>
        <v/>
      </c>
      <c r="O17" s="56">
        <f>IF(OR(M17="",N17=""),"",IF(M17="S",5,IF(M17="A",4,IF(M17="B",3,IF(M17="C",2,IF(M17="D",1,0))))) * '02_의사결정·종합결과'!$B$7 + IF(N17="S",5,IF(N17="A",4,IF(N17="B",3,IF(N17="C",2,IF(N17="D",1,0))))) * '02_의사결정·종합결과'!$B$8)</f>
        <v/>
      </c>
      <c r="P17" s="30">
        <f>IFERROR(VLOOKUP(F17,'02_의사결정·종합결과'!$A$16:$D$22,2,FALSE),"")</f>
        <v/>
      </c>
      <c r="Q17" s="30">
        <f>IFERROR(VLOOKUP(F17,'02_의사결정·종합결과'!$A$16:$D$22,3,FALSE),"")</f>
        <v/>
      </c>
      <c r="R17" s="30">
        <f>IFERROR(VLOOKUP(F17,'02_의사결정·종합결과'!$A$16:$D$22,4,FALSE),"")</f>
        <v/>
      </c>
      <c r="S17" s="60">
        <f>IF(OR(I17="",L17="",O17=""),"",I17*P17+L17*Q17+O17*R17)</f>
        <v/>
      </c>
      <c r="T17" s="57">
        <f>IF(S17="","",IF(S17&gt;=4.5,"S",IF(S17&gt;=3.5,"A",IF(S17&gt;=2.5,"B",IF(S17&gt;=1.5,"C","D")))))</f>
        <v/>
      </c>
      <c r="U17" s="61">
        <f>IF('02_의사결정·종합결과'!$B$6="절대평가",T17,T17)</f>
        <v/>
      </c>
      <c r="V17" s="4" t="inlineStr"/>
    </row>
    <row r="18" ht="22" customHeight="1">
      <c r="A18" s="33">
        <f>'01_인적정보'!A18</f>
        <v/>
      </c>
      <c r="B18" s="33">
        <f>'01_인적정보'!B18</f>
        <v/>
      </c>
      <c r="C18" s="8">
        <f>'01_인적정보'!C18</f>
        <v/>
      </c>
      <c r="D18" s="8">
        <f>'01_인적정보'!D18</f>
        <v/>
      </c>
      <c r="E18" s="8">
        <f>'01_인적정보'!E18</f>
        <v/>
      </c>
      <c r="F18" s="16">
        <f>'01_인적정보'!H18</f>
        <v/>
      </c>
      <c r="G18" s="20">
        <f>'04_역할평가'!O25</f>
        <v/>
      </c>
      <c r="H18" s="20">
        <f>'04_역할평가'!O70</f>
        <v/>
      </c>
      <c r="I18" s="56">
        <f>IF(OR(G18="",H18=""),"",(IF(G18="S",5,IF(G18="A",4,IF(G18="B",3,IF(G18="C",2,IF(G18="D",1,0))))) * '02_의사결정·종합결과'!$B$7 + IF(H18="S",5,IF(H18="A",4,IF(H18="B",3,IF(H18="C",2,IF(H18="D",1,0))))) * '02_의사결정·종합결과'!$B$8))</f>
        <v/>
      </c>
      <c r="J18" s="20">
        <f>'05_공통역량평가'!Q18</f>
        <v/>
      </c>
      <c r="K18" s="20">
        <f>'05_공통역량평가'!Q58</f>
        <v/>
      </c>
      <c r="L18" s="56">
        <f>IF(OR(J18="",K18=""),"",IF(J18="S",5,IF(J18="A",4,IF(J18="B",3,IF(J18="C",2,IF(J18="D",1,0))))) * '02_의사결정·종합결과'!$B$7 + IF(K18="S",5,IF(K18="A",4,IF(K18="B",3,IF(K18="C",2,IF(K18="D",1,0))))) * '02_의사결정·종합결과'!$B$8)</f>
        <v/>
      </c>
      <c r="M18" s="20">
        <f>'06_직무역량평가'!J18</f>
        <v/>
      </c>
      <c r="N18" s="20">
        <f>'06_직무역량평가'!J63</f>
        <v/>
      </c>
      <c r="O18" s="56">
        <f>IF(OR(M18="",N18=""),"",IF(M18="S",5,IF(M18="A",4,IF(M18="B",3,IF(M18="C",2,IF(M18="D",1,0))))) * '02_의사결정·종합결과'!$B$7 + IF(N18="S",5,IF(N18="A",4,IF(N18="B",3,IF(N18="C",2,IF(N18="D",1,0))))) * '02_의사결정·종합결과'!$B$8)</f>
        <v/>
      </c>
      <c r="P18" s="30">
        <f>IFERROR(VLOOKUP(F18,'02_의사결정·종합결과'!$A$16:$D$22,2,FALSE),"")</f>
        <v/>
      </c>
      <c r="Q18" s="30">
        <f>IFERROR(VLOOKUP(F18,'02_의사결정·종합결과'!$A$16:$D$22,3,FALSE),"")</f>
        <v/>
      </c>
      <c r="R18" s="30">
        <f>IFERROR(VLOOKUP(F18,'02_의사결정·종합결과'!$A$16:$D$22,4,FALSE),"")</f>
        <v/>
      </c>
      <c r="S18" s="60">
        <f>IF(OR(I18="",L18="",O18=""),"",I18*P18+L18*Q18+O18*R18)</f>
        <v/>
      </c>
      <c r="T18" s="57">
        <f>IF(S18="","",IF(S18&gt;=4.5,"S",IF(S18&gt;=3.5,"A",IF(S18&gt;=2.5,"B",IF(S18&gt;=1.5,"C","D")))))</f>
        <v/>
      </c>
      <c r="U18" s="61">
        <f>IF('02_의사결정·종합결과'!$B$6="절대평가",T18,T18)</f>
        <v/>
      </c>
      <c r="V18" s="4" t="inlineStr"/>
    </row>
    <row r="19" ht="22" customHeight="1">
      <c r="A19" s="33">
        <f>'01_인적정보'!A19</f>
        <v/>
      </c>
      <c r="B19" s="33">
        <f>'01_인적정보'!B19</f>
        <v/>
      </c>
      <c r="C19" s="8">
        <f>'01_인적정보'!C19</f>
        <v/>
      </c>
      <c r="D19" s="8">
        <f>'01_인적정보'!D19</f>
        <v/>
      </c>
      <c r="E19" s="8">
        <f>'01_인적정보'!E19</f>
        <v/>
      </c>
      <c r="F19" s="16">
        <f>'01_인적정보'!H19</f>
        <v/>
      </c>
      <c r="G19" s="20">
        <f>'04_역할평가'!O26</f>
        <v/>
      </c>
      <c r="H19" s="20">
        <f>'04_역할평가'!O71</f>
        <v/>
      </c>
      <c r="I19" s="56">
        <f>IF(OR(G19="",H19=""),"",(IF(G19="S",5,IF(G19="A",4,IF(G19="B",3,IF(G19="C",2,IF(G19="D",1,0))))) * '02_의사결정·종합결과'!$B$7 + IF(H19="S",5,IF(H19="A",4,IF(H19="B",3,IF(H19="C",2,IF(H19="D",1,0))))) * '02_의사결정·종합결과'!$B$8))</f>
        <v/>
      </c>
      <c r="J19" s="20">
        <f>'05_공통역량평가'!Q19</f>
        <v/>
      </c>
      <c r="K19" s="20">
        <f>'05_공통역량평가'!Q59</f>
        <v/>
      </c>
      <c r="L19" s="56">
        <f>IF(OR(J19="",K19=""),"",IF(J19="S",5,IF(J19="A",4,IF(J19="B",3,IF(J19="C",2,IF(J19="D",1,0))))) * '02_의사결정·종합결과'!$B$7 + IF(K19="S",5,IF(K19="A",4,IF(K19="B",3,IF(K19="C",2,IF(K19="D",1,0))))) * '02_의사결정·종합결과'!$B$8)</f>
        <v/>
      </c>
      <c r="M19" s="20">
        <f>'06_직무역량평가'!J19</f>
        <v/>
      </c>
      <c r="N19" s="20">
        <f>'06_직무역량평가'!J64</f>
        <v/>
      </c>
      <c r="O19" s="56">
        <f>IF(OR(M19="",N19=""),"",IF(M19="S",5,IF(M19="A",4,IF(M19="B",3,IF(M19="C",2,IF(M19="D",1,0))))) * '02_의사결정·종합결과'!$B$7 + IF(N19="S",5,IF(N19="A",4,IF(N19="B",3,IF(N19="C",2,IF(N19="D",1,0))))) * '02_의사결정·종합결과'!$B$8)</f>
        <v/>
      </c>
      <c r="P19" s="30">
        <f>IFERROR(VLOOKUP(F19,'02_의사결정·종합결과'!$A$16:$D$22,2,FALSE),"")</f>
        <v/>
      </c>
      <c r="Q19" s="30">
        <f>IFERROR(VLOOKUP(F19,'02_의사결정·종합결과'!$A$16:$D$22,3,FALSE),"")</f>
        <v/>
      </c>
      <c r="R19" s="30">
        <f>IFERROR(VLOOKUP(F19,'02_의사결정·종합결과'!$A$16:$D$22,4,FALSE),"")</f>
        <v/>
      </c>
      <c r="S19" s="60">
        <f>IF(OR(I19="",L19="",O19=""),"",I19*P19+L19*Q19+O19*R19)</f>
        <v/>
      </c>
      <c r="T19" s="57">
        <f>IF(S19="","",IF(S19&gt;=4.5,"S",IF(S19&gt;=3.5,"A",IF(S19&gt;=2.5,"B",IF(S19&gt;=1.5,"C","D")))))</f>
        <v/>
      </c>
      <c r="U19" s="61">
        <f>IF('02_의사결정·종합결과'!$B$6="절대평가",T19,T19)</f>
        <v/>
      </c>
      <c r="V19" s="4" t="inlineStr"/>
    </row>
    <row r="20" ht="22" customHeight="1">
      <c r="A20" s="33">
        <f>'01_인적정보'!A20</f>
        <v/>
      </c>
      <c r="B20" s="33">
        <f>'01_인적정보'!B20</f>
        <v/>
      </c>
      <c r="C20" s="8">
        <f>'01_인적정보'!C20</f>
        <v/>
      </c>
      <c r="D20" s="8">
        <f>'01_인적정보'!D20</f>
        <v/>
      </c>
      <c r="E20" s="8">
        <f>'01_인적정보'!E20</f>
        <v/>
      </c>
      <c r="F20" s="16">
        <f>'01_인적정보'!H20</f>
        <v/>
      </c>
      <c r="G20" s="20">
        <f>'04_역할평가'!O27</f>
        <v/>
      </c>
      <c r="H20" s="20">
        <f>'04_역할평가'!O72</f>
        <v/>
      </c>
      <c r="I20" s="56">
        <f>IF(OR(G20="",H20=""),"",(IF(G20="S",5,IF(G20="A",4,IF(G20="B",3,IF(G20="C",2,IF(G20="D",1,0))))) * '02_의사결정·종합결과'!$B$7 + IF(H20="S",5,IF(H20="A",4,IF(H20="B",3,IF(H20="C",2,IF(H20="D",1,0))))) * '02_의사결정·종합결과'!$B$8))</f>
        <v/>
      </c>
      <c r="J20" s="20">
        <f>'05_공통역량평가'!Q20</f>
        <v/>
      </c>
      <c r="K20" s="20">
        <f>'05_공통역량평가'!Q60</f>
        <v/>
      </c>
      <c r="L20" s="56">
        <f>IF(OR(J20="",K20=""),"",IF(J20="S",5,IF(J20="A",4,IF(J20="B",3,IF(J20="C",2,IF(J20="D",1,0))))) * '02_의사결정·종합결과'!$B$7 + IF(K20="S",5,IF(K20="A",4,IF(K20="B",3,IF(K20="C",2,IF(K20="D",1,0))))) * '02_의사결정·종합결과'!$B$8)</f>
        <v/>
      </c>
      <c r="M20" s="20">
        <f>'06_직무역량평가'!J20</f>
        <v/>
      </c>
      <c r="N20" s="20">
        <f>'06_직무역량평가'!J65</f>
        <v/>
      </c>
      <c r="O20" s="56">
        <f>IF(OR(M20="",N20=""),"",IF(M20="S",5,IF(M20="A",4,IF(M20="B",3,IF(M20="C",2,IF(M20="D",1,0))))) * '02_의사결정·종합결과'!$B$7 + IF(N20="S",5,IF(N20="A",4,IF(N20="B",3,IF(N20="C",2,IF(N20="D",1,0))))) * '02_의사결정·종합결과'!$B$8)</f>
        <v/>
      </c>
      <c r="P20" s="30">
        <f>IFERROR(VLOOKUP(F20,'02_의사결정·종합결과'!$A$16:$D$22,2,FALSE),"")</f>
        <v/>
      </c>
      <c r="Q20" s="30">
        <f>IFERROR(VLOOKUP(F20,'02_의사결정·종합결과'!$A$16:$D$22,3,FALSE),"")</f>
        <v/>
      </c>
      <c r="R20" s="30">
        <f>IFERROR(VLOOKUP(F20,'02_의사결정·종합결과'!$A$16:$D$22,4,FALSE),"")</f>
        <v/>
      </c>
      <c r="S20" s="60">
        <f>IF(OR(I20="",L20="",O20=""),"",I20*P20+L20*Q20+O20*R20)</f>
        <v/>
      </c>
      <c r="T20" s="57">
        <f>IF(S20="","",IF(S20&gt;=4.5,"S",IF(S20&gt;=3.5,"A",IF(S20&gt;=2.5,"B",IF(S20&gt;=1.5,"C","D")))))</f>
        <v/>
      </c>
      <c r="U20" s="61">
        <f>IF('02_의사결정·종합결과'!$B$6="절대평가",T20,T20)</f>
        <v/>
      </c>
      <c r="V20" s="4" t="inlineStr"/>
    </row>
    <row r="21" ht="22" customHeight="1">
      <c r="A21" s="33">
        <f>'01_인적정보'!A21</f>
        <v/>
      </c>
      <c r="B21" s="33">
        <f>'01_인적정보'!B21</f>
        <v/>
      </c>
      <c r="C21" s="8">
        <f>'01_인적정보'!C21</f>
        <v/>
      </c>
      <c r="D21" s="8">
        <f>'01_인적정보'!D21</f>
        <v/>
      </c>
      <c r="E21" s="8">
        <f>'01_인적정보'!E21</f>
        <v/>
      </c>
      <c r="F21" s="16">
        <f>'01_인적정보'!H21</f>
        <v/>
      </c>
      <c r="G21" s="20">
        <f>'04_역할평가'!O28</f>
        <v/>
      </c>
      <c r="H21" s="20">
        <f>'04_역할평가'!O73</f>
        <v/>
      </c>
      <c r="I21" s="56">
        <f>IF(OR(G21="",H21=""),"",(IF(G21="S",5,IF(G21="A",4,IF(G21="B",3,IF(G21="C",2,IF(G21="D",1,0))))) * '02_의사결정·종합결과'!$B$7 + IF(H21="S",5,IF(H21="A",4,IF(H21="B",3,IF(H21="C",2,IF(H21="D",1,0))))) * '02_의사결정·종합결과'!$B$8))</f>
        <v/>
      </c>
      <c r="J21" s="20">
        <f>'05_공통역량평가'!Q21</f>
        <v/>
      </c>
      <c r="K21" s="20">
        <f>'05_공통역량평가'!Q61</f>
        <v/>
      </c>
      <c r="L21" s="56">
        <f>IF(OR(J21="",K21=""),"",IF(J21="S",5,IF(J21="A",4,IF(J21="B",3,IF(J21="C",2,IF(J21="D",1,0))))) * '02_의사결정·종합결과'!$B$7 + IF(K21="S",5,IF(K21="A",4,IF(K21="B",3,IF(K21="C",2,IF(K21="D",1,0))))) * '02_의사결정·종합결과'!$B$8)</f>
        <v/>
      </c>
      <c r="M21" s="20">
        <f>'06_직무역량평가'!J21</f>
        <v/>
      </c>
      <c r="N21" s="20">
        <f>'06_직무역량평가'!J66</f>
        <v/>
      </c>
      <c r="O21" s="56">
        <f>IF(OR(M21="",N21=""),"",IF(M21="S",5,IF(M21="A",4,IF(M21="B",3,IF(M21="C",2,IF(M21="D",1,0))))) * '02_의사결정·종합결과'!$B$7 + IF(N21="S",5,IF(N21="A",4,IF(N21="B",3,IF(N21="C",2,IF(N21="D",1,0))))) * '02_의사결정·종합결과'!$B$8)</f>
        <v/>
      </c>
      <c r="P21" s="30">
        <f>IFERROR(VLOOKUP(F21,'02_의사결정·종합결과'!$A$16:$D$22,2,FALSE),"")</f>
        <v/>
      </c>
      <c r="Q21" s="30">
        <f>IFERROR(VLOOKUP(F21,'02_의사결정·종합결과'!$A$16:$D$22,3,FALSE),"")</f>
        <v/>
      </c>
      <c r="R21" s="30">
        <f>IFERROR(VLOOKUP(F21,'02_의사결정·종합결과'!$A$16:$D$22,4,FALSE),"")</f>
        <v/>
      </c>
      <c r="S21" s="60">
        <f>IF(OR(I21="",L21="",O21=""),"",I21*P21+L21*Q21+O21*R21)</f>
        <v/>
      </c>
      <c r="T21" s="57">
        <f>IF(S21="","",IF(S21&gt;=4.5,"S",IF(S21&gt;=3.5,"A",IF(S21&gt;=2.5,"B",IF(S21&gt;=1.5,"C","D")))))</f>
        <v/>
      </c>
      <c r="U21" s="61">
        <f>IF('02_의사결정·종합결과'!$B$6="절대평가",T21,T21)</f>
        <v/>
      </c>
      <c r="V21" s="4" t="inlineStr"/>
    </row>
    <row r="22" ht="22" customHeight="1">
      <c r="A22" s="33">
        <f>'01_인적정보'!A22</f>
        <v/>
      </c>
      <c r="B22" s="33">
        <f>'01_인적정보'!B22</f>
        <v/>
      </c>
      <c r="C22" s="8">
        <f>'01_인적정보'!C22</f>
        <v/>
      </c>
      <c r="D22" s="8">
        <f>'01_인적정보'!D22</f>
        <v/>
      </c>
      <c r="E22" s="8">
        <f>'01_인적정보'!E22</f>
        <v/>
      </c>
      <c r="F22" s="16">
        <f>'01_인적정보'!H22</f>
        <v/>
      </c>
      <c r="G22" s="20">
        <f>'04_역할평가'!O29</f>
        <v/>
      </c>
      <c r="H22" s="20">
        <f>'04_역할평가'!O74</f>
        <v/>
      </c>
      <c r="I22" s="56">
        <f>IF(OR(G22="",H22=""),"",(IF(G22="S",5,IF(G22="A",4,IF(G22="B",3,IF(G22="C",2,IF(G22="D",1,0))))) * '02_의사결정·종합결과'!$B$7 + IF(H22="S",5,IF(H22="A",4,IF(H22="B",3,IF(H22="C",2,IF(H22="D",1,0))))) * '02_의사결정·종합결과'!$B$8))</f>
        <v/>
      </c>
      <c r="J22" s="20">
        <f>'05_공통역량평가'!Q22</f>
        <v/>
      </c>
      <c r="K22" s="20">
        <f>'05_공통역량평가'!Q62</f>
        <v/>
      </c>
      <c r="L22" s="56">
        <f>IF(OR(J22="",K22=""),"",IF(J22="S",5,IF(J22="A",4,IF(J22="B",3,IF(J22="C",2,IF(J22="D",1,0))))) * '02_의사결정·종합결과'!$B$7 + IF(K22="S",5,IF(K22="A",4,IF(K22="B",3,IF(K22="C",2,IF(K22="D",1,0))))) * '02_의사결정·종합결과'!$B$8)</f>
        <v/>
      </c>
      <c r="M22" s="20">
        <f>'06_직무역량평가'!J22</f>
        <v/>
      </c>
      <c r="N22" s="20">
        <f>'06_직무역량평가'!J67</f>
        <v/>
      </c>
      <c r="O22" s="56">
        <f>IF(OR(M22="",N22=""),"",IF(M22="S",5,IF(M22="A",4,IF(M22="B",3,IF(M22="C",2,IF(M22="D",1,0))))) * '02_의사결정·종합결과'!$B$7 + IF(N22="S",5,IF(N22="A",4,IF(N22="B",3,IF(N22="C",2,IF(N22="D",1,0))))) * '02_의사결정·종합결과'!$B$8)</f>
        <v/>
      </c>
      <c r="P22" s="30">
        <f>IFERROR(VLOOKUP(F22,'02_의사결정·종합결과'!$A$16:$D$22,2,FALSE),"")</f>
        <v/>
      </c>
      <c r="Q22" s="30">
        <f>IFERROR(VLOOKUP(F22,'02_의사결정·종합결과'!$A$16:$D$22,3,FALSE),"")</f>
        <v/>
      </c>
      <c r="R22" s="30">
        <f>IFERROR(VLOOKUP(F22,'02_의사결정·종합결과'!$A$16:$D$22,4,FALSE),"")</f>
        <v/>
      </c>
      <c r="S22" s="60">
        <f>IF(OR(I22="",L22="",O22=""),"",I22*P22+L22*Q22+O22*R22)</f>
        <v/>
      </c>
      <c r="T22" s="57">
        <f>IF(S22="","",IF(S22&gt;=4.5,"S",IF(S22&gt;=3.5,"A",IF(S22&gt;=2.5,"B",IF(S22&gt;=1.5,"C","D")))))</f>
        <v/>
      </c>
      <c r="U22" s="61">
        <f>IF('02_의사결정·종합결과'!$B$6="절대평가",T22,T22)</f>
        <v/>
      </c>
      <c r="V22" s="4" t="inlineStr"/>
    </row>
    <row r="23" ht="22" customHeight="1">
      <c r="A23" s="33">
        <f>'01_인적정보'!A23</f>
        <v/>
      </c>
      <c r="B23" s="33">
        <f>'01_인적정보'!B23</f>
        <v/>
      </c>
      <c r="C23" s="8">
        <f>'01_인적정보'!C23</f>
        <v/>
      </c>
      <c r="D23" s="8">
        <f>'01_인적정보'!D23</f>
        <v/>
      </c>
      <c r="E23" s="8">
        <f>'01_인적정보'!E23</f>
        <v/>
      </c>
      <c r="F23" s="16">
        <f>'01_인적정보'!H23</f>
        <v/>
      </c>
      <c r="G23" s="20">
        <f>'04_역할평가'!O30</f>
        <v/>
      </c>
      <c r="H23" s="20">
        <f>'04_역할평가'!O75</f>
        <v/>
      </c>
      <c r="I23" s="56">
        <f>IF(OR(G23="",H23=""),"",(IF(G23="S",5,IF(G23="A",4,IF(G23="B",3,IF(G23="C",2,IF(G23="D",1,0))))) * '02_의사결정·종합결과'!$B$7 + IF(H23="S",5,IF(H23="A",4,IF(H23="B",3,IF(H23="C",2,IF(H23="D",1,0))))) * '02_의사결정·종합결과'!$B$8))</f>
        <v/>
      </c>
      <c r="J23" s="20">
        <f>'05_공통역량평가'!Q23</f>
        <v/>
      </c>
      <c r="K23" s="20">
        <f>'05_공통역량평가'!Q63</f>
        <v/>
      </c>
      <c r="L23" s="56">
        <f>IF(OR(J23="",K23=""),"",IF(J23="S",5,IF(J23="A",4,IF(J23="B",3,IF(J23="C",2,IF(J23="D",1,0))))) * '02_의사결정·종합결과'!$B$7 + IF(K23="S",5,IF(K23="A",4,IF(K23="B",3,IF(K23="C",2,IF(K23="D",1,0))))) * '02_의사결정·종합결과'!$B$8)</f>
        <v/>
      </c>
      <c r="M23" s="20">
        <f>'06_직무역량평가'!J23</f>
        <v/>
      </c>
      <c r="N23" s="20">
        <f>'06_직무역량평가'!J68</f>
        <v/>
      </c>
      <c r="O23" s="56">
        <f>IF(OR(M23="",N23=""),"",IF(M23="S",5,IF(M23="A",4,IF(M23="B",3,IF(M23="C",2,IF(M23="D",1,0))))) * '02_의사결정·종합결과'!$B$7 + IF(N23="S",5,IF(N23="A",4,IF(N23="B",3,IF(N23="C",2,IF(N23="D",1,0))))) * '02_의사결정·종합결과'!$B$8)</f>
        <v/>
      </c>
      <c r="P23" s="30">
        <f>IFERROR(VLOOKUP(F23,'02_의사결정·종합결과'!$A$16:$D$22,2,FALSE),"")</f>
        <v/>
      </c>
      <c r="Q23" s="30">
        <f>IFERROR(VLOOKUP(F23,'02_의사결정·종합결과'!$A$16:$D$22,3,FALSE),"")</f>
        <v/>
      </c>
      <c r="R23" s="30">
        <f>IFERROR(VLOOKUP(F23,'02_의사결정·종합결과'!$A$16:$D$22,4,FALSE),"")</f>
        <v/>
      </c>
      <c r="S23" s="60">
        <f>IF(OR(I23="",L23="",O23=""),"",I23*P23+L23*Q23+O23*R23)</f>
        <v/>
      </c>
      <c r="T23" s="57">
        <f>IF(S23="","",IF(S23&gt;=4.5,"S",IF(S23&gt;=3.5,"A",IF(S23&gt;=2.5,"B",IF(S23&gt;=1.5,"C","D")))))</f>
        <v/>
      </c>
      <c r="U23" s="61">
        <f>IF('02_의사결정·종합결과'!$B$6="절대평가",T23,T23)</f>
        <v/>
      </c>
      <c r="V23" s="4" t="inlineStr"/>
    </row>
    <row r="24" ht="22" customHeight="1">
      <c r="A24" s="33">
        <f>'01_인적정보'!A24</f>
        <v/>
      </c>
      <c r="B24" s="33">
        <f>'01_인적정보'!B24</f>
        <v/>
      </c>
      <c r="C24" s="8">
        <f>'01_인적정보'!C24</f>
        <v/>
      </c>
      <c r="D24" s="8">
        <f>'01_인적정보'!D24</f>
        <v/>
      </c>
      <c r="E24" s="8">
        <f>'01_인적정보'!E24</f>
        <v/>
      </c>
      <c r="F24" s="16">
        <f>'01_인적정보'!H24</f>
        <v/>
      </c>
      <c r="G24" s="20">
        <f>'04_역할평가'!O31</f>
        <v/>
      </c>
      <c r="H24" s="20">
        <f>'04_역할평가'!O76</f>
        <v/>
      </c>
      <c r="I24" s="56">
        <f>IF(OR(G24="",H24=""),"",(IF(G24="S",5,IF(G24="A",4,IF(G24="B",3,IF(G24="C",2,IF(G24="D",1,0))))) * '02_의사결정·종합결과'!$B$7 + IF(H24="S",5,IF(H24="A",4,IF(H24="B",3,IF(H24="C",2,IF(H24="D",1,0))))) * '02_의사결정·종합결과'!$B$8))</f>
        <v/>
      </c>
      <c r="J24" s="20">
        <f>'05_공통역량평가'!Q24</f>
        <v/>
      </c>
      <c r="K24" s="20">
        <f>'05_공통역량평가'!Q64</f>
        <v/>
      </c>
      <c r="L24" s="56">
        <f>IF(OR(J24="",K24=""),"",IF(J24="S",5,IF(J24="A",4,IF(J24="B",3,IF(J24="C",2,IF(J24="D",1,0))))) * '02_의사결정·종합결과'!$B$7 + IF(K24="S",5,IF(K24="A",4,IF(K24="B",3,IF(K24="C",2,IF(K24="D",1,0))))) * '02_의사결정·종합결과'!$B$8)</f>
        <v/>
      </c>
      <c r="M24" s="20">
        <f>'06_직무역량평가'!J24</f>
        <v/>
      </c>
      <c r="N24" s="20">
        <f>'06_직무역량평가'!J69</f>
        <v/>
      </c>
      <c r="O24" s="56">
        <f>IF(OR(M24="",N24=""),"",IF(M24="S",5,IF(M24="A",4,IF(M24="B",3,IF(M24="C",2,IF(M24="D",1,0))))) * '02_의사결정·종합결과'!$B$7 + IF(N24="S",5,IF(N24="A",4,IF(N24="B",3,IF(N24="C",2,IF(N24="D",1,0))))) * '02_의사결정·종합결과'!$B$8)</f>
        <v/>
      </c>
      <c r="P24" s="30">
        <f>IFERROR(VLOOKUP(F24,'02_의사결정·종합결과'!$A$16:$D$22,2,FALSE),"")</f>
        <v/>
      </c>
      <c r="Q24" s="30">
        <f>IFERROR(VLOOKUP(F24,'02_의사결정·종합결과'!$A$16:$D$22,3,FALSE),"")</f>
        <v/>
      </c>
      <c r="R24" s="30">
        <f>IFERROR(VLOOKUP(F24,'02_의사결정·종합결과'!$A$16:$D$22,4,FALSE),"")</f>
        <v/>
      </c>
      <c r="S24" s="60">
        <f>IF(OR(I24="",L24="",O24=""),"",I24*P24+L24*Q24+O24*R24)</f>
        <v/>
      </c>
      <c r="T24" s="57">
        <f>IF(S24="","",IF(S24&gt;=4.5,"S",IF(S24&gt;=3.5,"A",IF(S24&gt;=2.5,"B",IF(S24&gt;=1.5,"C","D")))))</f>
        <v/>
      </c>
      <c r="U24" s="61">
        <f>IF('02_의사결정·종합결과'!$B$6="절대평가",T24,T24)</f>
        <v/>
      </c>
      <c r="V24" s="4" t="inlineStr"/>
    </row>
    <row r="25" ht="22" customHeight="1">
      <c r="A25" s="33">
        <f>'01_인적정보'!A25</f>
        <v/>
      </c>
      <c r="B25" s="33">
        <f>'01_인적정보'!B25</f>
        <v/>
      </c>
      <c r="C25" s="8">
        <f>'01_인적정보'!C25</f>
        <v/>
      </c>
      <c r="D25" s="8">
        <f>'01_인적정보'!D25</f>
        <v/>
      </c>
      <c r="E25" s="8">
        <f>'01_인적정보'!E25</f>
        <v/>
      </c>
      <c r="F25" s="16">
        <f>'01_인적정보'!H25</f>
        <v/>
      </c>
      <c r="G25" s="20">
        <f>'04_역할평가'!O32</f>
        <v/>
      </c>
      <c r="H25" s="20">
        <f>'04_역할평가'!O77</f>
        <v/>
      </c>
      <c r="I25" s="56">
        <f>IF(OR(G25="",H25=""),"",(IF(G25="S",5,IF(G25="A",4,IF(G25="B",3,IF(G25="C",2,IF(G25="D",1,0))))) * '02_의사결정·종합결과'!$B$7 + IF(H25="S",5,IF(H25="A",4,IF(H25="B",3,IF(H25="C",2,IF(H25="D",1,0))))) * '02_의사결정·종합결과'!$B$8))</f>
        <v/>
      </c>
      <c r="J25" s="20">
        <f>'05_공통역량평가'!Q25</f>
        <v/>
      </c>
      <c r="K25" s="20">
        <f>'05_공통역량평가'!Q65</f>
        <v/>
      </c>
      <c r="L25" s="56">
        <f>IF(OR(J25="",K25=""),"",IF(J25="S",5,IF(J25="A",4,IF(J25="B",3,IF(J25="C",2,IF(J25="D",1,0))))) * '02_의사결정·종합결과'!$B$7 + IF(K25="S",5,IF(K25="A",4,IF(K25="B",3,IF(K25="C",2,IF(K25="D",1,0))))) * '02_의사결정·종합결과'!$B$8)</f>
        <v/>
      </c>
      <c r="M25" s="20">
        <f>'06_직무역량평가'!J25</f>
        <v/>
      </c>
      <c r="N25" s="20">
        <f>'06_직무역량평가'!J70</f>
        <v/>
      </c>
      <c r="O25" s="56">
        <f>IF(OR(M25="",N25=""),"",IF(M25="S",5,IF(M25="A",4,IF(M25="B",3,IF(M25="C",2,IF(M25="D",1,0))))) * '02_의사결정·종합결과'!$B$7 + IF(N25="S",5,IF(N25="A",4,IF(N25="B",3,IF(N25="C",2,IF(N25="D",1,0))))) * '02_의사결정·종합결과'!$B$8)</f>
        <v/>
      </c>
      <c r="P25" s="30">
        <f>IFERROR(VLOOKUP(F25,'02_의사결정·종합결과'!$A$16:$D$22,2,FALSE),"")</f>
        <v/>
      </c>
      <c r="Q25" s="30">
        <f>IFERROR(VLOOKUP(F25,'02_의사결정·종합결과'!$A$16:$D$22,3,FALSE),"")</f>
        <v/>
      </c>
      <c r="R25" s="30">
        <f>IFERROR(VLOOKUP(F25,'02_의사결정·종합결과'!$A$16:$D$22,4,FALSE),"")</f>
        <v/>
      </c>
      <c r="S25" s="60">
        <f>IF(OR(I25="",L25="",O25=""),"",I25*P25+L25*Q25+O25*R25)</f>
        <v/>
      </c>
      <c r="T25" s="57">
        <f>IF(S25="","",IF(S25&gt;=4.5,"S",IF(S25&gt;=3.5,"A",IF(S25&gt;=2.5,"B",IF(S25&gt;=1.5,"C","D")))))</f>
        <v/>
      </c>
      <c r="U25" s="61">
        <f>IF('02_의사결정·종합결과'!$B$6="절대평가",T25,T25)</f>
        <v/>
      </c>
      <c r="V25" s="4" t="inlineStr"/>
    </row>
    <row r="26" ht="22" customHeight="1">
      <c r="A26" s="33">
        <f>'01_인적정보'!A26</f>
        <v/>
      </c>
      <c r="B26" s="33">
        <f>'01_인적정보'!B26</f>
        <v/>
      </c>
      <c r="C26" s="8">
        <f>'01_인적정보'!C26</f>
        <v/>
      </c>
      <c r="D26" s="8">
        <f>'01_인적정보'!D26</f>
        <v/>
      </c>
      <c r="E26" s="8">
        <f>'01_인적정보'!E26</f>
        <v/>
      </c>
      <c r="F26" s="16">
        <f>'01_인적정보'!H26</f>
        <v/>
      </c>
      <c r="G26" s="20">
        <f>'04_역할평가'!O33</f>
        <v/>
      </c>
      <c r="H26" s="20">
        <f>'04_역할평가'!O78</f>
        <v/>
      </c>
      <c r="I26" s="56">
        <f>IF(OR(G26="",H26=""),"",(IF(G26="S",5,IF(G26="A",4,IF(G26="B",3,IF(G26="C",2,IF(G26="D",1,0))))) * '02_의사결정·종합결과'!$B$7 + IF(H26="S",5,IF(H26="A",4,IF(H26="B",3,IF(H26="C",2,IF(H26="D",1,0))))) * '02_의사결정·종합결과'!$B$8))</f>
        <v/>
      </c>
      <c r="J26" s="20">
        <f>'05_공통역량평가'!Q26</f>
        <v/>
      </c>
      <c r="K26" s="20">
        <f>'05_공통역량평가'!Q66</f>
        <v/>
      </c>
      <c r="L26" s="56">
        <f>IF(OR(J26="",K26=""),"",IF(J26="S",5,IF(J26="A",4,IF(J26="B",3,IF(J26="C",2,IF(J26="D",1,0))))) * '02_의사결정·종합결과'!$B$7 + IF(K26="S",5,IF(K26="A",4,IF(K26="B",3,IF(K26="C",2,IF(K26="D",1,0))))) * '02_의사결정·종합결과'!$B$8)</f>
        <v/>
      </c>
      <c r="M26" s="20">
        <f>'06_직무역량평가'!J26</f>
        <v/>
      </c>
      <c r="N26" s="20">
        <f>'06_직무역량평가'!J71</f>
        <v/>
      </c>
      <c r="O26" s="56">
        <f>IF(OR(M26="",N26=""),"",IF(M26="S",5,IF(M26="A",4,IF(M26="B",3,IF(M26="C",2,IF(M26="D",1,0))))) * '02_의사결정·종합결과'!$B$7 + IF(N26="S",5,IF(N26="A",4,IF(N26="B",3,IF(N26="C",2,IF(N26="D",1,0))))) * '02_의사결정·종합결과'!$B$8)</f>
        <v/>
      </c>
      <c r="P26" s="30">
        <f>IFERROR(VLOOKUP(F26,'02_의사결정·종합결과'!$A$16:$D$22,2,FALSE),"")</f>
        <v/>
      </c>
      <c r="Q26" s="30">
        <f>IFERROR(VLOOKUP(F26,'02_의사결정·종합결과'!$A$16:$D$22,3,FALSE),"")</f>
        <v/>
      </c>
      <c r="R26" s="30">
        <f>IFERROR(VLOOKUP(F26,'02_의사결정·종합결과'!$A$16:$D$22,4,FALSE),"")</f>
        <v/>
      </c>
      <c r="S26" s="60">
        <f>IF(OR(I26="",L26="",O26=""),"",I26*P26+L26*Q26+O26*R26)</f>
        <v/>
      </c>
      <c r="T26" s="57">
        <f>IF(S26="","",IF(S26&gt;=4.5,"S",IF(S26&gt;=3.5,"A",IF(S26&gt;=2.5,"B",IF(S26&gt;=1.5,"C","D")))))</f>
        <v/>
      </c>
      <c r="U26" s="61">
        <f>IF('02_의사결정·종합결과'!$B$6="절대평가",T26,T26)</f>
        <v/>
      </c>
      <c r="V26" s="4" t="inlineStr"/>
    </row>
    <row r="27" ht="22" customHeight="1">
      <c r="A27" s="33">
        <f>'01_인적정보'!A27</f>
        <v/>
      </c>
      <c r="B27" s="33">
        <f>'01_인적정보'!B27</f>
        <v/>
      </c>
      <c r="C27" s="8">
        <f>'01_인적정보'!C27</f>
        <v/>
      </c>
      <c r="D27" s="8">
        <f>'01_인적정보'!D27</f>
        <v/>
      </c>
      <c r="E27" s="8">
        <f>'01_인적정보'!E27</f>
        <v/>
      </c>
      <c r="F27" s="16">
        <f>'01_인적정보'!H27</f>
        <v/>
      </c>
      <c r="G27" s="20">
        <f>'04_역할평가'!O34</f>
        <v/>
      </c>
      <c r="H27" s="20">
        <f>'04_역할평가'!O79</f>
        <v/>
      </c>
      <c r="I27" s="56">
        <f>IF(OR(G27="",H27=""),"",(IF(G27="S",5,IF(G27="A",4,IF(G27="B",3,IF(G27="C",2,IF(G27="D",1,0))))) * '02_의사결정·종합결과'!$B$7 + IF(H27="S",5,IF(H27="A",4,IF(H27="B",3,IF(H27="C",2,IF(H27="D",1,0))))) * '02_의사결정·종합결과'!$B$8))</f>
        <v/>
      </c>
      <c r="J27" s="20">
        <f>'05_공통역량평가'!Q27</f>
        <v/>
      </c>
      <c r="K27" s="20">
        <f>'05_공통역량평가'!Q67</f>
        <v/>
      </c>
      <c r="L27" s="56">
        <f>IF(OR(J27="",K27=""),"",IF(J27="S",5,IF(J27="A",4,IF(J27="B",3,IF(J27="C",2,IF(J27="D",1,0))))) * '02_의사결정·종합결과'!$B$7 + IF(K27="S",5,IF(K27="A",4,IF(K27="B",3,IF(K27="C",2,IF(K27="D",1,0))))) * '02_의사결정·종합결과'!$B$8)</f>
        <v/>
      </c>
      <c r="M27" s="20">
        <f>'06_직무역량평가'!J27</f>
        <v/>
      </c>
      <c r="N27" s="20">
        <f>'06_직무역량평가'!J72</f>
        <v/>
      </c>
      <c r="O27" s="56">
        <f>IF(OR(M27="",N27=""),"",IF(M27="S",5,IF(M27="A",4,IF(M27="B",3,IF(M27="C",2,IF(M27="D",1,0))))) * '02_의사결정·종합결과'!$B$7 + IF(N27="S",5,IF(N27="A",4,IF(N27="B",3,IF(N27="C",2,IF(N27="D",1,0))))) * '02_의사결정·종합결과'!$B$8)</f>
        <v/>
      </c>
      <c r="P27" s="30">
        <f>IFERROR(VLOOKUP(F27,'02_의사결정·종합결과'!$A$16:$D$22,2,FALSE),"")</f>
        <v/>
      </c>
      <c r="Q27" s="30">
        <f>IFERROR(VLOOKUP(F27,'02_의사결정·종합결과'!$A$16:$D$22,3,FALSE),"")</f>
        <v/>
      </c>
      <c r="R27" s="30">
        <f>IFERROR(VLOOKUP(F27,'02_의사결정·종합결과'!$A$16:$D$22,4,FALSE),"")</f>
        <v/>
      </c>
      <c r="S27" s="60">
        <f>IF(OR(I27="",L27="",O27=""),"",I27*P27+L27*Q27+O27*R27)</f>
        <v/>
      </c>
      <c r="T27" s="57">
        <f>IF(S27="","",IF(S27&gt;=4.5,"S",IF(S27&gt;=3.5,"A",IF(S27&gt;=2.5,"B",IF(S27&gt;=1.5,"C","D")))))</f>
        <v/>
      </c>
      <c r="U27" s="61">
        <f>IF('02_의사결정·종합결과'!$B$6="절대평가",T27,T27)</f>
        <v/>
      </c>
      <c r="V27" s="4" t="inlineStr"/>
    </row>
    <row r="28" ht="22" customHeight="1">
      <c r="A28" s="33">
        <f>'01_인적정보'!A28</f>
        <v/>
      </c>
      <c r="B28" s="33">
        <f>'01_인적정보'!B28</f>
        <v/>
      </c>
      <c r="C28" s="8">
        <f>'01_인적정보'!C28</f>
        <v/>
      </c>
      <c r="D28" s="8">
        <f>'01_인적정보'!D28</f>
        <v/>
      </c>
      <c r="E28" s="8">
        <f>'01_인적정보'!E28</f>
        <v/>
      </c>
      <c r="F28" s="16">
        <f>'01_인적정보'!H28</f>
        <v/>
      </c>
      <c r="G28" s="20">
        <f>'04_역할평가'!O35</f>
        <v/>
      </c>
      <c r="H28" s="20">
        <f>'04_역할평가'!O80</f>
        <v/>
      </c>
      <c r="I28" s="56">
        <f>IF(OR(G28="",H28=""),"",(IF(G28="S",5,IF(G28="A",4,IF(G28="B",3,IF(G28="C",2,IF(G28="D",1,0))))) * '02_의사결정·종합결과'!$B$7 + IF(H28="S",5,IF(H28="A",4,IF(H28="B",3,IF(H28="C",2,IF(H28="D",1,0))))) * '02_의사결정·종합결과'!$B$8))</f>
        <v/>
      </c>
      <c r="J28" s="20">
        <f>'05_공통역량평가'!Q28</f>
        <v/>
      </c>
      <c r="K28" s="20">
        <f>'05_공통역량평가'!Q68</f>
        <v/>
      </c>
      <c r="L28" s="56">
        <f>IF(OR(J28="",K28=""),"",IF(J28="S",5,IF(J28="A",4,IF(J28="B",3,IF(J28="C",2,IF(J28="D",1,0))))) * '02_의사결정·종합결과'!$B$7 + IF(K28="S",5,IF(K28="A",4,IF(K28="B",3,IF(K28="C",2,IF(K28="D",1,0))))) * '02_의사결정·종합결과'!$B$8)</f>
        <v/>
      </c>
      <c r="M28" s="20">
        <f>'06_직무역량평가'!J28</f>
        <v/>
      </c>
      <c r="N28" s="20">
        <f>'06_직무역량평가'!J73</f>
        <v/>
      </c>
      <c r="O28" s="56">
        <f>IF(OR(M28="",N28=""),"",IF(M28="S",5,IF(M28="A",4,IF(M28="B",3,IF(M28="C",2,IF(M28="D",1,0))))) * '02_의사결정·종합결과'!$B$7 + IF(N28="S",5,IF(N28="A",4,IF(N28="B",3,IF(N28="C",2,IF(N28="D",1,0))))) * '02_의사결정·종합결과'!$B$8)</f>
        <v/>
      </c>
      <c r="P28" s="30">
        <f>IFERROR(VLOOKUP(F28,'02_의사결정·종합결과'!$A$16:$D$22,2,FALSE),"")</f>
        <v/>
      </c>
      <c r="Q28" s="30">
        <f>IFERROR(VLOOKUP(F28,'02_의사결정·종합결과'!$A$16:$D$22,3,FALSE),"")</f>
        <v/>
      </c>
      <c r="R28" s="30">
        <f>IFERROR(VLOOKUP(F28,'02_의사결정·종합결과'!$A$16:$D$22,4,FALSE),"")</f>
        <v/>
      </c>
      <c r="S28" s="60">
        <f>IF(OR(I28="",L28="",O28=""),"",I28*P28+L28*Q28+O28*R28)</f>
        <v/>
      </c>
      <c r="T28" s="57">
        <f>IF(S28="","",IF(S28&gt;=4.5,"S",IF(S28&gt;=3.5,"A",IF(S28&gt;=2.5,"B",IF(S28&gt;=1.5,"C","D")))))</f>
        <v/>
      </c>
      <c r="U28" s="61">
        <f>IF('02_의사결정·종합결과'!$B$6="절대평가",T28,T28)</f>
        <v/>
      </c>
      <c r="V28" s="4" t="inlineStr"/>
    </row>
    <row r="29" ht="22" customHeight="1">
      <c r="A29" s="33">
        <f>'01_인적정보'!A29</f>
        <v/>
      </c>
      <c r="B29" s="33">
        <f>'01_인적정보'!B29</f>
        <v/>
      </c>
      <c r="C29" s="8">
        <f>'01_인적정보'!C29</f>
        <v/>
      </c>
      <c r="D29" s="8">
        <f>'01_인적정보'!D29</f>
        <v/>
      </c>
      <c r="E29" s="8">
        <f>'01_인적정보'!E29</f>
        <v/>
      </c>
      <c r="F29" s="16">
        <f>'01_인적정보'!H29</f>
        <v/>
      </c>
      <c r="G29" s="20">
        <f>'04_역할평가'!O36</f>
        <v/>
      </c>
      <c r="H29" s="20">
        <f>'04_역할평가'!O81</f>
        <v/>
      </c>
      <c r="I29" s="56">
        <f>IF(OR(G29="",H29=""),"",(IF(G29="S",5,IF(G29="A",4,IF(G29="B",3,IF(G29="C",2,IF(G29="D",1,0))))) * '02_의사결정·종합결과'!$B$7 + IF(H29="S",5,IF(H29="A",4,IF(H29="B",3,IF(H29="C",2,IF(H29="D",1,0))))) * '02_의사결정·종합결과'!$B$8))</f>
        <v/>
      </c>
      <c r="J29" s="20">
        <f>'05_공통역량평가'!Q29</f>
        <v/>
      </c>
      <c r="K29" s="20">
        <f>'05_공통역량평가'!Q69</f>
        <v/>
      </c>
      <c r="L29" s="56">
        <f>IF(OR(J29="",K29=""),"",IF(J29="S",5,IF(J29="A",4,IF(J29="B",3,IF(J29="C",2,IF(J29="D",1,0))))) * '02_의사결정·종합결과'!$B$7 + IF(K29="S",5,IF(K29="A",4,IF(K29="B",3,IF(K29="C",2,IF(K29="D",1,0))))) * '02_의사결정·종합결과'!$B$8)</f>
        <v/>
      </c>
      <c r="M29" s="20">
        <f>'06_직무역량평가'!J29</f>
        <v/>
      </c>
      <c r="N29" s="20">
        <f>'06_직무역량평가'!J74</f>
        <v/>
      </c>
      <c r="O29" s="56">
        <f>IF(OR(M29="",N29=""),"",IF(M29="S",5,IF(M29="A",4,IF(M29="B",3,IF(M29="C",2,IF(M29="D",1,0))))) * '02_의사결정·종합결과'!$B$7 + IF(N29="S",5,IF(N29="A",4,IF(N29="B",3,IF(N29="C",2,IF(N29="D",1,0))))) * '02_의사결정·종합결과'!$B$8)</f>
        <v/>
      </c>
      <c r="P29" s="30">
        <f>IFERROR(VLOOKUP(F29,'02_의사결정·종합결과'!$A$16:$D$22,2,FALSE),"")</f>
        <v/>
      </c>
      <c r="Q29" s="30">
        <f>IFERROR(VLOOKUP(F29,'02_의사결정·종합결과'!$A$16:$D$22,3,FALSE),"")</f>
        <v/>
      </c>
      <c r="R29" s="30">
        <f>IFERROR(VLOOKUP(F29,'02_의사결정·종합결과'!$A$16:$D$22,4,FALSE),"")</f>
        <v/>
      </c>
      <c r="S29" s="60">
        <f>IF(OR(I29="",L29="",O29=""),"",I29*P29+L29*Q29+O29*R29)</f>
        <v/>
      </c>
      <c r="T29" s="57">
        <f>IF(S29="","",IF(S29&gt;=4.5,"S",IF(S29&gt;=3.5,"A",IF(S29&gt;=2.5,"B",IF(S29&gt;=1.5,"C","D")))))</f>
        <v/>
      </c>
      <c r="U29" s="61">
        <f>IF('02_의사결정·종합결과'!$B$6="절대평가",T29,T29)</f>
        <v/>
      </c>
      <c r="V29" s="4" t="inlineStr"/>
    </row>
    <row r="30" ht="22" customHeight="1">
      <c r="A30" s="33">
        <f>'01_인적정보'!A30</f>
        <v/>
      </c>
      <c r="B30" s="33">
        <f>'01_인적정보'!B30</f>
        <v/>
      </c>
      <c r="C30" s="8">
        <f>'01_인적정보'!C30</f>
        <v/>
      </c>
      <c r="D30" s="8">
        <f>'01_인적정보'!D30</f>
        <v/>
      </c>
      <c r="E30" s="8">
        <f>'01_인적정보'!E30</f>
        <v/>
      </c>
      <c r="F30" s="16">
        <f>'01_인적정보'!H30</f>
        <v/>
      </c>
      <c r="G30" s="20">
        <f>'04_역할평가'!O37</f>
        <v/>
      </c>
      <c r="H30" s="20">
        <f>'04_역할평가'!O82</f>
        <v/>
      </c>
      <c r="I30" s="56">
        <f>IF(OR(G30="",H30=""),"",(IF(G30="S",5,IF(G30="A",4,IF(G30="B",3,IF(G30="C",2,IF(G30="D",1,0))))) * '02_의사결정·종합결과'!$B$7 + IF(H30="S",5,IF(H30="A",4,IF(H30="B",3,IF(H30="C",2,IF(H30="D",1,0))))) * '02_의사결정·종합결과'!$B$8))</f>
        <v/>
      </c>
      <c r="J30" s="20">
        <f>'05_공통역량평가'!Q30</f>
        <v/>
      </c>
      <c r="K30" s="20">
        <f>'05_공통역량평가'!Q70</f>
        <v/>
      </c>
      <c r="L30" s="56">
        <f>IF(OR(J30="",K30=""),"",IF(J30="S",5,IF(J30="A",4,IF(J30="B",3,IF(J30="C",2,IF(J30="D",1,0))))) * '02_의사결정·종합결과'!$B$7 + IF(K30="S",5,IF(K30="A",4,IF(K30="B",3,IF(K30="C",2,IF(K30="D",1,0))))) * '02_의사결정·종합결과'!$B$8)</f>
        <v/>
      </c>
      <c r="M30" s="20">
        <f>'06_직무역량평가'!J30</f>
        <v/>
      </c>
      <c r="N30" s="20">
        <f>'06_직무역량평가'!J75</f>
        <v/>
      </c>
      <c r="O30" s="56">
        <f>IF(OR(M30="",N30=""),"",IF(M30="S",5,IF(M30="A",4,IF(M30="B",3,IF(M30="C",2,IF(M30="D",1,0))))) * '02_의사결정·종합결과'!$B$7 + IF(N30="S",5,IF(N30="A",4,IF(N30="B",3,IF(N30="C",2,IF(N30="D",1,0))))) * '02_의사결정·종합결과'!$B$8)</f>
        <v/>
      </c>
      <c r="P30" s="30">
        <f>IFERROR(VLOOKUP(F30,'02_의사결정·종합결과'!$A$16:$D$22,2,FALSE),"")</f>
        <v/>
      </c>
      <c r="Q30" s="30">
        <f>IFERROR(VLOOKUP(F30,'02_의사결정·종합결과'!$A$16:$D$22,3,FALSE),"")</f>
        <v/>
      </c>
      <c r="R30" s="30">
        <f>IFERROR(VLOOKUP(F30,'02_의사결정·종합결과'!$A$16:$D$22,4,FALSE),"")</f>
        <v/>
      </c>
      <c r="S30" s="60">
        <f>IF(OR(I30="",L30="",O30=""),"",I30*P30+L30*Q30+O30*R30)</f>
        <v/>
      </c>
      <c r="T30" s="57">
        <f>IF(S30="","",IF(S30&gt;=4.5,"S",IF(S30&gt;=3.5,"A",IF(S30&gt;=2.5,"B",IF(S30&gt;=1.5,"C","D")))))</f>
        <v/>
      </c>
      <c r="U30" s="61">
        <f>IF('02_의사결정·종합결과'!$B$6="절대평가",T30,T30)</f>
        <v/>
      </c>
      <c r="V30" s="4" t="inlineStr"/>
    </row>
    <row r="31" ht="22" customHeight="1">
      <c r="A31" s="33">
        <f>'01_인적정보'!A31</f>
        <v/>
      </c>
      <c r="B31" s="33">
        <f>'01_인적정보'!B31</f>
        <v/>
      </c>
      <c r="C31" s="8">
        <f>'01_인적정보'!C31</f>
        <v/>
      </c>
      <c r="D31" s="8">
        <f>'01_인적정보'!D31</f>
        <v/>
      </c>
      <c r="E31" s="8">
        <f>'01_인적정보'!E31</f>
        <v/>
      </c>
      <c r="F31" s="16">
        <f>'01_인적정보'!H31</f>
        <v/>
      </c>
      <c r="G31" s="20">
        <f>'04_역할평가'!O38</f>
        <v/>
      </c>
      <c r="H31" s="20">
        <f>'04_역할평가'!O83</f>
        <v/>
      </c>
      <c r="I31" s="56">
        <f>IF(OR(G31="",H31=""),"",(IF(G31="S",5,IF(G31="A",4,IF(G31="B",3,IF(G31="C",2,IF(G31="D",1,0))))) * '02_의사결정·종합결과'!$B$7 + IF(H31="S",5,IF(H31="A",4,IF(H31="B",3,IF(H31="C",2,IF(H31="D",1,0))))) * '02_의사결정·종합결과'!$B$8))</f>
        <v/>
      </c>
      <c r="J31" s="20">
        <f>'05_공통역량평가'!Q31</f>
        <v/>
      </c>
      <c r="K31" s="20">
        <f>'05_공통역량평가'!Q71</f>
        <v/>
      </c>
      <c r="L31" s="56">
        <f>IF(OR(J31="",K31=""),"",IF(J31="S",5,IF(J31="A",4,IF(J31="B",3,IF(J31="C",2,IF(J31="D",1,0))))) * '02_의사결정·종합결과'!$B$7 + IF(K31="S",5,IF(K31="A",4,IF(K31="B",3,IF(K31="C",2,IF(K31="D",1,0))))) * '02_의사결정·종합결과'!$B$8)</f>
        <v/>
      </c>
      <c r="M31" s="20">
        <f>'06_직무역량평가'!J31</f>
        <v/>
      </c>
      <c r="N31" s="20">
        <f>'06_직무역량평가'!J76</f>
        <v/>
      </c>
      <c r="O31" s="56">
        <f>IF(OR(M31="",N31=""),"",IF(M31="S",5,IF(M31="A",4,IF(M31="B",3,IF(M31="C",2,IF(M31="D",1,0))))) * '02_의사결정·종합결과'!$B$7 + IF(N31="S",5,IF(N31="A",4,IF(N31="B",3,IF(N31="C",2,IF(N31="D",1,0))))) * '02_의사결정·종합결과'!$B$8)</f>
        <v/>
      </c>
      <c r="P31" s="30">
        <f>IFERROR(VLOOKUP(F31,'02_의사결정·종합결과'!$A$16:$D$22,2,FALSE),"")</f>
        <v/>
      </c>
      <c r="Q31" s="30">
        <f>IFERROR(VLOOKUP(F31,'02_의사결정·종합결과'!$A$16:$D$22,3,FALSE),"")</f>
        <v/>
      </c>
      <c r="R31" s="30">
        <f>IFERROR(VLOOKUP(F31,'02_의사결정·종합결과'!$A$16:$D$22,4,FALSE),"")</f>
        <v/>
      </c>
      <c r="S31" s="60">
        <f>IF(OR(I31="",L31="",O31=""),"",I31*P31+L31*Q31+O31*R31)</f>
        <v/>
      </c>
      <c r="T31" s="57">
        <f>IF(S31="","",IF(S31&gt;=4.5,"S",IF(S31&gt;=3.5,"A",IF(S31&gt;=2.5,"B",IF(S31&gt;=1.5,"C","D")))))</f>
        <v/>
      </c>
      <c r="U31" s="61">
        <f>IF('02_의사결정·종합결과'!$B$6="절대평가",T31,T31)</f>
        <v/>
      </c>
      <c r="V31" s="4" t="inlineStr"/>
    </row>
    <row r="32" ht="22" customHeight="1">
      <c r="A32" s="33">
        <f>'01_인적정보'!A32</f>
        <v/>
      </c>
      <c r="B32" s="33">
        <f>'01_인적정보'!B32</f>
        <v/>
      </c>
      <c r="C32" s="8">
        <f>'01_인적정보'!C32</f>
        <v/>
      </c>
      <c r="D32" s="8">
        <f>'01_인적정보'!D32</f>
        <v/>
      </c>
      <c r="E32" s="8">
        <f>'01_인적정보'!E32</f>
        <v/>
      </c>
      <c r="F32" s="16">
        <f>'01_인적정보'!H32</f>
        <v/>
      </c>
      <c r="G32" s="20">
        <f>'04_역할평가'!O39</f>
        <v/>
      </c>
      <c r="H32" s="20">
        <f>'04_역할평가'!O84</f>
        <v/>
      </c>
      <c r="I32" s="56">
        <f>IF(OR(G32="",H32=""),"",(IF(G32="S",5,IF(G32="A",4,IF(G32="B",3,IF(G32="C",2,IF(G32="D",1,0))))) * '02_의사결정·종합결과'!$B$7 + IF(H32="S",5,IF(H32="A",4,IF(H32="B",3,IF(H32="C",2,IF(H32="D",1,0))))) * '02_의사결정·종합결과'!$B$8))</f>
        <v/>
      </c>
      <c r="J32" s="20">
        <f>'05_공통역량평가'!Q32</f>
        <v/>
      </c>
      <c r="K32" s="20">
        <f>'05_공통역량평가'!Q72</f>
        <v/>
      </c>
      <c r="L32" s="56">
        <f>IF(OR(J32="",K32=""),"",IF(J32="S",5,IF(J32="A",4,IF(J32="B",3,IF(J32="C",2,IF(J32="D",1,0))))) * '02_의사결정·종합결과'!$B$7 + IF(K32="S",5,IF(K32="A",4,IF(K32="B",3,IF(K32="C",2,IF(K32="D",1,0))))) * '02_의사결정·종합결과'!$B$8)</f>
        <v/>
      </c>
      <c r="M32" s="20">
        <f>'06_직무역량평가'!J32</f>
        <v/>
      </c>
      <c r="N32" s="20">
        <f>'06_직무역량평가'!J77</f>
        <v/>
      </c>
      <c r="O32" s="56">
        <f>IF(OR(M32="",N32=""),"",IF(M32="S",5,IF(M32="A",4,IF(M32="B",3,IF(M32="C",2,IF(M32="D",1,0))))) * '02_의사결정·종합결과'!$B$7 + IF(N32="S",5,IF(N32="A",4,IF(N32="B",3,IF(N32="C",2,IF(N32="D",1,0))))) * '02_의사결정·종합결과'!$B$8)</f>
        <v/>
      </c>
      <c r="P32" s="30">
        <f>IFERROR(VLOOKUP(F32,'02_의사결정·종합결과'!$A$16:$D$22,2,FALSE),"")</f>
        <v/>
      </c>
      <c r="Q32" s="30">
        <f>IFERROR(VLOOKUP(F32,'02_의사결정·종합결과'!$A$16:$D$22,3,FALSE),"")</f>
        <v/>
      </c>
      <c r="R32" s="30">
        <f>IFERROR(VLOOKUP(F32,'02_의사결정·종합결과'!$A$16:$D$22,4,FALSE),"")</f>
        <v/>
      </c>
      <c r="S32" s="60">
        <f>IF(OR(I32="",L32="",O32=""),"",I32*P32+L32*Q32+O32*R32)</f>
        <v/>
      </c>
      <c r="T32" s="57">
        <f>IF(S32="","",IF(S32&gt;=4.5,"S",IF(S32&gt;=3.5,"A",IF(S32&gt;=2.5,"B",IF(S32&gt;=1.5,"C","D")))))</f>
        <v/>
      </c>
      <c r="U32" s="61">
        <f>IF('02_의사결정·종합결과'!$B$6="절대평가",T32,T32)</f>
        <v/>
      </c>
      <c r="V32" s="4" t="inlineStr"/>
    </row>
    <row r="33" ht="22" customHeight="1">
      <c r="A33" s="33">
        <f>'01_인적정보'!A33</f>
        <v/>
      </c>
      <c r="B33" s="33">
        <f>'01_인적정보'!B33</f>
        <v/>
      </c>
      <c r="C33" s="8">
        <f>'01_인적정보'!C33</f>
        <v/>
      </c>
      <c r="D33" s="8">
        <f>'01_인적정보'!D33</f>
        <v/>
      </c>
      <c r="E33" s="8">
        <f>'01_인적정보'!E33</f>
        <v/>
      </c>
      <c r="F33" s="16">
        <f>'01_인적정보'!H33</f>
        <v/>
      </c>
      <c r="G33" s="20">
        <f>'04_역할평가'!O40</f>
        <v/>
      </c>
      <c r="H33" s="20">
        <f>'04_역할평가'!O85</f>
        <v/>
      </c>
      <c r="I33" s="56">
        <f>IF(OR(G33="",H33=""),"",(IF(G33="S",5,IF(G33="A",4,IF(G33="B",3,IF(G33="C",2,IF(G33="D",1,0))))) * '02_의사결정·종합결과'!$B$7 + IF(H33="S",5,IF(H33="A",4,IF(H33="B",3,IF(H33="C",2,IF(H33="D",1,0))))) * '02_의사결정·종합결과'!$B$8))</f>
        <v/>
      </c>
      <c r="J33" s="20">
        <f>'05_공통역량평가'!Q33</f>
        <v/>
      </c>
      <c r="K33" s="20">
        <f>'05_공통역량평가'!Q73</f>
        <v/>
      </c>
      <c r="L33" s="56">
        <f>IF(OR(J33="",K33=""),"",IF(J33="S",5,IF(J33="A",4,IF(J33="B",3,IF(J33="C",2,IF(J33="D",1,0))))) * '02_의사결정·종합결과'!$B$7 + IF(K33="S",5,IF(K33="A",4,IF(K33="B",3,IF(K33="C",2,IF(K33="D",1,0))))) * '02_의사결정·종합결과'!$B$8)</f>
        <v/>
      </c>
      <c r="M33" s="20">
        <f>'06_직무역량평가'!J33</f>
        <v/>
      </c>
      <c r="N33" s="20">
        <f>'06_직무역량평가'!J78</f>
        <v/>
      </c>
      <c r="O33" s="56">
        <f>IF(OR(M33="",N33=""),"",IF(M33="S",5,IF(M33="A",4,IF(M33="B",3,IF(M33="C",2,IF(M33="D",1,0))))) * '02_의사결정·종합결과'!$B$7 + IF(N33="S",5,IF(N33="A",4,IF(N33="B",3,IF(N33="C",2,IF(N33="D",1,0))))) * '02_의사결정·종합결과'!$B$8)</f>
        <v/>
      </c>
      <c r="P33" s="30">
        <f>IFERROR(VLOOKUP(F33,'02_의사결정·종합결과'!$A$16:$D$22,2,FALSE),"")</f>
        <v/>
      </c>
      <c r="Q33" s="30">
        <f>IFERROR(VLOOKUP(F33,'02_의사결정·종합결과'!$A$16:$D$22,3,FALSE),"")</f>
        <v/>
      </c>
      <c r="R33" s="30">
        <f>IFERROR(VLOOKUP(F33,'02_의사결정·종합결과'!$A$16:$D$22,4,FALSE),"")</f>
        <v/>
      </c>
      <c r="S33" s="60">
        <f>IF(OR(I33="",L33="",O33=""),"",I33*P33+L33*Q33+O33*R33)</f>
        <v/>
      </c>
      <c r="T33" s="57">
        <f>IF(S33="","",IF(S33&gt;=4.5,"S",IF(S33&gt;=3.5,"A",IF(S33&gt;=2.5,"B",IF(S33&gt;=1.5,"C","D")))))</f>
        <v/>
      </c>
      <c r="U33" s="61">
        <f>IF('02_의사결정·종합결과'!$B$6="절대평가",T33,T33)</f>
        <v/>
      </c>
      <c r="V33" s="4" t="inlineStr"/>
    </row>
    <row r="34" ht="22" customHeight="1">
      <c r="A34" s="33">
        <f>'01_인적정보'!A34</f>
        <v/>
      </c>
      <c r="B34" s="33">
        <f>'01_인적정보'!B34</f>
        <v/>
      </c>
      <c r="C34" s="8">
        <f>'01_인적정보'!C34</f>
        <v/>
      </c>
      <c r="D34" s="8">
        <f>'01_인적정보'!D34</f>
        <v/>
      </c>
      <c r="E34" s="8">
        <f>'01_인적정보'!E34</f>
        <v/>
      </c>
      <c r="F34" s="16">
        <f>'01_인적정보'!H34</f>
        <v/>
      </c>
      <c r="G34" s="20">
        <f>'04_역할평가'!O41</f>
        <v/>
      </c>
      <c r="H34" s="20">
        <f>'04_역할평가'!O86</f>
        <v/>
      </c>
      <c r="I34" s="56">
        <f>IF(OR(G34="",H34=""),"",(IF(G34="S",5,IF(G34="A",4,IF(G34="B",3,IF(G34="C",2,IF(G34="D",1,0))))) * '02_의사결정·종합결과'!$B$7 + IF(H34="S",5,IF(H34="A",4,IF(H34="B",3,IF(H34="C",2,IF(H34="D",1,0))))) * '02_의사결정·종합결과'!$B$8))</f>
        <v/>
      </c>
      <c r="J34" s="20">
        <f>'05_공통역량평가'!Q34</f>
        <v/>
      </c>
      <c r="K34" s="20">
        <f>'05_공통역량평가'!Q74</f>
        <v/>
      </c>
      <c r="L34" s="56">
        <f>IF(OR(J34="",K34=""),"",IF(J34="S",5,IF(J34="A",4,IF(J34="B",3,IF(J34="C",2,IF(J34="D",1,0))))) * '02_의사결정·종합결과'!$B$7 + IF(K34="S",5,IF(K34="A",4,IF(K34="B",3,IF(K34="C",2,IF(K34="D",1,0))))) * '02_의사결정·종합결과'!$B$8)</f>
        <v/>
      </c>
      <c r="M34" s="20">
        <f>'06_직무역량평가'!J34</f>
        <v/>
      </c>
      <c r="N34" s="20">
        <f>'06_직무역량평가'!J79</f>
        <v/>
      </c>
      <c r="O34" s="56">
        <f>IF(OR(M34="",N34=""),"",IF(M34="S",5,IF(M34="A",4,IF(M34="B",3,IF(M34="C",2,IF(M34="D",1,0))))) * '02_의사결정·종합결과'!$B$7 + IF(N34="S",5,IF(N34="A",4,IF(N34="B",3,IF(N34="C",2,IF(N34="D",1,0))))) * '02_의사결정·종합결과'!$B$8)</f>
        <v/>
      </c>
      <c r="P34" s="30">
        <f>IFERROR(VLOOKUP(F34,'02_의사결정·종합결과'!$A$16:$D$22,2,FALSE),"")</f>
        <v/>
      </c>
      <c r="Q34" s="30">
        <f>IFERROR(VLOOKUP(F34,'02_의사결정·종합결과'!$A$16:$D$22,3,FALSE),"")</f>
        <v/>
      </c>
      <c r="R34" s="30">
        <f>IFERROR(VLOOKUP(F34,'02_의사결정·종합결과'!$A$16:$D$22,4,FALSE),"")</f>
        <v/>
      </c>
      <c r="S34" s="60">
        <f>IF(OR(I34="",L34="",O34=""),"",I34*P34+L34*Q34+O34*R34)</f>
        <v/>
      </c>
      <c r="T34" s="57">
        <f>IF(S34="","",IF(S34&gt;=4.5,"S",IF(S34&gt;=3.5,"A",IF(S34&gt;=2.5,"B",IF(S34&gt;=1.5,"C","D")))))</f>
        <v/>
      </c>
      <c r="U34" s="61">
        <f>IF('02_의사결정·종합결과'!$B$6="절대평가",T34,T34)</f>
        <v/>
      </c>
      <c r="V34" s="4" t="inlineStr"/>
    </row>
    <row r="35" ht="22" customHeight="1">
      <c r="A35" s="33">
        <f>'01_인적정보'!A35</f>
        <v/>
      </c>
      <c r="B35" s="33">
        <f>'01_인적정보'!B35</f>
        <v/>
      </c>
      <c r="C35" s="8">
        <f>'01_인적정보'!C35</f>
        <v/>
      </c>
      <c r="D35" s="8">
        <f>'01_인적정보'!D35</f>
        <v/>
      </c>
      <c r="E35" s="8">
        <f>'01_인적정보'!E35</f>
        <v/>
      </c>
      <c r="F35" s="16">
        <f>'01_인적정보'!H35</f>
        <v/>
      </c>
      <c r="G35" s="20">
        <f>'04_역할평가'!O42</f>
        <v/>
      </c>
      <c r="H35" s="20">
        <f>'04_역할평가'!O87</f>
        <v/>
      </c>
      <c r="I35" s="56">
        <f>IF(OR(G35="",H35=""),"",(IF(G35="S",5,IF(G35="A",4,IF(G35="B",3,IF(G35="C",2,IF(G35="D",1,0))))) * '02_의사결정·종합결과'!$B$7 + IF(H35="S",5,IF(H35="A",4,IF(H35="B",3,IF(H35="C",2,IF(H35="D",1,0))))) * '02_의사결정·종합결과'!$B$8))</f>
        <v/>
      </c>
      <c r="J35" s="20">
        <f>'05_공통역량평가'!Q35</f>
        <v/>
      </c>
      <c r="K35" s="20">
        <f>'05_공통역량평가'!Q75</f>
        <v/>
      </c>
      <c r="L35" s="56">
        <f>IF(OR(J35="",K35=""),"",IF(J35="S",5,IF(J35="A",4,IF(J35="B",3,IF(J35="C",2,IF(J35="D",1,0))))) * '02_의사결정·종합결과'!$B$7 + IF(K35="S",5,IF(K35="A",4,IF(K35="B",3,IF(K35="C",2,IF(K35="D",1,0))))) * '02_의사결정·종합결과'!$B$8)</f>
        <v/>
      </c>
      <c r="M35" s="20">
        <f>'06_직무역량평가'!J35</f>
        <v/>
      </c>
      <c r="N35" s="20">
        <f>'06_직무역량평가'!J80</f>
        <v/>
      </c>
      <c r="O35" s="56">
        <f>IF(OR(M35="",N35=""),"",IF(M35="S",5,IF(M35="A",4,IF(M35="B",3,IF(M35="C",2,IF(M35="D",1,0))))) * '02_의사결정·종합결과'!$B$7 + IF(N35="S",5,IF(N35="A",4,IF(N35="B",3,IF(N35="C",2,IF(N35="D",1,0))))) * '02_의사결정·종합결과'!$B$8)</f>
        <v/>
      </c>
      <c r="P35" s="30">
        <f>IFERROR(VLOOKUP(F35,'02_의사결정·종합결과'!$A$16:$D$22,2,FALSE),"")</f>
        <v/>
      </c>
      <c r="Q35" s="30">
        <f>IFERROR(VLOOKUP(F35,'02_의사결정·종합결과'!$A$16:$D$22,3,FALSE),"")</f>
        <v/>
      </c>
      <c r="R35" s="30">
        <f>IFERROR(VLOOKUP(F35,'02_의사결정·종합결과'!$A$16:$D$22,4,FALSE),"")</f>
        <v/>
      </c>
      <c r="S35" s="60">
        <f>IF(OR(I35="",L35="",O35=""),"",I35*P35+L35*Q35+O35*R35)</f>
        <v/>
      </c>
      <c r="T35" s="57">
        <f>IF(S35="","",IF(S35&gt;=4.5,"S",IF(S35&gt;=3.5,"A",IF(S35&gt;=2.5,"B",IF(S35&gt;=1.5,"C","D")))))</f>
        <v/>
      </c>
      <c r="U35" s="61">
        <f>IF('02_의사결정·종합결과'!$B$6="절대평가",T35,T35)</f>
        <v/>
      </c>
      <c r="V35" s="4" t="inlineStr"/>
    </row>
    <row r="36" ht="22" customHeight="1">
      <c r="A36" s="33">
        <f>'01_인적정보'!A36</f>
        <v/>
      </c>
      <c r="B36" s="33">
        <f>'01_인적정보'!B36</f>
        <v/>
      </c>
      <c r="C36" s="8">
        <f>'01_인적정보'!C36</f>
        <v/>
      </c>
      <c r="D36" s="8">
        <f>'01_인적정보'!D36</f>
        <v/>
      </c>
      <c r="E36" s="8">
        <f>'01_인적정보'!E36</f>
        <v/>
      </c>
      <c r="F36" s="16">
        <f>'01_인적정보'!H36</f>
        <v/>
      </c>
      <c r="G36" s="20">
        <f>'04_역할평가'!O43</f>
        <v/>
      </c>
      <c r="H36" s="20">
        <f>'04_역할평가'!O88</f>
        <v/>
      </c>
      <c r="I36" s="56">
        <f>IF(OR(G36="",H36=""),"",(IF(G36="S",5,IF(G36="A",4,IF(G36="B",3,IF(G36="C",2,IF(G36="D",1,0))))) * '02_의사결정·종합결과'!$B$7 + IF(H36="S",5,IF(H36="A",4,IF(H36="B",3,IF(H36="C",2,IF(H36="D",1,0))))) * '02_의사결정·종합결과'!$B$8))</f>
        <v/>
      </c>
      <c r="J36" s="20">
        <f>'05_공통역량평가'!Q36</f>
        <v/>
      </c>
      <c r="K36" s="20">
        <f>'05_공통역량평가'!Q76</f>
        <v/>
      </c>
      <c r="L36" s="56">
        <f>IF(OR(J36="",K36=""),"",IF(J36="S",5,IF(J36="A",4,IF(J36="B",3,IF(J36="C",2,IF(J36="D",1,0))))) * '02_의사결정·종합결과'!$B$7 + IF(K36="S",5,IF(K36="A",4,IF(K36="B",3,IF(K36="C",2,IF(K36="D",1,0))))) * '02_의사결정·종합결과'!$B$8)</f>
        <v/>
      </c>
      <c r="M36" s="20">
        <f>'06_직무역량평가'!J36</f>
        <v/>
      </c>
      <c r="N36" s="20">
        <f>'06_직무역량평가'!J81</f>
        <v/>
      </c>
      <c r="O36" s="56">
        <f>IF(OR(M36="",N36=""),"",IF(M36="S",5,IF(M36="A",4,IF(M36="B",3,IF(M36="C",2,IF(M36="D",1,0))))) * '02_의사결정·종합결과'!$B$7 + IF(N36="S",5,IF(N36="A",4,IF(N36="B",3,IF(N36="C",2,IF(N36="D",1,0))))) * '02_의사결정·종합결과'!$B$8)</f>
        <v/>
      </c>
      <c r="P36" s="30">
        <f>IFERROR(VLOOKUP(F36,'02_의사결정·종합결과'!$A$16:$D$22,2,FALSE),"")</f>
        <v/>
      </c>
      <c r="Q36" s="30">
        <f>IFERROR(VLOOKUP(F36,'02_의사결정·종합결과'!$A$16:$D$22,3,FALSE),"")</f>
        <v/>
      </c>
      <c r="R36" s="30">
        <f>IFERROR(VLOOKUP(F36,'02_의사결정·종합결과'!$A$16:$D$22,4,FALSE),"")</f>
        <v/>
      </c>
      <c r="S36" s="60">
        <f>IF(OR(I36="",L36="",O36=""),"",I36*P36+L36*Q36+O36*R36)</f>
        <v/>
      </c>
      <c r="T36" s="57">
        <f>IF(S36="","",IF(S36&gt;=4.5,"S",IF(S36&gt;=3.5,"A",IF(S36&gt;=2.5,"B",IF(S36&gt;=1.5,"C","D")))))</f>
        <v/>
      </c>
      <c r="U36" s="61">
        <f>IF('02_의사결정·종합결과'!$B$6="절대평가",T36,T36)</f>
        <v/>
      </c>
      <c r="V36" s="4" t="inlineStr"/>
    </row>
    <row r="37" ht="22" customHeight="1">
      <c r="A37" s="33">
        <f>'01_인적정보'!A37</f>
        <v/>
      </c>
      <c r="B37" s="33">
        <f>'01_인적정보'!B37</f>
        <v/>
      </c>
      <c r="C37" s="8">
        <f>'01_인적정보'!C37</f>
        <v/>
      </c>
      <c r="D37" s="8">
        <f>'01_인적정보'!D37</f>
        <v/>
      </c>
      <c r="E37" s="8">
        <f>'01_인적정보'!E37</f>
        <v/>
      </c>
      <c r="F37" s="16">
        <f>'01_인적정보'!H37</f>
        <v/>
      </c>
      <c r="G37" s="20">
        <f>'04_역할평가'!O44</f>
        <v/>
      </c>
      <c r="H37" s="20">
        <f>'04_역할평가'!O89</f>
        <v/>
      </c>
      <c r="I37" s="56">
        <f>IF(OR(G37="",H37=""),"",(IF(G37="S",5,IF(G37="A",4,IF(G37="B",3,IF(G37="C",2,IF(G37="D",1,0))))) * '02_의사결정·종합결과'!$B$7 + IF(H37="S",5,IF(H37="A",4,IF(H37="B",3,IF(H37="C",2,IF(H37="D",1,0))))) * '02_의사결정·종합결과'!$B$8))</f>
        <v/>
      </c>
      <c r="J37" s="20">
        <f>'05_공통역량평가'!Q37</f>
        <v/>
      </c>
      <c r="K37" s="20">
        <f>'05_공통역량평가'!Q77</f>
        <v/>
      </c>
      <c r="L37" s="56">
        <f>IF(OR(J37="",K37=""),"",IF(J37="S",5,IF(J37="A",4,IF(J37="B",3,IF(J37="C",2,IF(J37="D",1,0))))) * '02_의사결정·종합결과'!$B$7 + IF(K37="S",5,IF(K37="A",4,IF(K37="B",3,IF(K37="C",2,IF(K37="D",1,0))))) * '02_의사결정·종합결과'!$B$8)</f>
        <v/>
      </c>
      <c r="M37" s="20">
        <f>'06_직무역량평가'!J37</f>
        <v/>
      </c>
      <c r="N37" s="20">
        <f>'06_직무역량평가'!J82</f>
        <v/>
      </c>
      <c r="O37" s="56">
        <f>IF(OR(M37="",N37=""),"",IF(M37="S",5,IF(M37="A",4,IF(M37="B",3,IF(M37="C",2,IF(M37="D",1,0))))) * '02_의사결정·종합결과'!$B$7 + IF(N37="S",5,IF(N37="A",4,IF(N37="B",3,IF(N37="C",2,IF(N37="D",1,0))))) * '02_의사결정·종합결과'!$B$8)</f>
        <v/>
      </c>
      <c r="P37" s="30">
        <f>IFERROR(VLOOKUP(F37,'02_의사결정·종합결과'!$A$16:$D$22,2,FALSE),"")</f>
        <v/>
      </c>
      <c r="Q37" s="30">
        <f>IFERROR(VLOOKUP(F37,'02_의사결정·종합결과'!$A$16:$D$22,3,FALSE),"")</f>
        <v/>
      </c>
      <c r="R37" s="30">
        <f>IFERROR(VLOOKUP(F37,'02_의사결정·종합결과'!$A$16:$D$22,4,FALSE),"")</f>
        <v/>
      </c>
      <c r="S37" s="60">
        <f>IF(OR(I37="",L37="",O37=""),"",I37*P37+L37*Q37+O37*R37)</f>
        <v/>
      </c>
      <c r="T37" s="57">
        <f>IF(S37="","",IF(S37&gt;=4.5,"S",IF(S37&gt;=3.5,"A",IF(S37&gt;=2.5,"B",IF(S37&gt;=1.5,"C","D")))))</f>
        <v/>
      </c>
      <c r="U37" s="61">
        <f>IF('02_의사결정·종합결과'!$B$6="절대평가",T37,T37)</f>
        <v/>
      </c>
      <c r="V37" s="4" t="inlineStr"/>
    </row>
    <row r="38" ht="22" customHeight="1">
      <c r="A38" s="33">
        <f>'01_인적정보'!A38</f>
        <v/>
      </c>
      <c r="B38" s="33">
        <f>'01_인적정보'!B38</f>
        <v/>
      </c>
      <c r="C38" s="8">
        <f>'01_인적정보'!C38</f>
        <v/>
      </c>
      <c r="D38" s="8">
        <f>'01_인적정보'!D38</f>
        <v/>
      </c>
      <c r="E38" s="8">
        <f>'01_인적정보'!E38</f>
        <v/>
      </c>
      <c r="F38" s="16">
        <f>'01_인적정보'!H38</f>
        <v/>
      </c>
      <c r="G38" s="20">
        <f>'04_역할평가'!O45</f>
        <v/>
      </c>
      <c r="H38" s="20">
        <f>'04_역할평가'!O90</f>
        <v/>
      </c>
      <c r="I38" s="56">
        <f>IF(OR(G38="",H38=""),"",(IF(G38="S",5,IF(G38="A",4,IF(G38="B",3,IF(G38="C",2,IF(G38="D",1,0))))) * '02_의사결정·종합결과'!$B$7 + IF(H38="S",5,IF(H38="A",4,IF(H38="B",3,IF(H38="C",2,IF(H38="D",1,0))))) * '02_의사결정·종합결과'!$B$8))</f>
        <v/>
      </c>
      <c r="J38" s="20">
        <f>'05_공통역량평가'!Q38</f>
        <v/>
      </c>
      <c r="K38" s="20">
        <f>'05_공통역량평가'!Q78</f>
        <v/>
      </c>
      <c r="L38" s="56">
        <f>IF(OR(J38="",K38=""),"",IF(J38="S",5,IF(J38="A",4,IF(J38="B",3,IF(J38="C",2,IF(J38="D",1,0))))) * '02_의사결정·종합결과'!$B$7 + IF(K38="S",5,IF(K38="A",4,IF(K38="B",3,IF(K38="C",2,IF(K38="D",1,0))))) * '02_의사결정·종합결과'!$B$8)</f>
        <v/>
      </c>
      <c r="M38" s="20">
        <f>'06_직무역량평가'!J38</f>
        <v/>
      </c>
      <c r="N38" s="20">
        <f>'06_직무역량평가'!J83</f>
        <v/>
      </c>
      <c r="O38" s="56">
        <f>IF(OR(M38="",N38=""),"",IF(M38="S",5,IF(M38="A",4,IF(M38="B",3,IF(M38="C",2,IF(M38="D",1,0))))) * '02_의사결정·종합결과'!$B$7 + IF(N38="S",5,IF(N38="A",4,IF(N38="B",3,IF(N38="C",2,IF(N38="D",1,0))))) * '02_의사결정·종합결과'!$B$8)</f>
        <v/>
      </c>
      <c r="P38" s="30">
        <f>IFERROR(VLOOKUP(F38,'02_의사결정·종합결과'!$A$16:$D$22,2,FALSE),"")</f>
        <v/>
      </c>
      <c r="Q38" s="30">
        <f>IFERROR(VLOOKUP(F38,'02_의사결정·종합결과'!$A$16:$D$22,3,FALSE),"")</f>
        <v/>
      </c>
      <c r="R38" s="30">
        <f>IFERROR(VLOOKUP(F38,'02_의사결정·종합결과'!$A$16:$D$22,4,FALSE),"")</f>
        <v/>
      </c>
      <c r="S38" s="60">
        <f>IF(OR(I38="",L38="",O38=""),"",I38*P38+L38*Q38+O38*R38)</f>
        <v/>
      </c>
      <c r="T38" s="57">
        <f>IF(S38="","",IF(S38&gt;=4.5,"S",IF(S38&gt;=3.5,"A",IF(S38&gt;=2.5,"B",IF(S38&gt;=1.5,"C","D")))))</f>
        <v/>
      </c>
      <c r="U38" s="61">
        <f>IF('02_의사결정·종합결과'!$B$6="절대평가",T38,T38)</f>
        <v/>
      </c>
      <c r="V38" s="4" t="inlineStr"/>
    </row>
    <row r="39" ht="22" customHeight="1">
      <c r="A39" s="33">
        <f>'01_인적정보'!A39</f>
        <v/>
      </c>
      <c r="B39" s="33">
        <f>'01_인적정보'!B39</f>
        <v/>
      </c>
      <c r="C39" s="8">
        <f>'01_인적정보'!C39</f>
        <v/>
      </c>
      <c r="D39" s="8">
        <f>'01_인적정보'!D39</f>
        <v/>
      </c>
      <c r="E39" s="8">
        <f>'01_인적정보'!E39</f>
        <v/>
      </c>
      <c r="F39" s="16">
        <f>'01_인적정보'!H39</f>
        <v/>
      </c>
      <c r="G39" s="20">
        <f>'04_역할평가'!O46</f>
        <v/>
      </c>
      <c r="H39" s="20">
        <f>'04_역할평가'!O91</f>
        <v/>
      </c>
      <c r="I39" s="56">
        <f>IF(OR(G39="",H39=""),"",(IF(G39="S",5,IF(G39="A",4,IF(G39="B",3,IF(G39="C",2,IF(G39="D",1,0))))) * '02_의사결정·종합결과'!$B$7 + IF(H39="S",5,IF(H39="A",4,IF(H39="B",3,IF(H39="C",2,IF(H39="D",1,0))))) * '02_의사결정·종합결과'!$B$8))</f>
        <v/>
      </c>
      <c r="J39" s="20">
        <f>'05_공통역량평가'!Q39</f>
        <v/>
      </c>
      <c r="K39" s="20">
        <f>'05_공통역량평가'!Q79</f>
        <v/>
      </c>
      <c r="L39" s="56">
        <f>IF(OR(J39="",K39=""),"",IF(J39="S",5,IF(J39="A",4,IF(J39="B",3,IF(J39="C",2,IF(J39="D",1,0))))) * '02_의사결정·종합결과'!$B$7 + IF(K39="S",5,IF(K39="A",4,IF(K39="B",3,IF(K39="C",2,IF(K39="D",1,0))))) * '02_의사결정·종합결과'!$B$8)</f>
        <v/>
      </c>
      <c r="M39" s="20">
        <f>'06_직무역량평가'!J39</f>
        <v/>
      </c>
      <c r="N39" s="20">
        <f>'06_직무역량평가'!J84</f>
        <v/>
      </c>
      <c r="O39" s="56">
        <f>IF(OR(M39="",N39=""),"",IF(M39="S",5,IF(M39="A",4,IF(M39="B",3,IF(M39="C",2,IF(M39="D",1,0))))) * '02_의사결정·종합결과'!$B$7 + IF(N39="S",5,IF(N39="A",4,IF(N39="B",3,IF(N39="C",2,IF(N39="D",1,0))))) * '02_의사결정·종합결과'!$B$8)</f>
        <v/>
      </c>
      <c r="P39" s="30">
        <f>IFERROR(VLOOKUP(F39,'02_의사결정·종합결과'!$A$16:$D$22,2,FALSE),"")</f>
        <v/>
      </c>
      <c r="Q39" s="30">
        <f>IFERROR(VLOOKUP(F39,'02_의사결정·종합결과'!$A$16:$D$22,3,FALSE),"")</f>
        <v/>
      </c>
      <c r="R39" s="30">
        <f>IFERROR(VLOOKUP(F39,'02_의사결정·종합결과'!$A$16:$D$22,4,FALSE),"")</f>
        <v/>
      </c>
      <c r="S39" s="60">
        <f>IF(OR(I39="",L39="",O39=""),"",I39*P39+L39*Q39+O39*R39)</f>
        <v/>
      </c>
      <c r="T39" s="57">
        <f>IF(S39="","",IF(S39&gt;=4.5,"S",IF(S39&gt;=3.5,"A",IF(S39&gt;=2.5,"B",IF(S39&gt;=1.5,"C","D")))))</f>
        <v/>
      </c>
      <c r="U39" s="61">
        <f>IF('02_의사결정·종합결과'!$B$6="절대평가",T39,T39)</f>
        <v/>
      </c>
      <c r="V39" s="4" t="inlineStr"/>
    </row>
  </sheetData>
  <mergeCells count="2">
    <mergeCell ref="A2:V2"/>
    <mergeCell ref="A1:V1"/>
  </mergeCells>
  <conditionalFormatting sqref="G6:U39">
    <cfRule type="cellIs" priority="1" operator="equal" dxfId="2">
      <formula>"S"</formula>
    </cfRule>
    <cfRule type="cellIs" priority="2" operator="equal" dxfId="3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/>
  </sheetPr>
  <dimension ref="A1:Q41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1" customWidth="1" min="4" max="4"/>
    <col width="11" customWidth="1" min="5" max="5"/>
    <col width="7" customWidth="1" min="6" max="6"/>
    <col width="12" customWidth="1" min="7" max="7"/>
    <col width="8" customWidth="1" min="8" max="8"/>
    <col width="9" customWidth="1" min="9" max="9"/>
    <col width="8" customWidth="1" min="10" max="10"/>
    <col width="9" customWidth="1" min="11" max="11"/>
    <col width="9" customWidth="1" min="12" max="12"/>
    <col width="12" customWidth="1" min="13" max="13"/>
    <col width="12" customWidth="1" min="14" max="14"/>
    <col width="13" customWidth="1" min="15" max="15"/>
    <col width="13" customWidth="1" min="16" max="16"/>
    <col width="11" customWidth="1" min="17" max="17"/>
  </cols>
  <sheetData>
    <row r="1" ht="28" customHeight="1">
      <c r="A1" s="1" t="inlineStr">
        <is>
          <t>성과평가 → 보상 연계 (기본연봉 인상)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9" t="n"/>
    </row>
    <row r="2">
      <c r="A2" s="2" t="inlineStr">
        <is>
          <t>08 종합평가의 최종등급 → 인상률 → 차년도 기본연봉 자동 산출. 페이밴드 검증 포함.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9" t="n"/>
    </row>
    <row r="5" ht="32" customHeight="1">
      <c r="A5" s="43" t="inlineStr">
        <is>
          <t>No.</t>
        </is>
      </c>
      <c r="B5" s="43" t="inlineStr">
        <is>
          <t>사번</t>
        </is>
      </c>
      <c r="C5" s="43" t="inlineStr">
        <is>
          <t>성명</t>
        </is>
      </c>
      <c r="D5" s="43" t="inlineStr">
        <is>
          <t>직군</t>
        </is>
      </c>
      <c r="E5" s="43" t="inlineStr">
        <is>
          <t>부서</t>
        </is>
      </c>
      <c r="F5" s="43" t="inlineStr">
        <is>
          <t>역할등급</t>
        </is>
      </c>
      <c r="G5" s="43" t="inlineStr">
        <is>
          <t>현재 연봉</t>
        </is>
      </c>
      <c r="H5" s="43" t="inlineStr">
        <is>
          <t>최종등급</t>
        </is>
      </c>
      <c r="I5" s="43" t="inlineStr">
        <is>
          <t>평가인상률</t>
        </is>
      </c>
      <c r="J5" s="43" t="inlineStr">
        <is>
          <t>승진여부</t>
        </is>
      </c>
      <c r="K5" s="43" t="inlineStr">
        <is>
          <t>승진인상률</t>
        </is>
      </c>
      <c r="L5" s="43" t="inlineStr">
        <is>
          <t>총인상률</t>
        </is>
      </c>
      <c r="M5" s="43" t="inlineStr">
        <is>
          <t>페이밴드 Min</t>
        </is>
      </c>
      <c r="N5" s="43" t="inlineStr">
        <is>
          <t>페이밴드 Max</t>
        </is>
      </c>
      <c r="O5" s="43" t="inlineStr">
        <is>
          <t>신규연봉(안)</t>
        </is>
      </c>
      <c r="P5" s="43" t="inlineStr">
        <is>
          <t>연봉확정</t>
        </is>
      </c>
      <c r="Q5" s="43" t="inlineStr">
        <is>
          <t>인상액</t>
        </is>
      </c>
    </row>
    <row r="6" ht="22" customHeight="1">
      <c r="A6" s="33">
        <f>'01_인적정보'!A6</f>
        <v/>
      </c>
      <c r="B6" s="33">
        <f>'01_인적정보'!B6</f>
        <v/>
      </c>
      <c r="C6" s="8">
        <f>'01_인적정보'!C6</f>
        <v/>
      </c>
      <c r="D6" s="8">
        <f>'01_인적정보'!D6</f>
        <v/>
      </c>
      <c r="E6" s="8">
        <f>'01_인적정보'!F6</f>
        <v/>
      </c>
      <c r="F6" s="16">
        <f>'01_인적정보'!H6</f>
        <v/>
      </c>
      <c r="G6" s="62">
        <f>'01_인적정보'!K6</f>
        <v/>
      </c>
      <c r="H6" s="57">
        <f>'08_종합평가'!U6</f>
        <v/>
      </c>
      <c r="I6" s="32">
        <f>IF(H6="","",IF(H6="S",'02_의사결정·종합결과'!$B$26,IF(H6="A",'02_의사결정·종합결과'!$C$26,IF(H6="B",'02_의사결정·종합결과'!$D$26,IF(H6="C",'02_의사결정·종합결과'!$E$26,'02_의사결정·종합결과'!$F$26)))))</f>
        <v/>
      </c>
      <c r="J6" s="23" t="inlineStr">
        <is>
          <t>N</t>
        </is>
      </c>
      <c r="K6" s="32">
        <f>IF(J6="Y",'02_의사결정·종합결과'!$B$28,0)</f>
        <v/>
      </c>
      <c r="L6" s="63">
        <f>IF(I6="","",I6+K6)</f>
        <v/>
      </c>
      <c r="M6" s="64">
        <f>IFERROR(VLOOKUP(F6,'02_의사결정·종합결과'!$A$32:$D$38,2,FALSE),"")</f>
        <v/>
      </c>
      <c r="N6" s="64">
        <f>IFERROR(VLOOKUP(F6,'02_의사결정·종합결과'!$A$32:$D$38,4,FALSE),"")</f>
        <v/>
      </c>
      <c r="O6" s="64">
        <f>IF(L6="","",ROUND(G6*(1+L6),-4))</f>
        <v/>
      </c>
      <c r="P6" s="65">
        <f>O6</f>
        <v/>
      </c>
      <c r="Q6" s="64">
        <f>IF(P6="","",P6-G6)</f>
        <v/>
      </c>
    </row>
    <row r="7" ht="22" customHeight="1">
      <c r="A7" s="33">
        <f>'01_인적정보'!A7</f>
        <v/>
      </c>
      <c r="B7" s="33">
        <f>'01_인적정보'!B7</f>
        <v/>
      </c>
      <c r="C7" s="8">
        <f>'01_인적정보'!C7</f>
        <v/>
      </c>
      <c r="D7" s="8">
        <f>'01_인적정보'!D7</f>
        <v/>
      </c>
      <c r="E7" s="8">
        <f>'01_인적정보'!F7</f>
        <v/>
      </c>
      <c r="F7" s="16">
        <f>'01_인적정보'!H7</f>
        <v/>
      </c>
      <c r="G7" s="62">
        <f>'01_인적정보'!K7</f>
        <v/>
      </c>
      <c r="H7" s="57">
        <f>'08_종합평가'!U7</f>
        <v/>
      </c>
      <c r="I7" s="32">
        <f>IF(H7="","",IF(H7="S",'02_의사결정·종합결과'!$B$26,IF(H7="A",'02_의사결정·종합결과'!$C$26,IF(H7="B",'02_의사결정·종합결과'!$D$26,IF(H7="C",'02_의사결정·종합결과'!$E$26,'02_의사결정·종합결과'!$F$26)))))</f>
        <v/>
      </c>
      <c r="J7" s="23" t="inlineStr">
        <is>
          <t>N</t>
        </is>
      </c>
      <c r="K7" s="32">
        <f>IF(J7="Y",'02_의사결정·종합결과'!$B$28,0)</f>
        <v/>
      </c>
      <c r="L7" s="63">
        <f>IF(I7="","",I7+K7)</f>
        <v/>
      </c>
      <c r="M7" s="64">
        <f>IFERROR(VLOOKUP(F7,'02_의사결정·종합결과'!$A$32:$D$38,2,FALSE),"")</f>
        <v/>
      </c>
      <c r="N7" s="64">
        <f>IFERROR(VLOOKUP(F7,'02_의사결정·종합결과'!$A$32:$D$38,4,FALSE),"")</f>
        <v/>
      </c>
      <c r="O7" s="64">
        <f>IF(L7="","",ROUND(G7*(1+L7),-4))</f>
        <v/>
      </c>
      <c r="P7" s="65">
        <f>O7</f>
        <v/>
      </c>
      <c r="Q7" s="64">
        <f>IF(P7="","",P7-G7)</f>
        <v/>
      </c>
    </row>
    <row r="8" ht="22" customHeight="1">
      <c r="A8" s="33">
        <f>'01_인적정보'!A8</f>
        <v/>
      </c>
      <c r="B8" s="33">
        <f>'01_인적정보'!B8</f>
        <v/>
      </c>
      <c r="C8" s="8">
        <f>'01_인적정보'!C8</f>
        <v/>
      </c>
      <c r="D8" s="8">
        <f>'01_인적정보'!D8</f>
        <v/>
      </c>
      <c r="E8" s="8">
        <f>'01_인적정보'!F8</f>
        <v/>
      </c>
      <c r="F8" s="16">
        <f>'01_인적정보'!H8</f>
        <v/>
      </c>
      <c r="G8" s="62">
        <f>'01_인적정보'!K8</f>
        <v/>
      </c>
      <c r="H8" s="57">
        <f>'08_종합평가'!U8</f>
        <v/>
      </c>
      <c r="I8" s="32">
        <f>IF(H8="","",IF(H8="S",'02_의사결정·종합결과'!$B$26,IF(H8="A",'02_의사결정·종합결과'!$C$26,IF(H8="B",'02_의사결정·종합결과'!$D$26,IF(H8="C",'02_의사결정·종합결과'!$E$26,'02_의사결정·종합결과'!$F$26)))))</f>
        <v/>
      </c>
      <c r="J8" s="23" t="inlineStr">
        <is>
          <t>N</t>
        </is>
      </c>
      <c r="K8" s="32">
        <f>IF(J8="Y",'02_의사결정·종합결과'!$B$28,0)</f>
        <v/>
      </c>
      <c r="L8" s="63">
        <f>IF(I8="","",I8+K8)</f>
        <v/>
      </c>
      <c r="M8" s="64">
        <f>IFERROR(VLOOKUP(F8,'02_의사결정·종합결과'!$A$32:$D$38,2,FALSE),"")</f>
        <v/>
      </c>
      <c r="N8" s="64">
        <f>IFERROR(VLOOKUP(F8,'02_의사결정·종합결과'!$A$32:$D$38,4,FALSE),"")</f>
        <v/>
      </c>
      <c r="O8" s="64">
        <f>IF(L8="","",ROUND(G8*(1+L8),-4))</f>
        <v/>
      </c>
      <c r="P8" s="65">
        <f>O8</f>
        <v/>
      </c>
      <c r="Q8" s="64">
        <f>IF(P8="","",P8-G8)</f>
        <v/>
      </c>
    </row>
    <row r="9" ht="22" customHeight="1">
      <c r="A9" s="33">
        <f>'01_인적정보'!A9</f>
        <v/>
      </c>
      <c r="B9" s="33">
        <f>'01_인적정보'!B9</f>
        <v/>
      </c>
      <c r="C9" s="8">
        <f>'01_인적정보'!C9</f>
        <v/>
      </c>
      <c r="D9" s="8">
        <f>'01_인적정보'!D9</f>
        <v/>
      </c>
      <c r="E9" s="8">
        <f>'01_인적정보'!F9</f>
        <v/>
      </c>
      <c r="F9" s="16">
        <f>'01_인적정보'!H9</f>
        <v/>
      </c>
      <c r="G9" s="62">
        <f>'01_인적정보'!K9</f>
        <v/>
      </c>
      <c r="H9" s="57">
        <f>'08_종합평가'!U9</f>
        <v/>
      </c>
      <c r="I9" s="32">
        <f>IF(H9="","",IF(H9="S",'02_의사결정·종합결과'!$B$26,IF(H9="A",'02_의사결정·종합결과'!$C$26,IF(H9="B",'02_의사결정·종합결과'!$D$26,IF(H9="C",'02_의사결정·종합결과'!$E$26,'02_의사결정·종합결과'!$F$26)))))</f>
        <v/>
      </c>
      <c r="J9" s="23" t="inlineStr">
        <is>
          <t>N</t>
        </is>
      </c>
      <c r="K9" s="32">
        <f>IF(J9="Y",'02_의사결정·종합결과'!$B$28,0)</f>
        <v/>
      </c>
      <c r="L9" s="63">
        <f>IF(I9="","",I9+K9)</f>
        <v/>
      </c>
      <c r="M9" s="64">
        <f>IFERROR(VLOOKUP(F9,'02_의사결정·종합결과'!$A$32:$D$38,2,FALSE),"")</f>
        <v/>
      </c>
      <c r="N9" s="64">
        <f>IFERROR(VLOOKUP(F9,'02_의사결정·종합결과'!$A$32:$D$38,4,FALSE),"")</f>
        <v/>
      </c>
      <c r="O9" s="64">
        <f>IF(L9="","",ROUND(G9*(1+L9),-4))</f>
        <v/>
      </c>
      <c r="P9" s="65">
        <f>O9</f>
        <v/>
      </c>
      <c r="Q9" s="64">
        <f>IF(P9="","",P9-G9)</f>
        <v/>
      </c>
    </row>
    <row r="10" ht="22" customHeight="1">
      <c r="A10" s="33">
        <f>'01_인적정보'!A10</f>
        <v/>
      </c>
      <c r="B10" s="33">
        <f>'01_인적정보'!B10</f>
        <v/>
      </c>
      <c r="C10" s="8">
        <f>'01_인적정보'!C10</f>
        <v/>
      </c>
      <c r="D10" s="8">
        <f>'01_인적정보'!D10</f>
        <v/>
      </c>
      <c r="E10" s="8">
        <f>'01_인적정보'!F10</f>
        <v/>
      </c>
      <c r="F10" s="16">
        <f>'01_인적정보'!H10</f>
        <v/>
      </c>
      <c r="G10" s="62">
        <f>'01_인적정보'!K10</f>
        <v/>
      </c>
      <c r="H10" s="57">
        <f>'08_종합평가'!U10</f>
        <v/>
      </c>
      <c r="I10" s="32">
        <f>IF(H10="","",IF(H10="S",'02_의사결정·종합결과'!$B$26,IF(H10="A",'02_의사결정·종합결과'!$C$26,IF(H10="B",'02_의사결정·종합결과'!$D$26,IF(H10="C",'02_의사결정·종합결과'!$E$26,'02_의사결정·종합결과'!$F$26)))))</f>
        <v/>
      </c>
      <c r="J10" s="23" t="inlineStr">
        <is>
          <t>N</t>
        </is>
      </c>
      <c r="K10" s="32">
        <f>IF(J10="Y",'02_의사결정·종합결과'!$B$28,0)</f>
        <v/>
      </c>
      <c r="L10" s="63">
        <f>IF(I10="","",I10+K10)</f>
        <v/>
      </c>
      <c r="M10" s="64">
        <f>IFERROR(VLOOKUP(F10,'02_의사결정·종합결과'!$A$32:$D$38,2,FALSE),"")</f>
        <v/>
      </c>
      <c r="N10" s="64">
        <f>IFERROR(VLOOKUP(F10,'02_의사결정·종합결과'!$A$32:$D$38,4,FALSE),"")</f>
        <v/>
      </c>
      <c r="O10" s="64">
        <f>IF(L10="","",ROUND(G10*(1+L10),-4))</f>
        <v/>
      </c>
      <c r="P10" s="65">
        <f>O10</f>
        <v/>
      </c>
      <c r="Q10" s="64">
        <f>IF(P10="","",P10-G10)</f>
        <v/>
      </c>
    </row>
    <row r="11" ht="22" customHeight="1">
      <c r="A11" s="33">
        <f>'01_인적정보'!A11</f>
        <v/>
      </c>
      <c r="B11" s="33">
        <f>'01_인적정보'!B11</f>
        <v/>
      </c>
      <c r="C11" s="8">
        <f>'01_인적정보'!C11</f>
        <v/>
      </c>
      <c r="D11" s="8">
        <f>'01_인적정보'!D11</f>
        <v/>
      </c>
      <c r="E11" s="8">
        <f>'01_인적정보'!F11</f>
        <v/>
      </c>
      <c r="F11" s="16">
        <f>'01_인적정보'!H11</f>
        <v/>
      </c>
      <c r="G11" s="62">
        <f>'01_인적정보'!K11</f>
        <v/>
      </c>
      <c r="H11" s="57">
        <f>'08_종합평가'!U11</f>
        <v/>
      </c>
      <c r="I11" s="32">
        <f>IF(H11="","",IF(H11="S",'02_의사결정·종합결과'!$B$26,IF(H11="A",'02_의사결정·종합결과'!$C$26,IF(H11="B",'02_의사결정·종합결과'!$D$26,IF(H11="C",'02_의사결정·종합결과'!$E$26,'02_의사결정·종합결과'!$F$26)))))</f>
        <v/>
      </c>
      <c r="J11" s="23" t="inlineStr">
        <is>
          <t>N</t>
        </is>
      </c>
      <c r="K11" s="32">
        <f>IF(J11="Y",'02_의사결정·종합결과'!$B$28,0)</f>
        <v/>
      </c>
      <c r="L11" s="63">
        <f>IF(I11="","",I11+K11)</f>
        <v/>
      </c>
      <c r="M11" s="64">
        <f>IFERROR(VLOOKUP(F11,'02_의사결정·종합결과'!$A$32:$D$38,2,FALSE),"")</f>
        <v/>
      </c>
      <c r="N11" s="64">
        <f>IFERROR(VLOOKUP(F11,'02_의사결정·종합결과'!$A$32:$D$38,4,FALSE),"")</f>
        <v/>
      </c>
      <c r="O11" s="64">
        <f>IF(L11="","",ROUND(G11*(1+L11),-4))</f>
        <v/>
      </c>
      <c r="P11" s="65">
        <f>O11</f>
        <v/>
      </c>
      <c r="Q11" s="64">
        <f>IF(P11="","",P11-G11)</f>
        <v/>
      </c>
    </row>
    <row r="12" ht="22" customHeight="1">
      <c r="A12" s="33">
        <f>'01_인적정보'!A12</f>
        <v/>
      </c>
      <c r="B12" s="33">
        <f>'01_인적정보'!B12</f>
        <v/>
      </c>
      <c r="C12" s="8">
        <f>'01_인적정보'!C12</f>
        <v/>
      </c>
      <c r="D12" s="8">
        <f>'01_인적정보'!D12</f>
        <v/>
      </c>
      <c r="E12" s="8">
        <f>'01_인적정보'!F12</f>
        <v/>
      </c>
      <c r="F12" s="16">
        <f>'01_인적정보'!H12</f>
        <v/>
      </c>
      <c r="G12" s="62">
        <f>'01_인적정보'!K12</f>
        <v/>
      </c>
      <c r="H12" s="57">
        <f>'08_종합평가'!U12</f>
        <v/>
      </c>
      <c r="I12" s="32">
        <f>IF(H12="","",IF(H12="S",'02_의사결정·종합결과'!$B$26,IF(H12="A",'02_의사결정·종합결과'!$C$26,IF(H12="B",'02_의사결정·종합결과'!$D$26,IF(H12="C",'02_의사결정·종합결과'!$E$26,'02_의사결정·종합결과'!$F$26)))))</f>
        <v/>
      </c>
      <c r="J12" s="23" t="inlineStr">
        <is>
          <t>N</t>
        </is>
      </c>
      <c r="K12" s="32">
        <f>IF(J12="Y",'02_의사결정·종합결과'!$B$28,0)</f>
        <v/>
      </c>
      <c r="L12" s="63">
        <f>IF(I12="","",I12+K12)</f>
        <v/>
      </c>
      <c r="M12" s="64">
        <f>IFERROR(VLOOKUP(F12,'02_의사결정·종합결과'!$A$32:$D$38,2,FALSE),"")</f>
        <v/>
      </c>
      <c r="N12" s="64">
        <f>IFERROR(VLOOKUP(F12,'02_의사결정·종합결과'!$A$32:$D$38,4,FALSE),"")</f>
        <v/>
      </c>
      <c r="O12" s="64">
        <f>IF(L12="","",ROUND(G12*(1+L12),-4))</f>
        <v/>
      </c>
      <c r="P12" s="65">
        <f>O12</f>
        <v/>
      </c>
      <c r="Q12" s="64">
        <f>IF(P12="","",P12-G12)</f>
        <v/>
      </c>
    </row>
    <row r="13" ht="22" customHeight="1">
      <c r="A13" s="33">
        <f>'01_인적정보'!A13</f>
        <v/>
      </c>
      <c r="B13" s="33">
        <f>'01_인적정보'!B13</f>
        <v/>
      </c>
      <c r="C13" s="8">
        <f>'01_인적정보'!C13</f>
        <v/>
      </c>
      <c r="D13" s="8">
        <f>'01_인적정보'!D13</f>
        <v/>
      </c>
      <c r="E13" s="8">
        <f>'01_인적정보'!F13</f>
        <v/>
      </c>
      <c r="F13" s="16">
        <f>'01_인적정보'!H13</f>
        <v/>
      </c>
      <c r="G13" s="62">
        <f>'01_인적정보'!K13</f>
        <v/>
      </c>
      <c r="H13" s="57">
        <f>'08_종합평가'!U13</f>
        <v/>
      </c>
      <c r="I13" s="32">
        <f>IF(H13="","",IF(H13="S",'02_의사결정·종합결과'!$B$26,IF(H13="A",'02_의사결정·종합결과'!$C$26,IF(H13="B",'02_의사결정·종합결과'!$D$26,IF(H13="C",'02_의사결정·종합결과'!$E$26,'02_의사결정·종합결과'!$F$26)))))</f>
        <v/>
      </c>
      <c r="J13" s="23" t="inlineStr">
        <is>
          <t>N</t>
        </is>
      </c>
      <c r="K13" s="32">
        <f>IF(J13="Y",'02_의사결정·종합결과'!$B$28,0)</f>
        <v/>
      </c>
      <c r="L13" s="63">
        <f>IF(I13="","",I13+K13)</f>
        <v/>
      </c>
      <c r="M13" s="64">
        <f>IFERROR(VLOOKUP(F13,'02_의사결정·종합결과'!$A$32:$D$38,2,FALSE),"")</f>
        <v/>
      </c>
      <c r="N13" s="64">
        <f>IFERROR(VLOOKUP(F13,'02_의사결정·종합결과'!$A$32:$D$38,4,FALSE),"")</f>
        <v/>
      </c>
      <c r="O13" s="64">
        <f>IF(L13="","",ROUND(G13*(1+L13),-4))</f>
        <v/>
      </c>
      <c r="P13" s="65">
        <f>O13</f>
        <v/>
      </c>
      <c r="Q13" s="64">
        <f>IF(P13="","",P13-G13)</f>
        <v/>
      </c>
    </row>
    <row r="14" ht="22" customHeight="1">
      <c r="A14" s="33">
        <f>'01_인적정보'!A14</f>
        <v/>
      </c>
      <c r="B14" s="33">
        <f>'01_인적정보'!B14</f>
        <v/>
      </c>
      <c r="C14" s="8">
        <f>'01_인적정보'!C14</f>
        <v/>
      </c>
      <c r="D14" s="8">
        <f>'01_인적정보'!D14</f>
        <v/>
      </c>
      <c r="E14" s="8">
        <f>'01_인적정보'!F14</f>
        <v/>
      </c>
      <c r="F14" s="16">
        <f>'01_인적정보'!H14</f>
        <v/>
      </c>
      <c r="G14" s="62">
        <f>'01_인적정보'!K14</f>
        <v/>
      </c>
      <c r="H14" s="57">
        <f>'08_종합평가'!U14</f>
        <v/>
      </c>
      <c r="I14" s="32">
        <f>IF(H14="","",IF(H14="S",'02_의사결정·종합결과'!$B$26,IF(H14="A",'02_의사결정·종합결과'!$C$26,IF(H14="B",'02_의사결정·종합결과'!$D$26,IF(H14="C",'02_의사결정·종합결과'!$E$26,'02_의사결정·종합결과'!$F$26)))))</f>
        <v/>
      </c>
      <c r="J14" s="23" t="inlineStr">
        <is>
          <t>N</t>
        </is>
      </c>
      <c r="K14" s="32">
        <f>IF(J14="Y",'02_의사결정·종합결과'!$B$28,0)</f>
        <v/>
      </c>
      <c r="L14" s="63">
        <f>IF(I14="","",I14+K14)</f>
        <v/>
      </c>
      <c r="M14" s="64">
        <f>IFERROR(VLOOKUP(F14,'02_의사결정·종합결과'!$A$32:$D$38,2,FALSE),"")</f>
        <v/>
      </c>
      <c r="N14" s="64">
        <f>IFERROR(VLOOKUP(F14,'02_의사결정·종합결과'!$A$32:$D$38,4,FALSE),"")</f>
        <v/>
      </c>
      <c r="O14" s="64">
        <f>IF(L14="","",ROUND(G14*(1+L14),-4))</f>
        <v/>
      </c>
      <c r="P14" s="65">
        <f>O14</f>
        <v/>
      </c>
      <c r="Q14" s="64">
        <f>IF(P14="","",P14-G14)</f>
        <v/>
      </c>
    </row>
    <row r="15" ht="22" customHeight="1">
      <c r="A15" s="33">
        <f>'01_인적정보'!A15</f>
        <v/>
      </c>
      <c r="B15" s="33">
        <f>'01_인적정보'!B15</f>
        <v/>
      </c>
      <c r="C15" s="8">
        <f>'01_인적정보'!C15</f>
        <v/>
      </c>
      <c r="D15" s="8">
        <f>'01_인적정보'!D15</f>
        <v/>
      </c>
      <c r="E15" s="8">
        <f>'01_인적정보'!F15</f>
        <v/>
      </c>
      <c r="F15" s="16">
        <f>'01_인적정보'!H15</f>
        <v/>
      </c>
      <c r="G15" s="62">
        <f>'01_인적정보'!K15</f>
        <v/>
      </c>
      <c r="H15" s="57">
        <f>'08_종합평가'!U15</f>
        <v/>
      </c>
      <c r="I15" s="32">
        <f>IF(H15="","",IF(H15="S",'02_의사결정·종합결과'!$B$26,IF(H15="A",'02_의사결정·종합결과'!$C$26,IF(H15="B",'02_의사결정·종합결과'!$D$26,IF(H15="C",'02_의사결정·종합결과'!$E$26,'02_의사결정·종합결과'!$F$26)))))</f>
        <v/>
      </c>
      <c r="J15" s="23" t="inlineStr">
        <is>
          <t>N</t>
        </is>
      </c>
      <c r="K15" s="32">
        <f>IF(J15="Y",'02_의사결정·종합결과'!$B$28,0)</f>
        <v/>
      </c>
      <c r="L15" s="63">
        <f>IF(I15="","",I15+K15)</f>
        <v/>
      </c>
      <c r="M15" s="64">
        <f>IFERROR(VLOOKUP(F15,'02_의사결정·종합결과'!$A$32:$D$38,2,FALSE),"")</f>
        <v/>
      </c>
      <c r="N15" s="64">
        <f>IFERROR(VLOOKUP(F15,'02_의사결정·종합결과'!$A$32:$D$38,4,FALSE),"")</f>
        <v/>
      </c>
      <c r="O15" s="64">
        <f>IF(L15="","",ROUND(G15*(1+L15),-4))</f>
        <v/>
      </c>
      <c r="P15" s="65">
        <f>O15</f>
        <v/>
      </c>
      <c r="Q15" s="64">
        <f>IF(P15="","",P15-G15)</f>
        <v/>
      </c>
    </row>
    <row r="16" ht="22" customHeight="1">
      <c r="A16" s="33">
        <f>'01_인적정보'!A16</f>
        <v/>
      </c>
      <c r="B16" s="33">
        <f>'01_인적정보'!B16</f>
        <v/>
      </c>
      <c r="C16" s="8">
        <f>'01_인적정보'!C16</f>
        <v/>
      </c>
      <c r="D16" s="8">
        <f>'01_인적정보'!D16</f>
        <v/>
      </c>
      <c r="E16" s="8">
        <f>'01_인적정보'!F16</f>
        <v/>
      </c>
      <c r="F16" s="16">
        <f>'01_인적정보'!H16</f>
        <v/>
      </c>
      <c r="G16" s="62">
        <f>'01_인적정보'!K16</f>
        <v/>
      </c>
      <c r="H16" s="57">
        <f>'08_종합평가'!U16</f>
        <v/>
      </c>
      <c r="I16" s="32">
        <f>IF(H16="","",IF(H16="S",'02_의사결정·종합결과'!$B$26,IF(H16="A",'02_의사결정·종합결과'!$C$26,IF(H16="B",'02_의사결정·종합결과'!$D$26,IF(H16="C",'02_의사결정·종합결과'!$E$26,'02_의사결정·종합결과'!$F$26)))))</f>
        <v/>
      </c>
      <c r="J16" s="23" t="inlineStr">
        <is>
          <t>N</t>
        </is>
      </c>
      <c r="K16" s="32">
        <f>IF(J16="Y",'02_의사결정·종합결과'!$B$28,0)</f>
        <v/>
      </c>
      <c r="L16" s="63">
        <f>IF(I16="","",I16+K16)</f>
        <v/>
      </c>
      <c r="M16" s="64">
        <f>IFERROR(VLOOKUP(F16,'02_의사결정·종합결과'!$A$32:$D$38,2,FALSE),"")</f>
        <v/>
      </c>
      <c r="N16" s="64">
        <f>IFERROR(VLOOKUP(F16,'02_의사결정·종합결과'!$A$32:$D$38,4,FALSE),"")</f>
        <v/>
      </c>
      <c r="O16" s="64">
        <f>IF(L16="","",ROUND(G16*(1+L16),-4))</f>
        <v/>
      </c>
      <c r="P16" s="65">
        <f>O16</f>
        <v/>
      </c>
      <c r="Q16" s="64">
        <f>IF(P16="","",P16-G16)</f>
        <v/>
      </c>
    </row>
    <row r="17" ht="22" customHeight="1">
      <c r="A17" s="33">
        <f>'01_인적정보'!A17</f>
        <v/>
      </c>
      <c r="B17" s="33">
        <f>'01_인적정보'!B17</f>
        <v/>
      </c>
      <c r="C17" s="8">
        <f>'01_인적정보'!C17</f>
        <v/>
      </c>
      <c r="D17" s="8">
        <f>'01_인적정보'!D17</f>
        <v/>
      </c>
      <c r="E17" s="8">
        <f>'01_인적정보'!F17</f>
        <v/>
      </c>
      <c r="F17" s="16">
        <f>'01_인적정보'!H17</f>
        <v/>
      </c>
      <c r="G17" s="62">
        <f>'01_인적정보'!K17</f>
        <v/>
      </c>
      <c r="H17" s="57">
        <f>'08_종합평가'!U17</f>
        <v/>
      </c>
      <c r="I17" s="32">
        <f>IF(H17="","",IF(H17="S",'02_의사결정·종합결과'!$B$26,IF(H17="A",'02_의사결정·종합결과'!$C$26,IF(H17="B",'02_의사결정·종합결과'!$D$26,IF(H17="C",'02_의사결정·종합결과'!$E$26,'02_의사결정·종합결과'!$F$26)))))</f>
        <v/>
      </c>
      <c r="J17" s="23" t="inlineStr">
        <is>
          <t>N</t>
        </is>
      </c>
      <c r="K17" s="32">
        <f>IF(J17="Y",'02_의사결정·종합결과'!$B$28,0)</f>
        <v/>
      </c>
      <c r="L17" s="63">
        <f>IF(I17="","",I17+K17)</f>
        <v/>
      </c>
      <c r="M17" s="64">
        <f>IFERROR(VLOOKUP(F17,'02_의사결정·종합결과'!$A$32:$D$38,2,FALSE),"")</f>
        <v/>
      </c>
      <c r="N17" s="64">
        <f>IFERROR(VLOOKUP(F17,'02_의사결정·종합결과'!$A$32:$D$38,4,FALSE),"")</f>
        <v/>
      </c>
      <c r="O17" s="64">
        <f>IF(L17="","",ROUND(G17*(1+L17),-4))</f>
        <v/>
      </c>
      <c r="P17" s="65">
        <f>O17</f>
        <v/>
      </c>
      <c r="Q17" s="64">
        <f>IF(P17="","",P17-G17)</f>
        <v/>
      </c>
    </row>
    <row r="18" ht="22" customHeight="1">
      <c r="A18" s="33">
        <f>'01_인적정보'!A18</f>
        <v/>
      </c>
      <c r="B18" s="33">
        <f>'01_인적정보'!B18</f>
        <v/>
      </c>
      <c r="C18" s="8">
        <f>'01_인적정보'!C18</f>
        <v/>
      </c>
      <c r="D18" s="8">
        <f>'01_인적정보'!D18</f>
        <v/>
      </c>
      <c r="E18" s="8">
        <f>'01_인적정보'!F18</f>
        <v/>
      </c>
      <c r="F18" s="16">
        <f>'01_인적정보'!H18</f>
        <v/>
      </c>
      <c r="G18" s="62">
        <f>'01_인적정보'!K18</f>
        <v/>
      </c>
      <c r="H18" s="57">
        <f>'08_종합평가'!U18</f>
        <v/>
      </c>
      <c r="I18" s="32">
        <f>IF(H18="","",IF(H18="S",'02_의사결정·종합결과'!$B$26,IF(H18="A",'02_의사결정·종합결과'!$C$26,IF(H18="B",'02_의사결정·종합결과'!$D$26,IF(H18="C",'02_의사결정·종합결과'!$E$26,'02_의사결정·종합결과'!$F$26)))))</f>
        <v/>
      </c>
      <c r="J18" s="23" t="inlineStr">
        <is>
          <t>N</t>
        </is>
      </c>
      <c r="K18" s="32">
        <f>IF(J18="Y",'02_의사결정·종합결과'!$B$28,0)</f>
        <v/>
      </c>
      <c r="L18" s="63">
        <f>IF(I18="","",I18+K18)</f>
        <v/>
      </c>
      <c r="M18" s="64">
        <f>IFERROR(VLOOKUP(F18,'02_의사결정·종합결과'!$A$32:$D$38,2,FALSE),"")</f>
        <v/>
      </c>
      <c r="N18" s="64">
        <f>IFERROR(VLOOKUP(F18,'02_의사결정·종합결과'!$A$32:$D$38,4,FALSE),"")</f>
        <v/>
      </c>
      <c r="O18" s="64">
        <f>IF(L18="","",ROUND(G18*(1+L18),-4))</f>
        <v/>
      </c>
      <c r="P18" s="65">
        <f>O18</f>
        <v/>
      </c>
      <c r="Q18" s="64">
        <f>IF(P18="","",P18-G18)</f>
        <v/>
      </c>
    </row>
    <row r="19" ht="22" customHeight="1">
      <c r="A19" s="33">
        <f>'01_인적정보'!A19</f>
        <v/>
      </c>
      <c r="B19" s="33">
        <f>'01_인적정보'!B19</f>
        <v/>
      </c>
      <c r="C19" s="8">
        <f>'01_인적정보'!C19</f>
        <v/>
      </c>
      <c r="D19" s="8">
        <f>'01_인적정보'!D19</f>
        <v/>
      </c>
      <c r="E19" s="8">
        <f>'01_인적정보'!F19</f>
        <v/>
      </c>
      <c r="F19" s="16">
        <f>'01_인적정보'!H19</f>
        <v/>
      </c>
      <c r="G19" s="62">
        <f>'01_인적정보'!K19</f>
        <v/>
      </c>
      <c r="H19" s="57">
        <f>'08_종합평가'!U19</f>
        <v/>
      </c>
      <c r="I19" s="32">
        <f>IF(H19="","",IF(H19="S",'02_의사결정·종합결과'!$B$26,IF(H19="A",'02_의사결정·종합결과'!$C$26,IF(H19="B",'02_의사결정·종합결과'!$D$26,IF(H19="C",'02_의사결정·종합결과'!$E$26,'02_의사결정·종합결과'!$F$26)))))</f>
        <v/>
      </c>
      <c r="J19" s="23" t="inlineStr">
        <is>
          <t>N</t>
        </is>
      </c>
      <c r="K19" s="32">
        <f>IF(J19="Y",'02_의사결정·종합결과'!$B$28,0)</f>
        <v/>
      </c>
      <c r="L19" s="63">
        <f>IF(I19="","",I19+K19)</f>
        <v/>
      </c>
      <c r="M19" s="64">
        <f>IFERROR(VLOOKUP(F19,'02_의사결정·종합결과'!$A$32:$D$38,2,FALSE),"")</f>
        <v/>
      </c>
      <c r="N19" s="64">
        <f>IFERROR(VLOOKUP(F19,'02_의사결정·종합결과'!$A$32:$D$38,4,FALSE),"")</f>
        <v/>
      </c>
      <c r="O19" s="64">
        <f>IF(L19="","",ROUND(G19*(1+L19),-4))</f>
        <v/>
      </c>
      <c r="P19" s="65">
        <f>O19</f>
        <v/>
      </c>
      <c r="Q19" s="64">
        <f>IF(P19="","",P19-G19)</f>
        <v/>
      </c>
    </row>
    <row r="20" ht="22" customHeight="1">
      <c r="A20" s="33">
        <f>'01_인적정보'!A20</f>
        <v/>
      </c>
      <c r="B20" s="33">
        <f>'01_인적정보'!B20</f>
        <v/>
      </c>
      <c r="C20" s="8">
        <f>'01_인적정보'!C20</f>
        <v/>
      </c>
      <c r="D20" s="8">
        <f>'01_인적정보'!D20</f>
        <v/>
      </c>
      <c r="E20" s="8">
        <f>'01_인적정보'!F20</f>
        <v/>
      </c>
      <c r="F20" s="16">
        <f>'01_인적정보'!H20</f>
        <v/>
      </c>
      <c r="G20" s="62">
        <f>'01_인적정보'!K20</f>
        <v/>
      </c>
      <c r="H20" s="57">
        <f>'08_종합평가'!U20</f>
        <v/>
      </c>
      <c r="I20" s="32">
        <f>IF(H20="","",IF(H20="S",'02_의사결정·종합결과'!$B$26,IF(H20="A",'02_의사결정·종합결과'!$C$26,IF(H20="B",'02_의사결정·종합결과'!$D$26,IF(H20="C",'02_의사결정·종합결과'!$E$26,'02_의사결정·종합결과'!$F$26)))))</f>
        <v/>
      </c>
      <c r="J20" s="23" t="inlineStr">
        <is>
          <t>N</t>
        </is>
      </c>
      <c r="K20" s="32">
        <f>IF(J20="Y",'02_의사결정·종합결과'!$B$28,0)</f>
        <v/>
      </c>
      <c r="L20" s="63">
        <f>IF(I20="","",I20+K20)</f>
        <v/>
      </c>
      <c r="M20" s="64">
        <f>IFERROR(VLOOKUP(F20,'02_의사결정·종합결과'!$A$32:$D$38,2,FALSE),"")</f>
        <v/>
      </c>
      <c r="N20" s="64">
        <f>IFERROR(VLOOKUP(F20,'02_의사결정·종합결과'!$A$32:$D$38,4,FALSE),"")</f>
        <v/>
      </c>
      <c r="O20" s="64">
        <f>IF(L20="","",ROUND(G20*(1+L20),-4))</f>
        <v/>
      </c>
      <c r="P20" s="65">
        <f>O20</f>
        <v/>
      </c>
      <c r="Q20" s="64">
        <f>IF(P20="","",P20-G20)</f>
        <v/>
      </c>
    </row>
    <row r="21" ht="22" customHeight="1">
      <c r="A21" s="33">
        <f>'01_인적정보'!A21</f>
        <v/>
      </c>
      <c r="B21" s="33">
        <f>'01_인적정보'!B21</f>
        <v/>
      </c>
      <c r="C21" s="8">
        <f>'01_인적정보'!C21</f>
        <v/>
      </c>
      <c r="D21" s="8">
        <f>'01_인적정보'!D21</f>
        <v/>
      </c>
      <c r="E21" s="8">
        <f>'01_인적정보'!F21</f>
        <v/>
      </c>
      <c r="F21" s="16">
        <f>'01_인적정보'!H21</f>
        <v/>
      </c>
      <c r="G21" s="62">
        <f>'01_인적정보'!K21</f>
        <v/>
      </c>
      <c r="H21" s="57">
        <f>'08_종합평가'!U21</f>
        <v/>
      </c>
      <c r="I21" s="32">
        <f>IF(H21="","",IF(H21="S",'02_의사결정·종합결과'!$B$26,IF(H21="A",'02_의사결정·종합결과'!$C$26,IF(H21="B",'02_의사결정·종합결과'!$D$26,IF(H21="C",'02_의사결정·종합결과'!$E$26,'02_의사결정·종합결과'!$F$26)))))</f>
        <v/>
      </c>
      <c r="J21" s="23" t="inlineStr">
        <is>
          <t>N</t>
        </is>
      </c>
      <c r="K21" s="32">
        <f>IF(J21="Y",'02_의사결정·종합결과'!$B$28,0)</f>
        <v/>
      </c>
      <c r="L21" s="63">
        <f>IF(I21="","",I21+K21)</f>
        <v/>
      </c>
      <c r="M21" s="64">
        <f>IFERROR(VLOOKUP(F21,'02_의사결정·종합결과'!$A$32:$D$38,2,FALSE),"")</f>
        <v/>
      </c>
      <c r="N21" s="64">
        <f>IFERROR(VLOOKUP(F21,'02_의사결정·종합결과'!$A$32:$D$38,4,FALSE),"")</f>
        <v/>
      </c>
      <c r="O21" s="64">
        <f>IF(L21="","",ROUND(G21*(1+L21),-4))</f>
        <v/>
      </c>
      <c r="P21" s="65">
        <f>O21</f>
        <v/>
      </c>
      <c r="Q21" s="64">
        <f>IF(P21="","",P21-G21)</f>
        <v/>
      </c>
    </row>
    <row r="22" ht="22" customHeight="1">
      <c r="A22" s="33">
        <f>'01_인적정보'!A22</f>
        <v/>
      </c>
      <c r="B22" s="33">
        <f>'01_인적정보'!B22</f>
        <v/>
      </c>
      <c r="C22" s="8">
        <f>'01_인적정보'!C22</f>
        <v/>
      </c>
      <c r="D22" s="8">
        <f>'01_인적정보'!D22</f>
        <v/>
      </c>
      <c r="E22" s="8">
        <f>'01_인적정보'!F22</f>
        <v/>
      </c>
      <c r="F22" s="16">
        <f>'01_인적정보'!H22</f>
        <v/>
      </c>
      <c r="G22" s="62">
        <f>'01_인적정보'!K22</f>
        <v/>
      </c>
      <c r="H22" s="57">
        <f>'08_종합평가'!U22</f>
        <v/>
      </c>
      <c r="I22" s="32">
        <f>IF(H22="","",IF(H22="S",'02_의사결정·종합결과'!$B$26,IF(H22="A",'02_의사결정·종합결과'!$C$26,IF(H22="B",'02_의사결정·종합결과'!$D$26,IF(H22="C",'02_의사결정·종합결과'!$E$26,'02_의사결정·종합결과'!$F$26)))))</f>
        <v/>
      </c>
      <c r="J22" s="23" t="inlineStr">
        <is>
          <t>N</t>
        </is>
      </c>
      <c r="K22" s="32">
        <f>IF(J22="Y",'02_의사결정·종합결과'!$B$28,0)</f>
        <v/>
      </c>
      <c r="L22" s="63">
        <f>IF(I22="","",I22+K22)</f>
        <v/>
      </c>
      <c r="M22" s="64">
        <f>IFERROR(VLOOKUP(F22,'02_의사결정·종합결과'!$A$32:$D$38,2,FALSE),"")</f>
        <v/>
      </c>
      <c r="N22" s="64">
        <f>IFERROR(VLOOKUP(F22,'02_의사결정·종합결과'!$A$32:$D$38,4,FALSE),"")</f>
        <v/>
      </c>
      <c r="O22" s="64">
        <f>IF(L22="","",ROUND(G22*(1+L22),-4))</f>
        <v/>
      </c>
      <c r="P22" s="65">
        <f>O22</f>
        <v/>
      </c>
      <c r="Q22" s="64">
        <f>IF(P22="","",P22-G22)</f>
        <v/>
      </c>
    </row>
    <row r="23" ht="22" customHeight="1">
      <c r="A23" s="33">
        <f>'01_인적정보'!A23</f>
        <v/>
      </c>
      <c r="B23" s="33">
        <f>'01_인적정보'!B23</f>
        <v/>
      </c>
      <c r="C23" s="8">
        <f>'01_인적정보'!C23</f>
        <v/>
      </c>
      <c r="D23" s="8">
        <f>'01_인적정보'!D23</f>
        <v/>
      </c>
      <c r="E23" s="8">
        <f>'01_인적정보'!F23</f>
        <v/>
      </c>
      <c r="F23" s="16">
        <f>'01_인적정보'!H23</f>
        <v/>
      </c>
      <c r="G23" s="62">
        <f>'01_인적정보'!K23</f>
        <v/>
      </c>
      <c r="H23" s="57">
        <f>'08_종합평가'!U23</f>
        <v/>
      </c>
      <c r="I23" s="32">
        <f>IF(H23="","",IF(H23="S",'02_의사결정·종합결과'!$B$26,IF(H23="A",'02_의사결정·종합결과'!$C$26,IF(H23="B",'02_의사결정·종합결과'!$D$26,IF(H23="C",'02_의사결정·종합결과'!$E$26,'02_의사결정·종합결과'!$F$26)))))</f>
        <v/>
      </c>
      <c r="J23" s="23" t="inlineStr">
        <is>
          <t>N</t>
        </is>
      </c>
      <c r="K23" s="32">
        <f>IF(J23="Y",'02_의사결정·종합결과'!$B$28,0)</f>
        <v/>
      </c>
      <c r="L23" s="63">
        <f>IF(I23="","",I23+K23)</f>
        <v/>
      </c>
      <c r="M23" s="64">
        <f>IFERROR(VLOOKUP(F23,'02_의사결정·종합결과'!$A$32:$D$38,2,FALSE),"")</f>
        <v/>
      </c>
      <c r="N23" s="64">
        <f>IFERROR(VLOOKUP(F23,'02_의사결정·종합결과'!$A$32:$D$38,4,FALSE),"")</f>
        <v/>
      </c>
      <c r="O23" s="64">
        <f>IF(L23="","",ROUND(G23*(1+L23),-4))</f>
        <v/>
      </c>
      <c r="P23" s="65">
        <f>O23</f>
        <v/>
      </c>
      <c r="Q23" s="64">
        <f>IF(P23="","",P23-G23)</f>
        <v/>
      </c>
    </row>
    <row r="24" ht="22" customHeight="1">
      <c r="A24" s="33">
        <f>'01_인적정보'!A24</f>
        <v/>
      </c>
      <c r="B24" s="33">
        <f>'01_인적정보'!B24</f>
        <v/>
      </c>
      <c r="C24" s="8">
        <f>'01_인적정보'!C24</f>
        <v/>
      </c>
      <c r="D24" s="8">
        <f>'01_인적정보'!D24</f>
        <v/>
      </c>
      <c r="E24" s="8">
        <f>'01_인적정보'!F24</f>
        <v/>
      </c>
      <c r="F24" s="16">
        <f>'01_인적정보'!H24</f>
        <v/>
      </c>
      <c r="G24" s="62">
        <f>'01_인적정보'!K24</f>
        <v/>
      </c>
      <c r="H24" s="57">
        <f>'08_종합평가'!U24</f>
        <v/>
      </c>
      <c r="I24" s="32">
        <f>IF(H24="","",IF(H24="S",'02_의사결정·종합결과'!$B$26,IF(H24="A",'02_의사결정·종합결과'!$C$26,IF(H24="B",'02_의사결정·종합결과'!$D$26,IF(H24="C",'02_의사결정·종합결과'!$E$26,'02_의사결정·종합결과'!$F$26)))))</f>
        <v/>
      </c>
      <c r="J24" s="23" t="inlineStr">
        <is>
          <t>N</t>
        </is>
      </c>
      <c r="K24" s="32">
        <f>IF(J24="Y",'02_의사결정·종합결과'!$B$28,0)</f>
        <v/>
      </c>
      <c r="L24" s="63">
        <f>IF(I24="","",I24+K24)</f>
        <v/>
      </c>
      <c r="M24" s="64">
        <f>IFERROR(VLOOKUP(F24,'02_의사결정·종합결과'!$A$32:$D$38,2,FALSE),"")</f>
        <v/>
      </c>
      <c r="N24" s="64">
        <f>IFERROR(VLOOKUP(F24,'02_의사결정·종합결과'!$A$32:$D$38,4,FALSE),"")</f>
        <v/>
      </c>
      <c r="O24" s="64">
        <f>IF(L24="","",ROUND(G24*(1+L24),-4))</f>
        <v/>
      </c>
      <c r="P24" s="65">
        <f>O24</f>
        <v/>
      </c>
      <c r="Q24" s="64">
        <f>IF(P24="","",P24-G24)</f>
        <v/>
      </c>
    </row>
    <row r="25" ht="22" customHeight="1">
      <c r="A25" s="33">
        <f>'01_인적정보'!A25</f>
        <v/>
      </c>
      <c r="B25" s="33">
        <f>'01_인적정보'!B25</f>
        <v/>
      </c>
      <c r="C25" s="8">
        <f>'01_인적정보'!C25</f>
        <v/>
      </c>
      <c r="D25" s="8">
        <f>'01_인적정보'!D25</f>
        <v/>
      </c>
      <c r="E25" s="8">
        <f>'01_인적정보'!F25</f>
        <v/>
      </c>
      <c r="F25" s="16">
        <f>'01_인적정보'!H25</f>
        <v/>
      </c>
      <c r="G25" s="62">
        <f>'01_인적정보'!K25</f>
        <v/>
      </c>
      <c r="H25" s="57">
        <f>'08_종합평가'!U25</f>
        <v/>
      </c>
      <c r="I25" s="32">
        <f>IF(H25="","",IF(H25="S",'02_의사결정·종합결과'!$B$26,IF(H25="A",'02_의사결정·종합결과'!$C$26,IF(H25="B",'02_의사결정·종합결과'!$D$26,IF(H25="C",'02_의사결정·종합결과'!$E$26,'02_의사결정·종합결과'!$F$26)))))</f>
        <v/>
      </c>
      <c r="J25" s="23" t="inlineStr">
        <is>
          <t>N</t>
        </is>
      </c>
      <c r="K25" s="32">
        <f>IF(J25="Y",'02_의사결정·종합결과'!$B$28,0)</f>
        <v/>
      </c>
      <c r="L25" s="63">
        <f>IF(I25="","",I25+K25)</f>
        <v/>
      </c>
      <c r="M25" s="64">
        <f>IFERROR(VLOOKUP(F25,'02_의사결정·종합결과'!$A$32:$D$38,2,FALSE),"")</f>
        <v/>
      </c>
      <c r="N25" s="64">
        <f>IFERROR(VLOOKUP(F25,'02_의사결정·종합결과'!$A$32:$D$38,4,FALSE),"")</f>
        <v/>
      </c>
      <c r="O25" s="64">
        <f>IF(L25="","",ROUND(G25*(1+L25),-4))</f>
        <v/>
      </c>
      <c r="P25" s="65">
        <f>O25</f>
        <v/>
      </c>
      <c r="Q25" s="64">
        <f>IF(P25="","",P25-G25)</f>
        <v/>
      </c>
    </row>
    <row r="26" ht="22" customHeight="1">
      <c r="A26" s="33">
        <f>'01_인적정보'!A26</f>
        <v/>
      </c>
      <c r="B26" s="33">
        <f>'01_인적정보'!B26</f>
        <v/>
      </c>
      <c r="C26" s="8">
        <f>'01_인적정보'!C26</f>
        <v/>
      </c>
      <c r="D26" s="8">
        <f>'01_인적정보'!D26</f>
        <v/>
      </c>
      <c r="E26" s="8">
        <f>'01_인적정보'!F26</f>
        <v/>
      </c>
      <c r="F26" s="16">
        <f>'01_인적정보'!H26</f>
        <v/>
      </c>
      <c r="G26" s="62">
        <f>'01_인적정보'!K26</f>
        <v/>
      </c>
      <c r="H26" s="57">
        <f>'08_종합평가'!U26</f>
        <v/>
      </c>
      <c r="I26" s="32">
        <f>IF(H26="","",IF(H26="S",'02_의사결정·종합결과'!$B$26,IF(H26="A",'02_의사결정·종합결과'!$C$26,IF(H26="B",'02_의사결정·종합결과'!$D$26,IF(H26="C",'02_의사결정·종합결과'!$E$26,'02_의사결정·종합결과'!$F$26)))))</f>
        <v/>
      </c>
      <c r="J26" s="23" t="inlineStr">
        <is>
          <t>N</t>
        </is>
      </c>
      <c r="K26" s="32">
        <f>IF(J26="Y",'02_의사결정·종합결과'!$B$28,0)</f>
        <v/>
      </c>
      <c r="L26" s="63">
        <f>IF(I26="","",I26+K26)</f>
        <v/>
      </c>
      <c r="M26" s="64">
        <f>IFERROR(VLOOKUP(F26,'02_의사결정·종합결과'!$A$32:$D$38,2,FALSE),"")</f>
        <v/>
      </c>
      <c r="N26" s="64">
        <f>IFERROR(VLOOKUP(F26,'02_의사결정·종합결과'!$A$32:$D$38,4,FALSE),"")</f>
        <v/>
      </c>
      <c r="O26" s="64">
        <f>IF(L26="","",ROUND(G26*(1+L26),-4))</f>
        <v/>
      </c>
      <c r="P26" s="65">
        <f>O26</f>
        <v/>
      </c>
      <c r="Q26" s="64">
        <f>IF(P26="","",P26-G26)</f>
        <v/>
      </c>
    </row>
    <row r="27" ht="22" customHeight="1">
      <c r="A27" s="33">
        <f>'01_인적정보'!A27</f>
        <v/>
      </c>
      <c r="B27" s="33">
        <f>'01_인적정보'!B27</f>
        <v/>
      </c>
      <c r="C27" s="8">
        <f>'01_인적정보'!C27</f>
        <v/>
      </c>
      <c r="D27" s="8">
        <f>'01_인적정보'!D27</f>
        <v/>
      </c>
      <c r="E27" s="8">
        <f>'01_인적정보'!F27</f>
        <v/>
      </c>
      <c r="F27" s="16">
        <f>'01_인적정보'!H27</f>
        <v/>
      </c>
      <c r="G27" s="62">
        <f>'01_인적정보'!K27</f>
        <v/>
      </c>
      <c r="H27" s="57">
        <f>'08_종합평가'!U27</f>
        <v/>
      </c>
      <c r="I27" s="32">
        <f>IF(H27="","",IF(H27="S",'02_의사결정·종합결과'!$B$26,IF(H27="A",'02_의사결정·종합결과'!$C$26,IF(H27="B",'02_의사결정·종합결과'!$D$26,IF(H27="C",'02_의사결정·종합결과'!$E$26,'02_의사결정·종합결과'!$F$26)))))</f>
        <v/>
      </c>
      <c r="J27" s="23" t="inlineStr">
        <is>
          <t>N</t>
        </is>
      </c>
      <c r="K27" s="32">
        <f>IF(J27="Y",'02_의사결정·종합결과'!$B$28,0)</f>
        <v/>
      </c>
      <c r="L27" s="63">
        <f>IF(I27="","",I27+K27)</f>
        <v/>
      </c>
      <c r="M27" s="64">
        <f>IFERROR(VLOOKUP(F27,'02_의사결정·종합결과'!$A$32:$D$38,2,FALSE),"")</f>
        <v/>
      </c>
      <c r="N27" s="64">
        <f>IFERROR(VLOOKUP(F27,'02_의사결정·종합결과'!$A$32:$D$38,4,FALSE),"")</f>
        <v/>
      </c>
      <c r="O27" s="64">
        <f>IF(L27="","",ROUND(G27*(1+L27),-4))</f>
        <v/>
      </c>
      <c r="P27" s="65">
        <f>O27</f>
        <v/>
      </c>
      <c r="Q27" s="64">
        <f>IF(P27="","",P27-G27)</f>
        <v/>
      </c>
    </row>
    <row r="28" ht="22" customHeight="1">
      <c r="A28" s="33">
        <f>'01_인적정보'!A28</f>
        <v/>
      </c>
      <c r="B28" s="33">
        <f>'01_인적정보'!B28</f>
        <v/>
      </c>
      <c r="C28" s="8">
        <f>'01_인적정보'!C28</f>
        <v/>
      </c>
      <c r="D28" s="8">
        <f>'01_인적정보'!D28</f>
        <v/>
      </c>
      <c r="E28" s="8">
        <f>'01_인적정보'!F28</f>
        <v/>
      </c>
      <c r="F28" s="16">
        <f>'01_인적정보'!H28</f>
        <v/>
      </c>
      <c r="G28" s="62">
        <f>'01_인적정보'!K28</f>
        <v/>
      </c>
      <c r="H28" s="57">
        <f>'08_종합평가'!U28</f>
        <v/>
      </c>
      <c r="I28" s="32">
        <f>IF(H28="","",IF(H28="S",'02_의사결정·종합결과'!$B$26,IF(H28="A",'02_의사결정·종합결과'!$C$26,IF(H28="B",'02_의사결정·종합결과'!$D$26,IF(H28="C",'02_의사결정·종합결과'!$E$26,'02_의사결정·종합결과'!$F$26)))))</f>
        <v/>
      </c>
      <c r="J28" s="23" t="inlineStr">
        <is>
          <t>N</t>
        </is>
      </c>
      <c r="K28" s="32">
        <f>IF(J28="Y",'02_의사결정·종합결과'!$B$28,0)</f>
        <v/>
      </c>
      <c r="L28" s="63">
        <f>IF(I28="","",I28+K28)</f>
        <v/>
      </c>
      <c r="M28" s="64">
        <f>IFERROR(VLOOKUP(F28,'02_의사결정·종합결과'!$A$32:$D$38,2,FALSE),"")</f>
        <v/>
      </c>
      <c r="N28" s="64">
        <f>IFERROR(VLOOKUP(F28,'02_의사결정·종합결과'!$A$32:$D$38,4,FALSE),"")</f>
        <v/>
      </c>
      <c r="O28" s="64">
        <f>IF(L28="","",ROUND(G28*(1+L28),-4))</f>
        <v/>
      </c>
      <c r="P28" s="65">
        <f>O28</f>
        <v/>
      </c>
      <c r="Q28" s="64">
        <f>IF(P28="","",P28-G28)</f>
        <v/>
      </c>
    </row>
    <row r="29" ht="22" customHeight="1">
      <c r="A29" s="33">
        <f>'01_인적정보'!A29</f>
        <v/>
      </c>
      <c r="B29" s="33">
        <f>'01_인적정보'!B29</f>
        <v/>
      </c>
      <c r="C29" s="8">
        <f>'01_인적정보'!C29</f>
        <v/>
      </c>
      <c r="D29" s="8">
        <f>'01_인적정보'!D29</f>
        <v/>
      </c>
      <c r="E29" s="8">
        <f>'01_인적정보'!F29</f>
        <v/>
      </c>
      <c r="F29" s="16">
        <f>'01_인적정보'!H29</f>
        <v/>
      </c>
      <c r="G29" s="62">
        <f>'01_인적정보'!K29</f>
        <v/>
      </c>
      <c r="H29" s="57">
        <f>'08_종합평가'!U29</f>
        <v/>
      </c>
      <c r="I29" s="32">
        <f>IF(H29="","",IF(H29="S",'02_의사결정·종합결과'!$B$26,IF(H29="A",'02_의사결정·종합결과'!$C$26,IF(H29="B",'02_의사결정·종합결과'!$D$26,IF(H29="C",'02_의사결정·종합결과'!$E$26,'02_의사결정·종합결과'!$F$26)))))</f>
        <v/>
      </c>
      <c r="J29" s="23" t="inlineStr">
        <is>
          <t>N</t>
        </is>
      </c>
      <c r="K29" s="32">
        <f>IF(J29="Y",'02_의사결정·종합결과'!$B$28,0)</f>
        <v/>
      </c>
      <c r="L29" s="63">
        <f>IF(I29="","",I29+K29)</f>
        <v/>
      </c>
      <c r="M29" s="64">
        <f>IFERROR(VLOOKUP(F29,'02_의사결정·종합결과'!$A$32:$D$38,2,FALSE),"")</f>
        <v/>
      </c>
      <c r="N29" s="64">
        <f>IFERROR(VLOOKUP(F29,'02_의사결정·종합결과'!$A$32:$D$38,4,FALSE),"")</f>
        <v/>
      </c>
      <c r="O29" s="64">
        <f>IF(L29="","",ROUND(G29*(1+L29),-4))</f>
        <v/>
      </c>
      <c r="P29" s="65">
        <f>O29</f>
        <v/>
      </c>
      <c r="Q29" s="64">
        <f>IF(P29="","",P29-G29)</f>
        <v/>
      </c>
    </row>
    <row r="30" ht="22" customHeight="1">
      <c r="A30" s="33">
        <f>'01_인적정보'!A30</f>
        <v/>
      </c>
      <c r="B30" s="33">
        <f>'01_인적정보'!B30</f>
        <v/>
      </c>
      <c r="C30" s="8">
        <f>'01_인적정보'!C30</f>
        <v/>
      </c>
      <c r="D30" s="8">
        <f>'01_인적정보'!D30</f>
        <v/>
      </c>
      <c r="E30" s="8">
        <f>'01_인적정보'!F30</f>
        <v/>
      </c>
      <c r="F30" s="16">
        <f>'01_인적정보'!H30</f>
        <v/>
      </c>
      <c r="G30" s="62">
        <f>'01_인적정보'!K30</f>
        <v/>
      </c>
      <c r="H30" s="57">
        <f>'08_종합평가'!U30</f>
        <v/>
      </c>
      <c r="I30" s="32">
        <f>IF(H30="","",IF(H30="S",'02_의사결정·종합결과'!$B$26,IF(H30="A",'02_의사결정·종합결과'!$C$26,IF(H30="B",'02_의사결정·종합결과'!$D$26,IF(H30="C",'02_의사결정·종합결과'!$E$26,'02_의사결정·종합결과'!$F$26)))))</f>
        <v/>
      </c>
      <c r="J30" s="23" t="inlineStr">
        <is>
          <t>N</t>
        </is>
      </c>
      <c r="K30" s="32">
        <f>IF(J30="Y",'02_의사결정·종합결과'!$B$28,0)</f>
        <v/>
      </c>
      <c r="L30" s="63">
        <f>IF(I30="","",I30+K30)</f>
        <v/>
      </c>
      <c r="M30" s="64">
        <f>IFERROR(VLOOKUP(F30,'02_의사결정·종합결과'!$A$32:$D$38,2,FALSE),"")</f>
        <v/>
      </c>
      <c r="N30" s="64">
        <f>IFERROR(VLOOKUP(F30,'02_의사결정·종합결과'!$A$32:$D$38,4,FALSE),"")</f>
        <v/>
      </c>
      <c r="O30" s="64">
        <f>IF(L30="","",ROUND(G30*(1+L30),-4))</f>
        <v/>
      </c>
      <c r="P30" s="65">
        <f>O30</f>
        <v/>
      </c>
      <c r="Q30" s="64">
        <f>IF(P30="","",P30-G30)</f>
        <v/>
      </c>
    </row>
    <row r="31" ht="22" customHeight="1">
      <c r="A31" s="33">
        <f>'01_인적정보'!A31</f>
        <v/>
      </c>
      <c r="B31" s="33">
        <f>'01_인적정보'!B31</f>
        <v/>
      </c>
      <c r="C31" s="8">
        <f>'01_인적정보'!C31</f>
        <v/>
      </c>
      <c r="D31" s="8">
        <f>'01_인적정보'!D31</f>
        <v/>
      </c>
      <c r="E31" s="8">
        <f>'01_인적정보'!F31</f>
        <v/>
      </c>
      <c r="F31" s="16">
        <f>'01_인적정보'!H31</f>
        <v/>
      </c>
      <c r="G31" s="62">
        <f>'01_인적정보'!K31</f>
        <v/>
      </c>
      <c r="H31" s="57">
        <f>'08_종합평가'!U31</f>
        <v/>
      </c>
      <c r="I31" s="32">
        <f>IF(H31="","",IF(H31="S",'02_의사결정·종합결과'!$B$26,IF(H31="A",'02_의사결정·종합결과'!$C$26,IF(H31="B",'02_의사결정·종합결과'!$D$26,IF(H31="C",'02_의사결정·종합결과'!$E$26,'02_의사결정·종합결과'!$F$26)))))</f>
        <v/>
      </c>
      <c r="J31" s="23" t="inlineStr">
        <is>
          <t>N</t>
        </is>
      </c>
      <c r="K31" s="32">
        <f>IF(J31="Y",'02_의사결정·종합결과'!$B$28,0)</f>
        <v/>
      </c>
      <c r="L31" s="63">
        <f>IF(I31="","",I31+K31)</f>
        <v/>
      </c>
      <c r="M31" s="64">
        <f>IFERROR(VLOOKUP(F31,'02_의사결정·종합결과'!$A$32:$D$38,2,FALSE),"")</f>
        <v/>
      </c>
      <c r="N31" s="64">
        <f>IFERROR(VLOOKUP(F31,'02_의사결정·종합결과'!$A$32:$D$38,4,FALSE),"")</f>
        <v/>
      </c>
      <c r="O31" s="64">
        <f>IF(L31="","",ROUND(G31*(1+L31),-4))</f>
        <v/>
      </c>
      <c r="P31" s="65">
        <f>O31</f>
        <v/>
      </c>
      <c r="Q31" s="64">
        <f>IF(P31="","",P31-G31)</f>
        <v/>
      </c>
    </row>
    <row r="32" ht="22" customHeight="1">
      <c r="A32" s="33">
        <f>'01_인적정보'!A32</f>
        <v/>
      </c>
      <c r="B32" s="33">
        <f>'01_인적정보'!B32</f>
        <v/>
      </c>
      <c r="C32" s="8">
        <f>'01_인적정보'!C32</f>
        <v/>
      </c>
      <c r="D32" s="8">
        <f>'01_인적정보'!D32</f>
        <v/>
      </c>
      <c r="E32" s="8">
        <f>'01_인적정보'!F32</f>
        <v/>
      </c>
      <c r="F32" s="16">
        <f>'01_인적정보'!H32</f>
        <v/>
      </c>
      <c r="G32" s="62">
        <f>'01_인적정보'!K32</f>
        <v/>
      </c>
      <c r="H32" s="57">
        <f>'08_종합평가'!U32</f>
        <v/>
      </c>
      <c r="I32" s="32">
        <f>IF(H32="","",IF(H32="S",'02_의사결정·종합결과'!$B$26,IF(H32="A",'02_의사결정·종합결과'!$C$26,IF(H32="B",'02_의사결정·종합결과'!$D$26,IF(H32="C",'02_의사결정·종합결과'!$E$26,'02_의사결정·종합결과'!$F$26)))))</f>
        <v/>
      </c>
      <c r="J32" s="23" t="inlineStr">
        <is>
          <t>N</t>
        </is>
      </c>
      <c r="K32" s="32">
        <f>IF(J32="Y",'02_의사결정·종합결과'!$B$28,0)</f>
        <v/>
      </c>
      <c r="L32" s="63">
        <f>IF(I32="","",I32+K32)</f>
        <v/>
      </c>
      <c r="M32" s="64">
        <f>IFERROR(VLOOKUP(F32,'02_의사결정·종합결과'!$A$32:$D$38,2,FALSE),"")</f>
        <v/>
      </c>
      <c r="N32" s="64">
        <f>IFERROR(VLOOKUP(F32,'02_의사결정·종합결과'!$A$32:$D$38,4,FALSE),"")</f>
        <v/>
      </c>
      <c r="O32" s="64">
        <f>IF(L32="","",ROUND(G32*(1+L32),-4))</f>
        <v/>
      </c>
      <c r="P32" s="65">
        <f>O32</f>
        <v/>
      </c>
      <c r="Q32" s="64">
        <f>IF(P32="","",P32-G32)</f>
        <v/>
      </c>
    </row>
    <row r="33" ht="22" customHeight="1">
      <c r="A33" s="33">
        <f>'01_인적정보'!A33</f>
        <v/>
      </c>
      <c r="B33" s="33">
        <f>'01_인적정보'!B33</f>
        <v/>
      </c>
      <c r="C33" s="8">
        <f>'01_인적정보'!C33</f>
        <v/>
      </c>
      <c r="D33" s="8">
        <f>'01_인적정보'!D33</f>
        <v/>
      </c>
      <c r="E33" s="8">
        <f>'01_인적정보'!F33</f>
        <v/>
      </c>
      <c r="F33" s="16">
        <f>'01_인적정보'!H33</f>
        <v/>
      </c>
      <c r="G33" s="62">
        <f>'01_인적정보'!K33</f>
        <v/>
      </c>
      <c r="H33" s="57">
        <f>'08_종합평가'!U33</f>
        <v/>
      </c>
      <c r="I33" s="32">
        <f>IF(H33="","",IF(H33="S",'02_의사결정·종합결과'!$B$26,IF(H33="A",'02_의사결정·종합결과'!$C$26,IF(H33="B",'02_의사결정·종합결과'!$D$26,IF(H33="C",'02_의사결정·종합결과'!$E$26,'02_의사결정·종합결과'!$F$26)))))</f>
        <v/>
      </c>
      <c r="J33" s="23" t="inlineStr">
        <is>
          <t>N</t>
        </is>
      </c>
      <c r="K33" s="32">
        <f>IF(J33="Y",'02_의사결정·종합결과'!$B$28,0)</f>
        <v/>
      </c>
      <c r="L33" s="63">
        <f>IF(I33="","",I33+K33)</f>
        <v/>
      </c>
      <c r="M33" s="64">
        <f>IFERROR(VLOOKUP(F33,'02_의사결정·종합결과'!$A$32:$D$38,2,FALSE),"")</f>
        <v/>
      </c>
      <c r="N33" s="64">
        <f>IFERROR(VLOOKUP(F33,'02_의사결정·종합결과'!$A$32:$D$38,4,FALSE),"")</f>
        <v/>
      </c>
      <c r="O33" s="64">
        <f>IF(L33="","",ROUND(G33*(1+L33),-4))</f>
        <v/>
      </c>
      <c r="P33" s="65">
        <f>O33</f>
        <v/>
      </c>
      <c r="Q33" s="64">
        <f>IF(P33="","",P33-G33)</f>
        <v/>
      </c>
    </row>
    <row r="34" ht="22" customHeight="1">
      <c r="A34" s="33">
        <f>'01_인적정보'!A34</f>
        <v/>
      </c>
      <c r="B34" s="33">
        <f>'01_인적정보'!B34</f>
        <v/>
      </c>
      <c r="C34" s="8">
        <f>'01_인적정보'!C34</f>
        <v/>
      </c>
      <c r="D34" s="8">
        <f>'01_인적정보'!D34</f>
        <v/>
      </c>
      <c r="E34" s="8">
        <f>'01_인적정보'!F34</f>
        <v/>
      </c>
      <c r="F34" s="16">
        <f>'01_인적정보'!H34</f>
        <v/>
      </c>
      <c r="G34" s="62">
        <f>'01_인적정보'!K34</f>
        <v/>
      </c>
      <c r="H34" s="57">
        <f>'08_종합평가'!U34</f>
        <v/>
      </c>
      <c r="I34" s="32">
        <f>IF(H34="","",IF(H34="S",'02_의사결정·종합결과'!$B$26,IF(H34="A",'02_의사결정·종합결과'!$C$26,IF(H34="B",'02_의사결정·종합결과'!$D$26,IF(H34="C",'02_의사결정·종합결과'!$E$26,'02_의사결정·종합결과'!$F$26)))))</f>
        <v/>
      </c>
      <c r="J34" s="23" t="inlineStr">
        <is>
          <t>N</t>
        </is>
      </c>
      <c r="K34" s="32">
        <f>IF(J34="Y",'02_의사결정·종합결과'!$B$28,0)</f>
        <v/>
      </c>
      <c r="L34" s="63">
        <f>IF(I34="","",I34+K34)</f>
        <v/>
      </c>
      <c r="M34" s="64">
        <f>IFERROR(VLOOKUP(F34,'02_의사결정·종합결과'!$A$32:$D$38,2,FALSE),"")</f>
        <v/>
      </c>
      <c r="N34" s="64">
        <f>IFERROR(VLOOKUP(F34,'02_의사결정·종합결과'!$A$32:$D$38,4,FALSE),"")</f>
        <v/>
      </c>
      <c r="O34" s="64">
        <f>IF(L34="","",ROUND(G34*(1+L34),-4))</f>
        <v/>
      </c>
      <c r="P34" s="65">
        <f>O34</f>
        <v/>
      </c>
      <c r="Q34" s="64">
        <f>IF(P34="","",P34-G34)</f>
        <v/>
      </c>
    </row>
    <row r="35" ht="22" customHeight="1">
      <c r="A35" s="33">
        <f>'01_인적정보'!A35</f>
        <v/>
      </c>
      <c r="B35" s="33">
        <f>'01_인적정보'!B35</f>
        <v/>
      </c>
      <c r="C35" s="8">
        <f>'01_인적정보'!C35</f>
        <v/>
      </c>
      <c r="D35" s="8">
        <f>'01_인적정보'!D35</f>
        <v/>
      </c>
      <c r="E35" s="8">
        <f>'01_인적정보'!F35</f>
        <v/>
      </c>
      <c r="F35" s="16">
        <f>'01_인적정보'!H35</f>
        <v/>
      </c>
      <c r="G35" s="62">
        <f>'01_인적정보'!K35</f>
        <v/>
      </c>
      <c r="H35" s="57">
        <f>'08_종합평가'!U35</f>
        <v/>
      </c>
      <c r="I35" s="32">
        <f>IF(H35="","",IF(H35="S",'02_의사결정·종합결과'!$B$26,IF(H35="A",'02_의사결정·종합결과'!$C$26,IF(H35="B",'02_의사결정·종합결과'!$D$26,IF(H35="C",'02_의사결정·종합결과'!$E$26,'02_의사결정·종합결과'!$F$26)))))</f>
        <v/>
      </c>
      <c r="J35" s="23" t="inlineStr">
        <is>
          <t>N</t>
        </is>
      </c>
      <c r="K35" s="32">
        <f>IF(J35="Y",'02_의사결정·종합결과'!$B$28,0)</f>
        <v/>
      </c>
      <c r="L35" s="63">
        <f>IF(I35="","",I35+K35)</f>
        <v/>
      </c>
      <c r="M35" s="64">
        <f>IFERROR(VLOOKUP(F35,'02_의사결정·종합결과'!$A$32:$D$38,2,FALSE),"")</f>
        <v/>
      </c>
      <c r="N35" s="64">
        <f>IFERROR(VLOOKUP(F35,'02_의사결정·종합결과'!$A$32:$D$38,4,FALSE),"")</f>
        <v/>
      </c>
      <c r="O35" s="64">
        <f>IF(L35="","",ROUND(G35*(1+L35),-4))</f>
        <v/>
      </c>
      <c r="P35" s="65">
        <f>O35</f>
        <v/>
      </c>
      <c r="Q35" s="64">
        <f>IF(P35="","",P35-G35)</f>
        <v/>
      </c>
    </row>
    <row r="36" ht="22" customHeight="1">
      <c r="A36" s="33">
        <f>'01_인적정보'!A36</f>
        <v/>
      </c>
      <c r="B36" s="33">
        <f>'01_인적정보'!B36</f>
        <v/>
      </c>
      <c r="C36" s="8">
        <f>'01_인적정보'!C36</f>
        <v/>
      </c>
      <c r="D36" s="8">
        <f>'01_인적정보'!D36</f>
        <v/>
      </c>
      <c r="E36" s="8">
        <f>'01_인적정보'!F36</f>
        <v/>
      </c>
      <c r="F36" s="16">
        <f>'01_인적정보'!H36</f>
        <v/>
      </c>
      <c r="G36" s="62">
        <f>'01_인적정보'!K36</f>
        <v/>
      </c>
      <c r="H36" s="57">
        <f>'08_종합평가'!U36</f>
        <v/>
      </c>
      <c r="I36" s="32">
        <f>IF(H36="","",IF(H36="S",'02_의사결정·종합결과'!$B$26,IF(H36="A",'02_의사결정·종합결과'!$C$26,IF(H36="B",'02_의사결정·종합결과'!$D$26,IF(H36="C",'02_의사결정·종합결과'!$E$26,'02_의사결정·종합결과'!$F$26)))))</f>
        <v/>
      </c>
      <c r="J36" s="23" t="inlineStr">
        <is>
          <t>N</t>
        </is>
      </c>
      <c r="K36" s="32">
        <f>IF(J36="Y",'02_의사결정·종합결과'!$B$28,0)</f>
        <v/>
      </c>
      <c r="L36" s="63">
        <f>IF(I36="","",I36+K36)</f>
        <v/>
      </c>
      <c r="M36" s="64">
        <f>IFERROR(VLOOKUP(F36,'02_의사결정·종합결과'!$A$32:$D$38,2,FALSE),"")</f>
        <v/>
      </c>
      <c r="N36" s="64">
        <f>IFERROR(VLOOKUP(F36,'02_의사결정·종합결과'!$A$32:$D$38,4,FALSE),"")</f>
        <v/>
      </c>
      <c r="O36" s="64">
        <f>IF(L36="","",ROUND(G36*(1+L36),-4))</f>
        <v/>
      </c>
      <c r="P36" s="65">
        <f>O36</f>
        <v/>
      </c>
      <c r="Q36" s="64">
        <f>IF(P36="","",P36-G36)</f>
        <v/>
      </c>
    </row>
    <row r="37" ht="22" customHeight="1">
      <c r="A37" s="33">
        <f>'01_인적정보'!A37</f>
        <v/>
      </c>
      <c r="B37" s="33">
        <f>'01_인적정보'!B37</f>
        <v/>
      </c>
      <c r="C37" s="8">
        <f>'01_인적정보'!C37</f>
        <v/>
      </c>
      <c r="D37" s="8">
        <f>'01_인적정보'!D37</f>
        <v/>
      </c>
      <c r="E37" s="8">
        <f>'01_인적정보'!F37</f>
        <v/>
      </c>
      <c r="F37" s="16">
        <f>'01_인적정보'!H37</f>
        <v/>
      </c>
      <c r="G37" s="62">
        <f>'01_인적정보'!K37</f>
        <v/>
      </c>
      <c r="H37" s="57">
        <f>'08_종합평가'!U37</f>
        <v/>
      </c>
      <c r="I37" s="32">
        <f>IF(H37="","",IF(H37="S",'02_의사결정·종합결과'!$B$26,IF(H37="A",'02_의사결정·종합결과'!$C$26,IF(H37="B",'02_의사결정·종합결과'!$D$26,IF(H37="C",'02_의사결정·종합결과'!$E$26,'02_의사결정·종합결과'!$F$26)))))</f>
        <v/>
      </c>
      <c r="J37" s="23" t="inlineStr">
        <is>
          <t>N</t>
        </is>
      </c>
      <c r="K37" s="32">
        <f>IF(J37="Y",'02_의사결정·종합결과'!$B$28,0)</f>
        <v/>
      </c>
      <c r="L37" s="63">
        <f>IF(I37="","",I37+K37)</f>
        <v/>
      </c>
      <c r="M37" s="64">
        <f>IFERROR(VLOOKUP(F37,'02_의사결정·종합결과'!$A$32:$D$38,2,FALSE),"")</f>
        <v/>
      </c>
      <c r="N37" s="64">
        <f>IFERROR(VLOOKUP(F37,'02_의사결정·종합결과'!$A$32:$D$38,4,FALSE),"")</f>
        <v/>
      </c>
      <c r="O37" s="64">
        <f>IF(L37="","",ROUND(G37*(1+L37),-4))</f>
        <v/>
      </c>
      <c r="P37" s="65">
        <f>O37</f>
        <v/>
      </c>
      <c r="Q37" s="64">
        <f>IF(P37="","",P37-G37)</f>
        <v/>
      </c>
    </row>
    <row r="38" ht="22" customHeight="1">
      <c r="A38" s="33">
        <f>'01_인적정보'!A38</f>
        <v/>
      </c>
      <c r="B38" s="33">
        <f>'01_인적정보'!B38</f>
        <v/>
      </c>
      <c r="C38" s="8">
        <f>'01_인적정보'!C38</f>
        <v/>
      </c>
      <c r="D38" s="8">
        <f>'01_인적정보'!D38</f>
        <v/>
      </c>
      <c r="E38" s="8">
        <f>'01_인적정보'!F38</f>
        <v/>
      </c>
      <c r="F38" s="16">
        <f>'01_인적정보'!H38</f>
        <v/>
      </c>
      <c r="G38" s="62">
        <f>'01_인적정보'!K38</f>
        <v/>
      </c>
      <c r="H38" s="57">
        <f>'08_종합평가'!U38</f>
        <v/>
      </c>
      <c r="I38" s="32">
        <f>IF(H38="","",IF(H38="S",'02_의사결정·종합결과'!$B$26,IF(H38="A",'02_의사결정·종합결과'!$C$26,IF(H38="B",'02_의사결정·종합결과'!$D$26,IF(H38="C",'02_의사결정·종합결과'!$E$26,'02_의사결정·종합결과'!$F$26)))))</f>
        <v/>
      </c>
      <c r="J38" s="23" t="inlineStr">
        <is>
          <t>N</t>
        </is>
      </c>
      <c r="K38" s="32">
        <f>IF(J38="Y",'02_의사결정·종합결과'!$B$28,0)</f>
        <v/>
      </c>
      <c r="L38" s="63">
        <f>IF(I38="","",I38+K38)</f>
        <v/>
      </c>
      <c r="M38" s="64">
        <f>IFERROR(VLOOKUP(F38,'02_의사결정·종합결과'!$A$32:$D$38,2,FALSE),"")</f>
        <v/>
      </c>
      <c r="N38" s="64">
        <f>IFERROR(VLOOKUP(F38,'02_의사결정·종합결과'!$A$32:$D$38,4,FALSE),"")</f>
        <v/>
      </c>
      <c r="O38" s="64">
        <f>IF(L38="","",ROUND(G38*(1+L38),-4))</f>
        <v/>
      </c>
      <c r="P38" s="65">
        <f>O38</f>
        <v/>
      </c>
      <c r="Q38" s="64">
        <f>IF(P38="","",P38-G38)</f>
        <v/>
      </c>
    </row>
    <row r="39" ht="22" customHeight="1">
      <c r="A39" s="33">
        <f>'01_인적정보'!A39</f>
        <v/>
      </c>
      <c r="B39" s="33">
        <f>'01_인적정보'!B39</f>
        <v/>
      </c>
      <c r="C39" s="8">
        <f>'01_인적정보'!C39</f>
        <v/>
      </c>
      <c r="D39" s="8">
        <f>'01_인적정보'!D39</f>
        <v/>
      </c>
      <c r="E39" s="8">
        <f>'01_인적정보'!F39</f>
        <v/>
      </c>
      <c r="F39" s="16">
        <f>'01_인적정보'!H39</f>
        <v/>
      </c>
      <c r="G39" s="62">
        <f>'01_인적정보'!K39</f>
        <v/>
      </c>
      <c r="H39" s="57">
        <f>'08_종합평가'!U39</f>
        <v/>
      </c>
      <c r="I39" s="32">
        <f>IF(H39="","",IF(H39="S",'02_의사결정·종합결과'!$B$26,IF(H39="A",'02_의사결정·종합결과'!$C$26,IF(H39="B",'02_의사결정·종합결과'!$D$26,IF(H39="C",'02_의사결정·종합결과'!$E$26,'02_의사결정·종합결과'!$F$26)))))</f>
        <v/>
      </c>
      <c r="J39" s="23" t="inlineStr">
        <is>
          <t>N</t>
        </is>
      </c>
      <c r="K39" s="32">
        <f>IF(J39="Y",'02_의사결정·종합결과'!$B$28,0)</f>
        <v/>
      </c>
      <c r="L39" s="63">
        <f>IF(I39="","",I39+K39)</f>
        <v/>
      </c>
      <c r="M39" s="64">
        <f>IFERROR(VLOOKUP(F39,'02_의사결정·종합결과'!$A$32:$D$38,2,FALSE),"")</f>
        <v/>
      </c>
      <c r="N39" s="64">
        <f>IFERROR(VLOOKUP(F39,'02_의사결정·종합결과'!$A$32:$D$38,4,FALSE),"")</f>
        <v/>
      </c>
      <c r="O39" s="64">
        <f>IF(L39="","",ROUND(G39*(1+L39),-4))</f>
        <v/>
      </c>
      <c r="P39" s="65">
        <f>O39</f>
        <v/>
      </c>
      <c r="Q39" s="64">
        <f>IF(P39="","",P39-G39)</f>
        <v/>
      </c>
    </row>
    <row r="41">
      <c r="F41" s="66" t="inlineStr">
        <is>
          <t>합계</t>
        </is>
      </c>
      <c r="G41" s="67">
        <f>SUM(G6:G39)</f>
        <v/>
      </c>
      <c r="O41" s="67">
        <f>SUM(O6:O39)</f>
        <v/>
      </c>
      <c r="P41" s="67">
        <f>SUM(P6:P39)</f>
        <v/>
      </c>
      <c r="Q41" s="67">
        <f>SUM(Q6:Q39)</f>
        <v/>
      </c>
    </row>
  </sheetData>
  <mergeCells count="2">
    <mergeCell ref="A2:Q2"/>
    <mergeCell ref="A1:Q1"/>
  </mergeCells>
  <conditionalFormatting sqref="P6:P39">
    <cfRule type="expression" priority="1" dxfId="0">
      <formula>AND(P6&lt;&gt;"",OR(P6&lt;M6,P6&gt;N6))</formula>
    </cfRule>
  </conditionalFormatting>
  <dataValidations count="34">
    <dataValidation sqref="J6" showDropDown="0" showInputMessage="0" showErrorMessage="0" allowBlank="0" type="list">
      <formula1>"Y,N"</formula1>
    </dataValidation>
    <dataValidation sqref="J7" showDropDown="0" showInputMessage="0" showErrorMessage="0" allowBlank="0" type="list">
      <formula1>"Y,N"</formula1>
    </dataValidation>
    <dataValidation sqref="J8" showDropDown="0" showInputMessage="0" showErrorMessage="0" allowBlank="0" type="list">
      <formula1>"Y,N"</formula1>
    </dataValidation>
    <dataValidation sqref="J9" showDropDown="0" showInputMessage="0" showErrorMessage="0" allowBlank="0" type="list">
      <formula1>"Y,N"</formula1>
    </dataValidation>
    <dataValidation sqref="J10" showDropDown="0" showInputMessage="0" showErrorMessage="0" allowBlank="0" type="list">
      <formula1>"Y,N"</formula1>
    </dataValidation>
    <dataValidation sqref="J11" showDropDown="0" showInputMessage="0" showErrorMessage="0" allowBlank="0" type="list">
      <formula1>"Y,N"</formula1>
    </dataValidation>
    <dataValidation sqref="J12" showDropDown="0" showInputMessage="0" showErrorMessage="0" allowBlank="0" type="list">
      <formula1>"Y,N"</formula1>
    </dataValidation>
    <dataValidation sqref="J13" showDropDown="0" showInputMessage="0" showErrorMessage="0" allowBlank="0" type="list">
      <formula1>"Y,N"</formula1>
    </dataValidation>
    <dataValidation sqref="J14" showDropDown="0" showInputMessage="0" showErrorMessage="0" allowBlank="0" type="list">
      <formula1>"Y,N"</formula1>
    </dataValidation>
    <dataValidation sqref="J15" showDropDown="0" showInputMessage="0" showErrorMessage="0" allowBlank="0" type="list">
      <formula1>"Y,N"</formula1>
    </dataValidation>
    <dataValidation sqref="J16" showDropDown="0" showInputMessage="0" showErrorMessage="0" allowBlank="0" type="list">
      <formula1>"Y,N"</formula1>
    </dataValidation>
    <dataValidation sqref="J17" showDropDown="0" showInputMessage="0" showErrorMessage="0" allowBlank="0" type="list">
      <formula1>"Y,N"</formula1>
    </dataValidation>
    <dataValidation sqref="J18" showDropDown="0" showInputMessage="0" showErrorMessage="0" allowBlank="0" type="list">
      <formula1>"Y,N"</formula1>
    </dataValidation>
    <dataValidation sqref="J19" showDropDown="0" showInputMessage="0" showErrorMessage="0" allowBlank="0" type="list">
      <formula1>"Y,N"</formula1>
    </dataValidation>
    <dataValidation sqref="J20" showDropDown="0" showInputMessage="0" showErrorMessage="0" allowBlank="0" type="list">
      <formula1>"Y,N"</formula1>
    </dataValidation>
    <dataValidation sqref="J21" showDropDown="0" showInputMessage="0" showErrorMessage="0" allowBlank="0" type="list">
      <formula1>"Y,N"</formula1>
    </dataValidation>
    <dataValidation sqref="J22" showDropDown="0" showInputMessage="0" showErrorMessage="0" allowBlank="0" type="list">
      <formula1>"Y,N"</formula1>
    </dataValidation>
    <dataValidation sqref="J23" showDropDown="0" showInputMessage="0" showErrorMessage="0" allowBlank="0" type="list">
      <formula1>"Y,N"</formula1>
    </dataValidation>
    <dataValidation sqref="J24" showDropDown="0" showInputMessage="0" showErrorMessage="0" allowBlank="0" type="list">
      <formula1>"Y,N"</formula1>
    </dataValidation>
    <dataValidation sqref="J25" showDropDown="0" showInputMessage="0" showErrorMessage="0" allowBlank="0" type="list">
      <formula1>"Y,N"</formula1>
    </dataValidation>
    <dataValidation sqref="J26" showDropDown="0" showInputMessage="0" showErrorMessage="0" allowBlank="0" type="list">
      <formula1>"Y,N"</formula1>
    </dataValidation>
    <dataValidation sqref="J27" showDropDown="0" showInputMessage="0" showErrorMessage="0" allowBlank="0" type="list">
      <formula1>"Y,N"</formula1>
    </dataValidation>
    <dataValidation sqref="J28" showDropDown="0" showInputMessage="0" showErrorMessage="0" allowBlank="0" type="list">
      <formula1>"Y,N"</formula1>
    </dataValidation>
    <dataValidation sqref="J29" showDropDown="0" showInputMessage="0" showErrorMessage="0" allowBlank="0" type="list">
      <formula1>"Y,N"</formula1>
    </dataValidation>
    <dataValidation sqref="J30" showDropDown="0" showInputMessage="0" showErrorMessage="0" allowBlank="0" type="list">
      <formula1>"Y,N"</formula1>
    </dataValidation>
    <dataValidation sqref="J31" showDropDown="0" showInputMessage="0" showErrorMessage="0" allowBlank="0" type="list">
      <formula1>"Y,N"</formula1>
    </dataValidation>
    <dataValidation sqref="J32" showDropDown="0" showInputMessage="0" showErrorMessage="0" allowBlank="0" type="list">
      <formula1>"Y,N"</formula1>
    </dataValidation>
    <dataValidation sqref="J33" showDropDown="0" showInputMessage="0" showErrorMessage="0" allowBlank="0" type="list">
      <formula1>"Y,N"</formula1>
    </dataValidation>
    <dataValidation sqref="J34" showDropDown="0" showInputMessage="0" showErrorMessage="0" allowBlank="0" type="list">
      <formula1>"Y,N"</formula1>
    </dataValidation>
    <dataValidation sqref="J35" showDropDown="0" showInputMessage="0" showErrorMessage="0" allowBlank="0" type="list">
      <formula1>"Y,N"</formula1>
    </dataValidation>
    <dataValidation sqref="J36" showDropDown="0" showInputMessage="0" showErrorMessage="0" allowBlank="0" type="list">
      <formula1>"Y,N"</formula1>
    </dataValidation>
    <dataValidation sqref="J37" showDropDown="0" showInputMessage="0" showErrorMessage="0" allowBlank="0" type="list">
      <formula1>"Y,N"</formula1>
    </dataValidation>
    <dataValidation sqref="J38" showDropDown="0" showInputMessage="0" showErrorMessage="0" allowBlank="0" type="list">
      <formula1>"Y,N"</formula1>
    </dataValidation>
    <dataValidation sqref="J39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0AD47"/>
    <outlinePr summaryBelow="1" summaryRight="1"/>
    <pageSetUpPr/>
  </sheetPr>
  <dimension ref="A1:N44"/>
  <sheetViews>
    <sheetView workbookViewId="0">
      <pane xSplit="3" ySplit="8" topLeftCell="D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11" customWidth="1" min="4" max="4"/>
    <col width="7" customWidth="1" min="5" max="5"/>
    <col width="12" customWidth="1" min="6" max="6"/>
    <col width="8" customWidth="1" min="7" max="7"/>
    <col width="11" customWidth="1" min="8" max="8"/>
    <col width="9" customWidth="1" min="9" max="9"/>
    <col width="12" customWidth="1" min="10" max="10"/>
    <col width="8" customWidth="1" min="11" max="11"/>
    <col width="12" customWidth="1" min="12" max="12"/>
    <col width="15" customWidth="1" min="13" max="13"/>
  </cols>
  <sheetData>
    <row r="1" ht="28" customHeight="1">
      <c r="A1" s="1" t="inlineStr">
        <is>
          <t>성과급(인센티브) 관리 — 등급별 자동 산출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9" t="n"/>
    </row>
    <row r="2">
      <c r="A2" s="2" t="inlineStr">
        <is>
          <t>08 종합평가의 최종등급에 따라 자동 산정. 전사 KPI 달성률로 재원 가산.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9" t="n"/>
    </row>
    <row r="4">
      <c r="A4" s="3" t="inlineStr">
        <is>
          <t>■ 전사 KPI 달성률 → 성과급 재원 가산 계수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9" t="n"/>
    </row>
    <row r="5">
      <c r="A5" s="5" t="inlineStr">
        <is>
          <t>전사 KPI 종합등급</t>
        </is>
      </c>
      <c r="B5" s="21">
        <f>'03_전사업적평가'!B11</f>
        <v/>
      </c>
      <c r="C5" s="5" t="inlineStr">
        <is>
          <t>KPI 가산 계수</t>
        </is>
      </c>
      <c r="D5" s="68">
        <f>IFERROR(IF(B5="","",IF(B5="S",1.2,IF(B5="A",1.1,IF(B5="B",1,IF(B5="C",0.9,IF(B5="D",0.8,1)))))),1)</f>
        <v/>
      </c>
      <c r="E5" s="5" t="inlineStr">
        <is>
          <t>수동 조정</t>
        </is>
      </c>
      <c r="F5" s="69" t="n">
        <v>1</v>
      </c>
      <c r="G5" s="6" t="inlineStr">
        <is>
          <t>S/A 등급 시 가산, C/D 등급 시 감산. 수동 조정란에 직접 입력해 덮어쓰기 가능.</t>
        </is>
      </c>
      <c r="H5" s="18" t="n"/>
      <c r="I5" s="18" t="n"/>
      <c r="J5" s="18" t="n"/>
      <c r="K5" s="18" t="n"/>
      <c r="L5" s="18" t="n"/>
      <c r="M5" s="18" t="n"/>
      <c r="N5" s="19" t="n"/>
    </row>
    <row r="7">
      <c r="A7" s="3" t="inlineStr">
        <is>
          <t>■ 개인별 성과급 산출</t>
        </is>
      </c>
      <c r="B7" s="18" t="n"/>
      <c r="C7" s="18" t="n"/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9" t="n"/>
    </row>
    <row r="8" ht="32" customHeight="1">
      <c r="A8" s="43" t="inlineStr">
        <is>
          <t>No.</t>
        </is>
      </c>
      <c r="B8" s="43" t="inlineStr">
        <is>
          <t>사번</t>
        </is>
      </c>
      <c r="C8" s="43" t="inlineStr">
        <is>
          <t>성명</t>
        </is>
      </c>
      <c r="D8" s="43" t="inlineStr">
        <is>
          <t>부서</t>
        </is>
      </c>
      <c r="E8" s="43" t="inlineStr">
        <is>
          <t>역할등급</t>
        </is>
      </c>
      <c r="F8" s="43" t="inlineStr">
        <is>
          <t>연봉(현재)</t>
        </is>
      </c>
      <c r="G8" s="43" t="inlineStr">
        <is>
          <t>최종등급</t>
        </is>
      </c>
      <c r="H8" s="43" t="inlineStr">
        <is>
          <t>월급여</t>
        </is>
      </c>
      <c r="I8" s="43" t="inlineStr">
        <is>
          <t>기본 성과급률</t>
        </is>
      </c>
      <c r="J8" s="43" t="inlineStr">
        <is>
          <t>기본 성과급(원)</t>
        </is>
      </c>
      <c r="K8" s="43" t="inlineStr">
        <is>
          <t>가산계수</t>
        </is>
      </c>
      <c r="L8" s="43" t="inlineStr">
        <is>
          <t>최종 성과급</t>
        </is>
      </c>
      <c r="M8" s="43" t="inlineStr">
        <is>
          <t>비고</t>
        </is>
      </c>
    </row>
    <row r="9" ht="22" customHeight="1">
      <c r="A9" s="33">
        <f>'01_인적정보'!A6</f>
        <v/>
      </c>
      <c r="B9" s="33">
        <f>'01_인적정보'!B6</f>
        <v/>
      </c>
      <c r="C9" s="8">
        <f>'01_인적정보'!C6</f>
        <v/>
      </c>
      <c r="D9" s="8">
        <f>'01_인적정보'!F6</f>
        <v/>
      </c>
      <c r="E9" s="16">
        <f>'01_인적정보'!H6</f>
        <v/>
      </c>
      <c r="F9" s="62">
        <f>'01_인적정보'!K6</f>
        <v/>
      </c>
      <c r="G9" s="21">
        <f>'08_종합평가'!U6</f>
        <v/>
      </c>
      <c r="H9" s="64">
        <f>ROUND(F9/12,-3)</f>
        <v/>
      </c>
      <c r="I9" s="30">
        <f>IF(G9="","",IF(G9="S",'02_의사결정·종합결과'!$B$27,IF(G9="A",'02_의사결정·종합결과'!$C$27,IF(G9="B",'02_의사결정·종합결과'!$D$27,IF(G9="C",'02_의사결정·종합결과'!$E$27,'02_의사결정·종합결과'!$F$27)))))</f>
        <v/>
      </c>
      <c r="J9" s="64">
        <f>IF(I9="","",ROUND(H9*I9*12,-3))</f>
        <v/>
      </c>
      <c r="K9" s="58">
        <f>IF($F$5&lt;&gt;1,$F$5,IF($D$5="",1,$D$5))</f>
        <v/>
      </c>
      <c r="L9" s="67">
        <f>IF(J9="","",ROUND(J9*K9,-3))</f>
        <v/>
      </c>
      <c r="M9" s="4" t="inlineStr"/>
    </row>
    <row r="10" ht="22" customHeight="1">
      <c r="A10" s="33">
        <f>'01_인적정보'!A7</f>
        <v/>
      </c>
      <c r="B10" s="33">
        <f>'01_인적정보'!B7</f>
        <v/>
      </c>
      <c r="C10" s="8">
        <f>'01_인적정보'!C7</f>
        <v/>
      </c>
      <c r="D10" s="8">
        <f>'01_인적정보'!F7</f>
        <v/>
      </c>
      <c r="E10" s="16">
        <f>'01_인적정보'!H7</f>
        <v/>
      </c>
      <c r="F10" s="62">
        <f>'01_인적정보'!K7</f>
        <v/>
      </c>
      <c r="G10" s="21">
        <f>'08_종합평가'!U7</f>
        <v/>
      </c>
      <c r="H10" s="64">
        <f>ROUND(F10/12,-3)</f>
        <v/>
      </c>
      <c r="I10" s="30">
        <f>IF(G10="","",IF(G10="S",'02_의사결정·종합결과'!$B$27,IF(G10="A",'02_의사결정·종합결과'!$C$27,IF(G10="B",'02_의사결정·종합결과'!$D$27,IF(G10="C",'02_의사결정·종합결과'!$E$27,'02_의사결정·종합결과'!$F$27)))))</f>
        <v/>
      </c>
      <c r="J10" s="64">
        <f>IF(I10="","",ROUND(H10*I10*12,-3))</f>
        <v/>
      </c>
      <c r="K10" s="58">
        <f>IF($F$5&lt;&gt;1,$F$5,IF($D$5="",1,$D$5))</f>
        <v/>
      </c>
      <c r="L10" s="67">
        <f>IF(J10="","",ROUND(J10*K10,-3))</f>
        <v/>
      </c>
      <c r="M10" s="4" t="inlineStr"/>
    </row>
    <row r="11" ht="22" customHeight="1">
      <c r="A11" s="33">
        <f>'01_인적정보'!A8</f>
        <v/>
      </c>
      <c r="B11" s="33">
        <f>'01_인적정보'!B8</f>
        <v/>
      </c>
      <c r="C11" s="8">
        <f>'01_인적정보'!C8</f>
        <v/>
      </c>
      <c r="D11" s="8">
        <f>'01_인적정보'!F8</f>
        <v/>
      </c>
      <c r="E11" s="16">
        <f>'01_인적정보'!H8</f>
        <v/>
      </c>
      <c r="F11" s="62">
        <f>'01_인적정보'!K8</f>
        <v/>
      </c>
      <c r="G11" s="21">
        <f>'08_종합평가'!U8</f>
        <v/>
      </c>
      <c r="H11" s="64">
        <f>ROUND(F11/12,-3)</f>
        <v/>
      </c>
      <c r="I11" s="30">
        <f>IF(G11="","",IF(G11="S",'02_의사결정·종합결과'!$B$27,IF(G11="A",'02_의사결정·종합결과'!$C$27,IF(G11="B",'02_의사결정·종합결과'!$D$27,IF(G11="C",'02_의사결정·종합결과'!$E$27,'02_의사결정·종합결과'!$F$27)))))</f>
        <v/>
      </c>
      <c r="J11" s="64">
        <f>IF(I11="","",ROUND(H11*I11*12,-3))</f>
        <v/>
      </c>
      <c r="K11" s="58">
        <f>IF($F$5&lt;&gt;1,$F$5,IF($D$5="",1,$D$5))</f>
        <v/>
      </c>
      <c r="L11" s="67">
        <f>IF(J11="","",ROUND(J11*K11,-3))</f>
        <v/>
      </c>
      <c r="M11" s="4" t="inlineStr"/>
    </row>
    <row r="12" ht="22" customHeight="1">
      <c r="A12" s="33">
        <f>'01_인적정보'!A9</f>
        <v/>
      </c>
      <c r="B12" s="33">
        <f>'01_인적정보'!B9</f>
        <v/>
      </c>
      <c r="C12" s="8">
        <f>'01_인적정보'!C9</f>
        <v/>
      </c>
      <c r="D12" s="8">
        <f>'01_인적정보'!F9</f>
        <v/>
      </c>
      <c r="E12" s="16">
        <f>'01_인적정보'!H9</f>
        <v/>
      </c>
      <c r="F12" s="62">
        <f>'01_인적정보'!K9</f>
        <v/>
      </c>
      <c r="G12" s="21">
        <f>'08_종합평가'!U9</f>
        <v/>
      </c>
      <c r="H12" s="64">
        <f>ROUND(F12/12,-3)</f>
        <v/>
      </c>
      <c r="I12" s="30">
        <f>IF(G12="","",IF(G12="S",'02_의사결정·종합결과'!$B$27,IF(G12="A",'02_의사결정·종합결과'!$C$27,IF(G12="B",'02_의사결정·종합결과'!$D$27,IF(G12="C",'02_의사결정·종합결과'!$E$27,'02_의사결정·종합결과'!$F$27)))))</f>
        <v/>
      </c>
      <c r="J12" s="64">
        <f>IF(I12="","",ROUND(H12*I12*12,-3))</f>
        <v/>
      </c>
      <c r="K12" s="58">
        <f>IF($F$5&lt;&gt;1,$F$5,IF($D$5="",1,$D$5))</f>
        <v/>
      </c>
      <c r="L12" s="67">
        <f>IF(J12="","",ROUND(J12*K12,-3))</f>
        <v/>
      </c>
      <c r="M12" s="4" t="inlineStr"/>
    </row>
    <row r="13" ht="22" customHeight="1">
      <c r="A13" s="33">
        <f>'01_인적정보'!A10</f>
        <v/>
      </c>
      <c r="B13" s="33">
        <f>'01_인적정보'!B10</f>
        <v/>
      </c>
      <c r="C13" s="8">
        <f>'01_인적정보'!C10</f>
        <v/>
      </c>
      <c r="D13" s="8">
        <f>'01_인적정보'!F10</f>
        <v/>
      </c>
      <c r="E13" s="16">
        <f>'01_인적정보'!H10</f>
        <v/>
      </c>
      <c r="F13" s="62">
        <f>'01_인적정보'!K10</f>
        <v/>
      </c>
      <c r="G13" s="21">
        <f>'08_종합평가'!U10</f>
        <v/>
      </c>
      <c r="H13" s="64">
        <f>ROUND(F13/12,-3)</f>
        <v/>
      </c>
      <c r="I13" s="30">
        <f>IF(G13="","",IF(G13="S",'02_의사결정·종합결과'!$B$27,IF(G13="A",'02_의사결정·종합결과'!$C$27,IF(G13="B",'02_의사결정·종합결과'!$D$27,IF(G13="C",'02_의사결정·종합결과'!$E$27,'02_의사결정·종합결과'!$F$27)))))</f>
        <v/>
      </c>
      <c r="J13" s="64">
        <f>IF(I13="","",ROUND(H13*I13*12,-3))</f>
        <v/>
      </c>
      <c r="K13" s="58">
        <f>IF($F$5&lt;&gt;1,$F$5,IF($D$5="",1,$D$5))</f>
        <v/>
      </c>
      <c r="L13" s="67">
        <f>IF(J13="","",ROUND(J13*K13,-3))</f>
        <v/>
      </c>
      <c r="M13" s="4" t="inlineStr"/>
    </row>
    <row r="14" ht="22" customHeight="1">
      <c r="A14" s="33">
        <f>'01_인적정보'!A11</f>
        <v/>
      </c>
      <c r="B14" s="33">
        <f>'01_인적정보'!B11</f>
        <v/>
      </c>
      <c r="C14" s="8">
        <f>'01_인적정보'!C11</f>
        <v/>
      </c>
      <c r="D14" s="8">
        <f>'01_인적정보'!F11</f>
        <v/>
      </c>
      <c r="E14" s="16">
        <f>'01_인적정보'!H11</f>
        <v/>
      </c>
      <c r="F14" s="62">
        <f>'01_인적정보'!K11</f>
        <v/>
      </c>
      <c r="G14" s="21">
        <f>'08_종합평가'!U11</f>
        <v/>
      </c>
      <c r="H14" s="64">
        <f>ROUND(F14/12,-3)</f>
        <v/>
      </c>
      <c r="I14" s="30">
        <f>IF(G14="","",IF(G14="S",'02_의사결정·종합결과'!$B$27,IF(G14="A",'02_의사결정·종합결과'!$C$27,IF(G14="B",'02_의사결정·종합결과'!$D$27,IF(G14="C",'02_의사결정·종합결과'!$E$27,'02_의사결정·종합결과'!$F$27)))))</f>
        <v/>
      </c>
      <c r="J14" s="64">
        <f>IF(I14="","",ROUND(H14*I14*12,-3))</f>
        <v/>
      </c>
      <c r="K14" s="58">
        <f>IF($F$5&lt;&gt;1,$F$5,IF($D$5="",1,$D$5))</f>
        <v/>
      </c>
      <c r="L14" s="67">
        <f>IF(J14="","",ROUND(J14*K14,-3))</f>
        <v/>
      </c>
      <c r="M14" s="4" t="inlineStr"/>
    </row>
    <row r="15" ht="22" customHeight="1">
      <c r="A15" s="33">
        <f>'01_인적정보'!A12</f>
        <v/>
      </c>
      <c r="B15" s="33">
        <f>'01_인적정보'!B12</f>
        <v/>
      </c>
      <c r="C15" s="8">
        <f>'01_인적정보'!C12</f>
        <v/>
      </c>
      <c r="D15" s="8">
        <f>'01_인적정보'!F12</f>
        <v/>
      </c>
      <c r="E15" s="16">
        <f>'01_인적정보'!H12</f>
        <v/>
      </c>
      <c r="F15" s="62">
        <f>'01_인적정보'!K12</f>
        <v/>
      </c>
      <c r="G15" s="21">
        <f>'08_종합평가'!U12</f>
        <v/>
      </c>
      <c r="H15" s="64">
        <f>ROUND(F15/12,-3)</f>
        <v/>
      </c>
      <c r="I15" s="30">
        <f>IF(G15="","",IF(G15="S",'02_의사결정·종합결과'!$B$27,IF(G15="A",'02_의사결정·종합결과'!$C$27,IF(G15="B",'02_의사결정·종합결과'!$D$27,IF(G15="C",'02_의사결정·종합결과'!$E$27,'02_의사결정·종합결과'!$F$27)))))</f>
        <v/>
      </c>
      <c r="J15" s="64">
        <f>IF(I15="","",ROUND(H15*I15*12,-3))</f>
        <v/>
      </c>
      <c r="K15" s="58">
        <f>IF($F$5&lt;&gt;1,$F$5,IF($D$5="",1,$D$5))</f>
        <v/>
      </c>
      <c r="L15" s="67">
        <f>IF(J15="","",ROUND(J15*K15,-3))</f>
        <v/>
      </c>
      <c r="M15" s="4" t="inlineStr"/>
    </row>
    <row r="16" ht="22" customHeight="1">
      <c r="A16" s="33">
        <f>'01_인적정보'!A13</f>
        <v/>
      </c>
      <c r="B16" s="33">
        <f>'01_인적정보'!B13</f>
        <v/>
      </c>
      <c r="C16" s="8">
        <f>'01_인적정보'!C13</f>
        <v/>
      </c>
      <c r="D16" s="8">
        <f>'01_인적정보'!F13</f>
        <v/>
      </c>
      <c r="E16" s="16">
        <f>'01_인적정보'!H13</f>
        <v/>
      </c>
      <c r="F16" s="62">
        <f>'01_인적정보'!K13</f>
        <v/>
      </c>
      <c r="G16" s="21">
        <f>'08_종합평가'!U13</f>
        <v/>
      </c>
      <c r="H16" s="64">
        <f>ROUND(F16/12,-3)</f>
        <v/>
      </c>
      <c r="I16" s="30">
        <f>IF(G16="","",IF(G16="S",'02_의사결정·종합결과'!$B$27,IF(G16="A",'02_의사결정·종합결과'!$C$27,IF(G16="B",'02_의사결정·종합결과'!$D$27,IF(G16="C",'02_의사결정·종합결과'!$E$27,'02_의사결정·종합결과'!$F$27)))))</f>
        <v/>
      </c>
      <c r="J16" s="64">
        <f>IF(I16="","",ROUND(H16*I16*12,-3))</f>
        <v/>
      </c>
      <c r="K16" s="58">
        <f>IF($F$5&lt;&gt;1,$F$5,IF($D$5="",1,$D$5))</f>
        <v/>
      </c>
      <c r="L16" s="67">
        <f>IF(J16="","",ROUND(J16*K16,-3))</f>
        <v/>
      </c>
      <c r="M16" s="4" t="inlineStr"/>
    </row>
    <row r="17" ht="22" customHeight="1">
      <c r="A17" s="33">
        <f>'01_인적정보'!A14</f>
        <v/>
      </c>
      <c r="B17" s="33">
        <f>'01_인적정보'!B14</f>
        <v/>
      </c>
      <c r="C17" s="8">
        <f>'01_인적정보'!C14</f>
        <v/>
      </c>
      <c r="D17" s="8">
        <f>'01_인적정보'!F14</f>
        <v/>
      </c>
      <c r="E17" s="16">
        <f>'01_인적정보'!H14</f>
        <v/>
      </c>
      <c r="F17" s="62">
        <f>'01_인적정보'!K14</f>
        <v/>
      </c>
      <c r="G17" s="21">
        <f>'08_종합평가'!U14</f>
        <v/>
      </c>
      <c r="H17" s="64">
        <f>ROUND(F17/12,-3)</f>
        <v/>
      </c>
      <c r="I17" s="30">
        <f>IF(G17="","",IF(G17="S",'02_의사결정·종합결과'!$B$27,IF(G17="A",'02_의사결정·종합결과'!$C$27,IF(G17="B",'02_의사결정·종합결과'!$D$27,IF(G17="C",'02_의사결정·종합결과'!$E$27,'02_의사결정·종합결과'!$F$27)))))</f>
        <v/>
      </c>
      <c r="J17" s="64">
        <f>IF(I17="","",ROUND(H17*I17*12,-3))</f>
        <v/>
      </c>
      <c r="K17" s="58">
        <f>IF($F$5&lt;&gt;1,$F$5,IF($D$5="",1,$D$5))</f>
        <v/>
      </c>
      <c r="L17" s="67">
        <f>IF(J17="","",ROUND(J17*K17,-3))</f>
        <v/>
      </c>
      <c r="M17" s="4" t="inlineStr"/>
    </row>
    <row r="18" ht="22" customHeight="1">
      <c r="A18" s="33">
        <f>'01_인적정보'!A15</f>
        <v/>
      </c>
      <c r="B18" s="33">
        <f>'01_인적정보'!B15</f>
        <v/>
      </c>
      <c r="C18" s="8">
        <f>'01_인적정보'!C15</f>
        <v/>
      </c>
      <c r="D18" s="8">
        <f>'01_인적정보'!F15</f>
        <v/>
      </c>
      <c r="E18" s="16">
        <f>'01_인적정보'!H15</f>
        <v/>
      </c>
      <c r="F18" s="62">
        <f>'01_인적정보'!K15</f>
        <v/>
      </c>
      <c r="G18" s="21">
        <f>'08_종합평가'!U15</f>
        <v/>
      </c>
      <c r="H18" s="64">
        <f>ROUND(F18/12,-3)</f>
        <v/>
      </c>
      <c r="I18" s="30">
        <f>IF(G18="","",IF(G18="S",'02_의사결정·종합결과'!$B$27,IF(G18="A",'02_의사결정·종합결과'!$C$27,IF(G18="B",'02_의사결정·종합결과'!$D$27,IF(G18="C",'02_의사결정·종합결과'!$E$27,'02_의사결정·종합결과'!$F$27)))))</f>
        <v/>
      </c>
      <c r="J18" s="64">
        <f>IF(I18="","",ROUND(H18*I18*12,-3))</f>
        <v/>
      </c>
      <c r="K18" s="58">
        <f>IF($F$5&lt;&gt;1,$F$5,IF($D$5="",1,$D$5))</f>
        <v/>
      </c>
      <c r="L18" s="67">
        <f>IF(J18="","",ROUND(J18*K18,-3))</f>
        <v/>
      </c>
      <c r="M18" s="4" t="inlineStr"/>
    </row>
    <row r="19" ht="22" customHeight="1">
      <c r="A19" s="33">
        <f>'01_인적정보'!A16</f>
        <v/>
      </c>
      <c r="B19" s="33">
        <f>'01_인적정보'!B16</f>
        <v/>
      </c>
      <c r="C19" s="8">
        <f>'01_인적정보'!C16</f>
        <v/>
      </c>
      <c r="D19" s="8">
        <f>'01_인적정보'!F16</f>
        <v/>
      </c>
      <c r="E19" s="16">
        <f>'01_인적정보'!H16</f>
        <v/>
      </c>
      <c r="F19" s="62">
        <f>'01_인적정보'!K16</f>
        <v/>
      </c>
      <c r="G19" s="21">
        <f>'08_종합평가'!U16</f>
        <v/>
      </c>
      <c r="H19" s="64">
        <f>ROUND(F19/12,-3)</f>
        <v/>
      </c>
      <c r="I19" s="30">
        <f>IF(G19="","",IF(G19="S",'02_의사결정·종합결과'!$B$27,IF(G19="A",'02_의사결정·종합결과'!$C$27,IF(G19="B",'02_의사결정·종합결과'!$D$27,IF(G19="C",'02_의사결정·종합결과'!$E$27,'02_의사결정·종합결과'!$F$27)))))</f>
        <v/>
      </c>
      <c r="J19" s="64">
        <f>IF(I19="","",ROUND(H19*I19*12,-3))</f>
        <v/>
      </c>
      <c r="K19" s="58">
        <f>IF($F$5&lt;&gt;1,$F$5,IF($D$5="",1,$D$5))</f>
        <v/>
      </c>
      <c r="L19" s="67">
        <f>IF(J19="","",ROUND(J19*K19,-3))</f>
        <v/>
      </c>
      <c r="M19" s="4" t="inlineStr"/>
    </row>
    <row r="20" ht="22" customHeight="1">
      <c r="A20" s="33">
        <f>'01_인적정보'!A17</f>
        <v/>
      </c>
      <c r="B20" s="33">
        <f>'01_인적정보'!B17</f>
        <v/>
      </c>
      <c r="C20" s="8">
        <f>'01_인적정보'!C17</f>
        <v/>
      </c>
      <c r="D20" s="8">
        <f>'01_인적정보'!F17</f>
        <v/>
      </c>
      <c r="E20" s="16">
        <f>'01_인적정보'!H17</f>
        <v/>
      </c>
      <c r="F20" s="62">
        <f>'01_인적정보'!K17</f>
        <v/>
      </c>
      <c r="G20" s="21">
        <f>'08_종합평가'!U17</f>
        <v/>
      </c>
      <c r="H20" s="64">
        <f>ROUND(F20/12,-3)</f>
        <v/>
      </c>
      <c r="I20" s="30">
        <f>IF(G20="","",IF(G20="S",'02_의사결정·종합결과'!$B$27,IF(G20="A",'02_의사결정·종합결과'!$C$27,IF(G20="B",'02_의사결정·종합결과'!$D$27,IF(G20="C",'02_의사결정·종합결과'!$E$27,'02_의사결정·종합결과'!$F$27)))))</f>
        <v/>
      </c>
      <c r="J20" s="64">
        <f>IF(I20="","",ROUND(H20*I20*12,-3))</f>
        <v/>
      </c>
      <c r="K20" s="58">
        <f>IF($F$5&lt;&gt;1,$F$5,IF($D$5="",1,$D$5))</f>
        <v/>
      </c>
      <c r="L20" s="67">
        <f>IF(J20="","",ROUND(J20*K20,-3))</f>
        <v/>
      </c>
      <c r="M20" s="4" t="inlineStr"/>
    </row>
    <row r="21" ht="22" customHeight="1">
      <c r="A21" s="33">
        <f>'01_인적정보'!A18</f>
        <v/>
      </c>
      <c r="B21" s="33">
        <f>'01_인적정보'!B18</f>
        <v/>
      </c>
      <c r="C21" s="8">
        <f>'01_인적정보'!C18</f>
        <v/>
      </c>
      <c r="D21" s="8">
        <f>'01_인적정보'!F18</f>
        <v/>
      </c>
      <c r="E21" s="16">
        <f>'01_인적정보'!H18</f>
        <v/>
      </c>
      <c r="F21" s="62">
        <f>'01_인적정보'!K18</f>
        <v/>
      </c>
      <c r="G21" s="21">
        <f>'08_종합평가'!U18</f>
        <v/>
      </c>
      <c r="H21" s="64">
        <f>ROUND(F21/12,-3)</f>
        <v/>
      </c>
      <c r="I21" s="30">
        <f>IF(G21="","",IF(G21="S",'02_의사결정·종합결과'!$B$27,IF(G21="A",'02_의사결정·종합결과'!$C$27,IF(G21="B",'02_의사결정·종합결과'!$D$27,IF(G21="C",'02_의사결정·종합결과'!$E$27,'02_의사결정·종합결과'!$F$27)))))</f>
        <v/>
      </c>
      <c r="J21" s="64">
        <f>IF(I21="","",ROUND(H21*I21*12,-3))</f>
        <v/>
      </c>
      <c r="K21" s="58">
        <f>IF($F$5&lt;&gt;1,$F$5,IF($D$5="",1,$D$5))</f>
        <v/>
      </c>
      <c r="L21" s="67">
        <f>IF(J21="","",ROUND(J21*K21,-3))</f>
        <v/>
      </c>
      <c r="M21" s="4" t="inlineStr"/>
    </row>
    <row r="22" ht="22" customHeight="1">
      <c r="A22" s="33">
        <f>'01_인적정보'!A19</f>
        <v/>
      </c>
      <c r="B22" s="33">
        <f>'01_인적정보'!B19</f>
        <v/>
      </c>
      <c r="C22" s="8">
        <f>'01_인적정보'!C19</f>
        <v/>
      </c>
      <c r="D22" s="8">
        <f>'01_인적정보'!F19</f>
        <v/>
      </c>
      <c r="E22" s="16">
        <f>'01_인적정보'!H19</f>
        <v/>
      </c>
      <c r="F22" s="62">
        <f>'01_인적정보'!K19</f>
        <v/>
      </c>
      <c r="G22" s="21">
        <f>'08_종합평가'!U19</f>
        <v/>
      </c>
      <c r="H22" s="64">
        <f>ROUND(F22/12,-3)</f>
        <v/>
      </c>
      <c r="I22" s="30">
        <f>IF(G22="","",IF(G22="S",'02_의사결정·종합결과'!$B$27,IF(G22="A",'02_의사결정·종합결과'!$C$27,IF(G22="B",'02_의사결정·종합결과'!$D$27,IF(G22="C",'02_의사결정·종합결과'!$E$27,'02_의사결정·종합결과'!$F$27)))))</f>
        <v/>
      </c>
      <c r="J22" s="64">
        <f>IF(I22="","",ROUND(H22*I22*12,-3))</f>
        <v/>
      </c>
      <c r="K22" s="58">
        <f>IF($F$5&lt;&gt;1,$F$5,IF($D$5="",1,$D$5))</f>
        <v/>
      </c>
      <c r="L22" s="67">
        <f>IF(J22="","",ROUND(J22*K22,-3))</f>
        <v/>
      </c>
      <c r="M22" s="4" t="inlineStr"/>
    </row>
    <row r="23" ht="22" customHeight="1">
      <c r="A23" s="33">
        <f>'01_인적정보'!A20</f>
        <v/>
      </c>
      <c r="B23" s="33">
        <f>'01_인적정보'!B20</f>
        <v/>
      </c>
      <c r="C23" s="8">
        <f>'01_인적정보'!C20</f>
        <v/>
      </c>
      <c r="D23" s="8">
        <f>'01_인적정보'!F20</f>
        <v/>
      </c>
      <c r="E23" s="16">
        <f>'01_인적정보'!H20</f>
        <v/>
      </c>
      <c r="F23" s="62">
        <f>'01_인적정보'!K20</f>
        <v/>
      </c>
      <c r="G23" s="21">
        <f>'08_종합평가'!U20</f>
        <v/>
      </c>
      <c r="H23" s="64">
        <f>ROUND(F23/12,-3)</f>
        <v/>
      </c>
      <c r="I23" s="30">
        <f>IF(G23="","",IF(G23="S",'02_의사결정·종합결과'!$B$27,IF(G23="A",'02_의사결정·종합결과'!$C$27,IF(G23="B",'02_의사결정·종합결과'!$D$27,IF(G23="C",'02_의사결정·종합결과'!$E$27,'02_의사결정·종합결과'!$F$27)))))</f>
        <v/>
      </c>
      <c r="J23" s="64">
        <f>IF(I23="","",ROUND(H23*I23*12,-3))</f>
        <v/>
      </c>
      <c r="K23" s="58">
        <f>IF($F$5&lt;&gt;1,$F$5,IF($D$5="",1,$D$5))</f>
        <v/>
      </c>
      <c r="L23" s="67">
        <f>IF(J23="","",ROUND(J23*K23,-3))</f>
        <v/>
      </c>
      <c r="M23" s="4" t="inlineStr"/>
    </row>
    <row r="24" ht="22" customHeight="1">
      <c r="A24" s="33">
        <f>'01_인적정보'!A21</f>
        <v/>
      </c>
      <c r="B24" s="33">
        <f>'01_인적정보'!B21</f>
        <v/>
      </c>
      <c r="C24" s="8">
        <f>'01_인적정보'!C21</f>
        <v/>
      </c>
      <c r="D24" s="8">
        <f>'01_인적정보'!F21</f>
        <v/>
      </c>
      <c r="E24" s="16">
        <f>'01_인적정보'!H21</f>
        <v/>
      </c>
      <c r="F24" s="62">
        <f>'01_인적정보'!K21</f>
        <v/>
      </c>
      <c r="G24" s="21">
        <f>'08_종합평가'!U21</f>
        <v/>
      </c>
      <c r="H24" s="64">
        <f>ROUND(F24/12,-3)</f>
        <v/>
      </c>
      <c r="I24" s="30">
        <f>IF(G24="","",IF(G24="S",'02_의사결정·종합결과'!$B$27,IF(G24="A",'02_의사결정·종합결과'!$C$27,IF(G24="B",'02_의사결정·종합결과'!$D$27,IF(G24="C",'02_의사결정·종합결과'!$E$27,'02_의사결정·종합결과'!$F$27)))))</f>
        <v/>
      </c>
      <c r="J24" s="64">
        <f>IF(I24="","",ROUND(H24*I24*12,-3))</f>
        <v/>
      </c>
      <c r="K24" s="58">
        <f>IF($F$5&lt;&gt;1,$F$5,IF($D$5="",1,$D$5))</f>
        <v/>
      </c>
      <c r="L24" s="67">
        <f>IF(J24="","",ROUND(J24*K24,-3))</f>
        <v/>
      </c>
      <c r="M24" s="4" t="inlineStr"/>
    </row>
    <row r="25" ht="22" customHeight="1">
      <c r="A25" s="33">
        <f>'01_인적정보'!A22</f>
        <v/>
      </c>
      <c r="B25" s="33">
        <f>'01_인적정보'!B22</f>
        <v/>
      </c>
      <c r="C25" s="8">
        <f>'01_인적정보'!C22</f>
        <v/>
      </c>
      <c r="D25" s="8">
        <f>'01_인적정보'!F22</f>
        <v/>
      </c>
      <c r="E25" s="16">
        <f>'01_인적정보'!H22</f>
        <v/>
      </c>
      <c r="F25" s="62">
        <f>'01_인적정보'!K22</f>
        <v/>
      </c>
      <c r="G25" s="21">
        <f>'08_종합평가'!U22</f>
        <v/>
      </c>
      <c r="H25" s="64">
        <f>ROUND(F25/12,-3)</f>
        <v/>
      </c>
      <c r="I25" s="30">
        <f>IF(G25="","",IF(G25="S",'02_의사결정·종합결과'!$B$27,IF(G25="A",'02_의사결정·종합결과'!$C$27,IF(G25="B",'02_의사결정·종합결과'!$D$27,IF(G25="C",'02_의사결정·종합결과'!$E$27,'02_의사결정·종합결과'!$F$27)))))</f>
        <v/>
      </c>
      <c r="J25" s="64">
        <f>IF(I25="","",ROUND(H25*I25*12,-3))</f>
        <v/>
      </c>
      <c r="K25" s="58">
        <f>IF($F$5&lt;&gt;1,$F$5,IF($D$5="",1,$D$5))</f>
        <v/>
      </c>
      <c r="L25" s="67">
        <f>IF(J25="","",ROUND(J25*K25,-3))</f>
        <v/>
      </c>
      <c r="M25" s="4" t="inlineStr"/>
    </row>
    <row r="26" ht="22" customHeight="1">
      <c r="A26" s="33">
        <f>'01_인적정보'!A23</f>
        <v/>
      </c>
      <c r="B26" s="33">
        <f>'01_인적정보'!B23</f>
        <v/>
      </c>
      <c r="C26" s="8">
        <f>'01_인적정보'!C23</f>
        <v/>
      </c>
      <c r="D26" s="8">
        <f>'01_인적정보'!F23</f>
        <v/>
      </c>
      <c r="E26" s="16">
        <f>'01_인적정보'!H23</f>
        <v/>
      </c>
      <c r="F26" s="62">
        <f>'01_인적정보'!K23</f>
        <v/>
      </c>
      <c r="G26" s="21">
        <f>'08_종합평가'!U23</f>
        <v/>
      </c>
      <c r="H26" s="64">
        <f>ROUND(F26/12,-3)</f>
        <v/>
      </c>
      <c r="I26" s="30">
        <f>IF(G26="","",IF(G26="S",'02_의사결정·종합결과'!$B$27,IF(G26="A",'02_의사결정·종합결과'!$C$27,IF(G26="B",'02_의사결정·종합결과'!$D$27,IF(G26="C",'02_의사결정·종합결과'!$E$27,'02_의사결정·종합결과'!$F$27)))))</f>
        <v/>
      </c>
      <c r="J26" s="64">
        <f>IF(I26="","",ROUND(H26*I26*12,-3))</f>
        <v/>
      </c>
      <c r="K26" s="58">
        <f>IF($F$5&lt;&gt;1,$F$5,IF($D$5="",1,$D$5))</f>
        <v/>
      </c>
      <c r="L26" s="67">
        <f>IF(J26="","",ROUND(J26*K26,-3))</f>
        <v/>
      </c>
      <c r="M26" s="4" t="inlineStr"/>
    </row>
    <row r="27" ht="22" customHeight="1">
      <c r="A27" s="33">
        <f>'01_인적정보'!A24</f>
        <v/>
      </c>
      <c r="B27" s="33">
        <f>'01_인적정보'!B24</f>
        <v/>
      </c>
      <c r="C27" s="8">
        <f>'01_인적정보'!C24</f>
        <v/>
      </c>
      <c r="D27" s="8">
        <f>'01_인적정보'!F24</f>
        <v/>
      </c>
      <c r="E27" s="16">
        <f>'01_인적정보'!H24</f>
        <v/>
      </c>
      <c r="F27" s="62">
        <f>'01_인적정보'!K24</f>
        <v/>
      </c>
      <c r="G27" s="21">
        <f>'08_종합평가'!U24</f>
        <v/>
      </c>
      <c r="H27" s="64">
        <f>ROUND(F27/12,-3)</f>
        <v/>
      </c>
      <c r="I27" s="30">
        <f>IF(G27="","",IF(G27="S",'02_의사결정·종합결과'!$B$27,IF(G27="A",'02_의사결정·종합결과'!$C$27,IF(G27="B",'02_의사결정·종합결과'!$D$27,IF(G27="C",'02_의사결정·종합결과'!$E$27,'02_의사결정·종합결과'!$F$27)))))</f>
        <v/>
      </c>
      <c r="J27" s="64">
        <f>IF(I27="","",ROUND(H27*I27*12,-3))</f>
        <v/>
      </c>
      <c r="K27" s="58">
        <f>IF($F$5&lt;&gt;1,$F$5,IF($D$5="",1,$D$5))</f>
        <v/>
      </c>
      <c r="L27" s="67">
        <f>IF(J27="","",ROUND(J27*K27,-3))</f>
        <v/>
      </c>
      <c r="M27" s="4" t="inlineStr"/>
    </row>
    <row r="28" ht="22" customHeight="1">
      <c r="A28" s="33">
        <f>'01_인적정보'!A25</f>
        <v/>
      </c>
      <c r="B28" s="33">
        <f>'01_인적정보'!B25</f>
        <v/>
      </c>
      <c r="C28" s="8">
        <f>'01_인적정보'!C25</f>
        <v/>
      </c>
      <c r="D28" s="8">
        <f>'01_인적정보'!F25</f>
        <v/>
      </c>
      <c r="E28" s="16">
        <f>'01_인적정보'!H25</f>
        <v/>
      </c>
      <c r="F28" s="62">
        <f>'01_인적정보'!K25</f>
        <v/>
      </c>
      <c r="G28" s="21">
        <f>'08_종합평가'!U25</f>
        <v/>
      </c>
      <c r="H28" s="64">
        <f>ROUND(F28/12,-3)</f>
        <v/>
      </c>
      <c r="I28" s="30">
        <f>IF(G28="","",IF(G28="S",'02_의사결정·종합결과'!$B$27,IF(G28="A",'02_의사결정·종합결과'!$C$27,IF(G28="B",'02_의사결정·종합결과'!$D$27,IF(G28="C",'02_의사결정·종합결과'!$E$27,'02_의사결정·종합결과'!$F$27)))))</f>
        <v/>
      </c>
      <c r="J28" s="64">
        <f>IF(I28="","",ROUND(H28*I28*12,-3))</f>
        <v/>
      </c>
      <c r="K28" s="58">
        <f>IF($F$5&lt;&gt;1,$F$5,IF($D$5="",1,$D$5))</f>
        <v/>
      </c>
      <c r="L28" s="67">
        <f>IF(J28="","",ROUND(J28*K28,-3))</f>
        <v/>
      </c>
      <c r="M28" s="4" t="inlineStr"/>
    </row>
    <row r="29" ht="22" customHeight="1">
      <c r="A29" s="33">
        <f>'01_인적정보'!A26</f>
        <v/>
      </c>
      <c r="B29" s="33">
        <f>'01_인적정보'!B26</f>
        <v/>
      </c>
      <c r="C29" s="8">
        <f>'01_인적정보'!C26</f>
        <v/>
      </c>
      <c r="D29" s="8">
        <f>'01_인적정보'!F26</f>
        <v/>
      </c>
      <c r="E29" s="16">
        <f>'01_인적정보'!H26</f>
        <v/>
      </c>
      <c r="F29" s="62">
        <f>'01_인적정보'!K26</f>
        <v/>
      </c>
      <c r="G29" s="21">
        <f>'08_종합평가'!U26</f>
        <v/>
      </c>
      <c r="H29" s="64">
        <f>ROUND(F29/12,-3)</f>
        <v/>
      </c>
      <c r="I29" s="30">
        <f>IF(G29="","",IF(G29="S",'02_의사결정·종합결과'!$B$27,IF(G29="A",'02_의사결정·종합결과'!$C$27,IF(G29="B",'02_의사결정·종합결과'!$D$27,IF(G29="C",'02_의사결정·종합결과'!$E$27,'02_의사결정·종합결과'!$F$27)))))</f>
        <v/>
      </c>
      <c r="J29" s="64">
        <f>IF(I29="","",ROUND(H29*I29*12,-3))</f>
        <v/>
      </c>
      <c r="K29" s="58">
        <f>IF($F$5&lt;&gt;1,$F$5,IF($D$5="",1,$D$5))</f>
        <v/>
      </c>
      <c r="L29" s="67">
        <f>IF(J29="","",ROUND(J29*K29,-3))</f>
        <v/>
      </c>
      <c r="M29" s="4" t="inlineStr"/>
    </row>
    <row r="30" ht="22" customHeight="1">
      <c r="A30" s="33">
        <f>'01_인적정보'!A27</f>
        <v/>
      </c>
      <c r="B30" s="33">
        <f>'01_인적정보'!B27</f>
        <v/>
      </c>
      <c r="C30" s="8">
        <f>'01_인적정보'!C27</f>
        <v/>
      </c>
      <c r="D30" s="8">
        <f>'01_인적정보'!F27</f>
        <v/>
      </c>
      <c r="E30" s="16">
        <f>'01_인적정보'!H27</f>
        <v/>
      </c>
      <c r="F30" s="62">
        <f>'01_인적정보'!K27</f>
        <v/>
      </c>
      <c r="G30" s="21">
        <f>'08_종합평가'!U27</f>
        <v/>
      </c>
      <c r="H30" s="64">
        <f>ROUND(F30/12,-3)</f>
        <v/>
      </c>
      <c r="I30" s="30">
        <f>IF(G30="","",IF(G30="S",'02_의사결정·종합결과'!$B$27,IF(G30="A",'02_의사결정·종합결과'!$C$27,IF(G30="B",'02_의사결정·종합결과'!$D$27,IF(G30="C",'02_의사결정·종합결과'!$E$27,'02_의사결정·종합결과'!$F$27)))))</f>
        <v/>
      </c>
      <c r="J30" s="64">
        <f>IF(I30="","",ROUND(H30*I30*12,-3))</f>
        <v/>
      </c>
      <c r="K30" s="58">
        <f>IF($F$5&lt;&gt;1,$F$5,IF($D$5="",1,$D$5))</f>
        <v/>
      </c>
      <c r="L30" s="67">
        <f>IF(J30="","",ROUND(J30*K30,-3))</f>
        <v/>
      </c>
      <c r="M30" s="4" t="inlineStr"/>
    </row>
    <row r="31" ht="22" customHeight="1">
      <c r="A31" s="33">
        <f>'01_인적정보'!A28</f>
        <v/>
      </c>
      <c r="B31" s="33">
        <f>'01_인적정보'!B28</f>
        <v/>
      </c>
      <c r="C31" s="8">
        <f>'01_인적정보'!C28</f>
        <v/>
      </c>
      <c r="D31" s="8">
        <f>'01_인적정보'!F28</f>
        <v/>
      </c>
      <c r="E31" s="16">
        <f>'01_인적정보'!H28</f>
        <v/>
      </c>
      <c r="F31" s="62">
        <f>'01_인적정보'!K28</f>
        <v/>
      </c>
      <c r="G31" s="21">
        <f>'08_종합평가'!U28</f>
        <v/>
      </c>
      <c r="H31" s="64">
        <f>ROUND(F31/12,-3)</f>
        <v/>
      </c>
      <c r="I31" s="30">
        <f>IF(G31="","",IF(G31="S",'02_의사결정·종합결과'!$B$27,IF(G31="A",'02_의사결정·종합결과'!$C$27,IF(G31="B",'02_의사결정·종합결과'!$D$27,IF(G31="C",'02_의사결정·종합결과'!$E$27,'02_의사결정·종합결과'!$F$27)))))</f>
        <v/>
      </c>
      <c r="J31" s="64">
        <f>IF(I31="","",ROUND(H31*I31*12,-3))</f>
        <v/>
      </c>
      <c r="K31" s="58">
        <f>IF($F$5&lt;&gt;1,$F$5,IF($D$5="",1,$D$5))</f>
        <v/>
      </c>
      <c r="L31" s="67">
        <f>IF(J31="","",ROUND(J31*K31,-3))</f>
        <v/>
      </c>
      <c r="M31" s="4" t="inlineStr"/>
    </row>
    <row r="32" ht="22" customHeight="1">
      <c r="A32" s="33">
        <f>'01_인적정보'!A29</f>
        <v/>
      </c>
      <c r="B32" s="33">
        <f>'01_인적정보'!B29</f>
        <v/>
      </c>
      <c r="C32" s="8">
        <f>'01_인적정보'!C29</f>
        <v/>
      </c>
      <c r="D32" s="8">
        <f>'01_인적정보'!F29</f>
        <v/>
      </c>
      <c r="E32" s="16">
        <f>'01_인적정보'!H29</f>
        <v/>
      </c>
      <c r="F32" s="62">
        <f>'01_인적정보'!K29</f>
        <v/>
      </c>
      <c r="G32" s="21">
        <f>'08_종합평가'!U29</f>
        <v/>
      </c>
      <c r="H32" s="64">
        <f>ROUND(F32/12,-3)</f>
        <v/>
      </c>
      <c r="I32" s="30">
        <f>IF(G32="","",IF(G32="S",'02_의사결정·종합결과'!$B$27,IF(G32="A",'02_의사결정·종합결과'!$C$27,IF(G32="B",'02_의사결정·종합결과'!$D$27,IF(G32="C",'02_의사결정·종합결과'!$E$27,'02_의사결정·종합결과'!$F$27)))))</f>
        <v/>
      </c>
      <c r="J32" s="64">
        <f>IF(I32="","",ROUND(H32*I32*12,-3))</f>
        <v/>
      </c>
      <c r="K32" s="58">
        <f>IF($F$5&lt;&gt;1,$F$5,IF($D$5="",1,$D$5))</f>
        <v/>
      </c>
      <c r="L32" s="67">
        <f>IF(J32="","",ROUND(J32*K32,-3))</f>
        <v/>
      </c>
      <c r="M32" s="4" t="inlineStr"/>
    </row>
    <row r="33" ht="22" customHeight="1">
      <c r="A33" s="33">
        <f>'01_인적정보'!A30</f>
        <v/>
      </c>
      <c r="B33" s="33">
        <f>'01_인적정보'!B30</f>
        <v/>
      </c>
      <c r="C33" s="8">
        <f>'01_인적정보'!C30</f>
        <v/>
      </c>
      <c r="D33" s="8">
        <f>'01_인적정보'!F30</f>
        <v/>
      </c>
      <c r="E33" s="16">
        <f>'01_인적정보'!H30</f>
        <v/>
      </c>
      <c r="F33" s="62">
        <f>'01_인적정보'!K30</f>
        <v/>
      </c>
      <c r="G33" s="21">
        <f>'08_종합평가'!U30</f>
        <v/>
      </c>
      <c r="H33" s="64">
        <f>ROUND(F33/12,-3)</f>
        <v/>
      </c>
      <c r="I33" s="30">
        <f>IF(G33="","",IF(G33="S",'02_의사결정·종합결과'!$B$27,IF(G33="A",'02_의사결정·종합결과'!$C$27,IF(G33="B",'02_의사결정·종합결과'!$D$27,IF(G33="C",'02_의사결정·종합결과'!$E$27,'02_의사결정·종합결과'!$F$27)))))</f>
        <v/>
      </c>
      <c r="J33" s="64">
        <f>IF(I33="","",ROUND(H33*I33*12,-3))</f>
        <v/>
      </c>
      <c r="K33" s="58">
        <f>IF($F$5&lt;&gt;1,$F$5,IF($D$5="",1,$D$5))</f>
        <v/>
      </c>
      <c r="L33" s="67">
        <f>IF(J33="","",ROUND(J33*K33,-3))</f>
        <v/>
      </c>
      <c r="M33" s="4" t="inlineStr"/>
    </row>
    <row r="34" ht="22" customHeight="1">
      <c r="A34" s="33">
        <f>'01_인적정보'!A31</f>
        <v/>
      </c>
      <c r="B34" s="33">
        <f>'01_인적정보'!B31</f>
        <v/>
      </c>
      <c r="C34" s="8">
        <f>'01_인적정보'!C31</f>
        <v/>
      </c>
      <c r="D34" s="8">
        <f>'01_인적정보'!F31</f>
        <v/>
      </c>
      <c r="E34" s="16">
        <f>'01_인적정보'!H31</f>
        <v/>
      </c>
      <c r="F34" s="62">
        <f>'01_인적정보'!K31</f>
        <v/>
      </c>
      <c r="G34" s="21">
        <f>'08_종합평가'!U31</f>
        <v/>
      </c>
      <c r="H34" s="64">
        <f>ROUND(F34/12,-3)</f>
        <v/>
      </c>
      <c r="I34" s="30">
        <f>IF(G34="","",IF(G34="S",'02_의사결정·종합결과'!$B$27,IF(G34="A",'02_의사결정·종합결과'!$C$27,IF(G34="B",'02_의사결정·종합결과'!$D$27,IF(G34="C",'02_의사결정·종합결과'!$E$27,'02_의사결정·종합결과'!$F$27)))))</f>
        <v/>
      </c>
      <c r="J34" s="64">
        <f>IF(I34="","",ROUND(H34*I34*12,-3))</f>
        <v/>
      </c>
      <c r="K34" s="58">
        <f>IF($F$5&lt;&gt;1,$F$5,IF($D$5="",1,$D$5))</f>
        <v/>
      </c>
      <c r="L34" s="67">
        <f>IF(J34="","",ROUND(J34*K34,-3))</f>
        <v/>
      </c>
      <c r="M34" s="4" t="inlineStr"/>
    </row>
    <row r="35" ht="22" customHeight="1">
      <c r="A35" s="33">
        <f>'01_인적정보'!A32</f>
        <v/>
      </c>
      <c r="B35" s="33">
        <f>'01_인적정보'!B32</f>
        <v/>
      </c>
      <c r="C35" s="8">
        <f>'01_인적정보'!C32</f>
        <v/>
      </c>
      <c r="D35" s="8">
        <f>'01_인적정보'!F32</f>
        <v/>
      </c>
      <c r="E35" s="16">
        <f>'01_인적정보'!H32</f>
        <v/>
      </c>
      <c r="F35" s="62">
        <f>'01_인적정보'!K32</f>
        <v/>
      </c>
      <c r="G35" s="21">
        <f>'08_종합평가'!U32</f>
        <v/>
      </c>
      <c r="H35" s="64">
        <f>ROUND(F35/12,-3)</f>
        <v/>
      </c>
      <c r="I35" s="30">
        <f>IF(G35="","",IF(G35="S",'02_의사결정·종합결과'!$B$27,IF(G35="A",'02_의사결정·종합결과'!$C$27,IF(G35="B",'02_의사결정·종합결과'!$D$27,IF(G35="C",'02_의사결정·종합결과'!$E$27,'02_의사결정·종합결과'!$F$27)))))</f>
        <v/>
      </c>
      <c r="J35" s="64">
        <f>IF(I35="","",ROUND(H35*I35*12,-3))</f>
        <v/>
      </c>
      <c r="K35" s="58">
        <f>IF($F$5&lt;&gt;1,$F$5,IF($D$5="",1,$D$5))</f>
        <v/>
      </c>
      <c r="L35" s="67">
        <f>IF(J35="","",ROUND(J35*K35,-3))</f>
        <v/>
      </c>
      <c r="M35" s="4" t="inlineStr"/>
    </row>
    <row r="36" ht="22" customHeight="1">
      <c r="A36" s="33">
        <f>'01_인적정보'!A33</f>
        <v/>
      </c>
      <c r="B36" s="33">
        <f>'01_인적정보'!B33</f>
        <v/>
      </c>
      <c r="C36" s="8">
        <f>'01_인적정보'!C33</f>
        <v/>
      </c>
      <c r="D36" s="8">
        <f>'01_인적정보'!F33</f>
        <v/>
      </c>
      <c r="E36" s="16">
        <f>'01_인적정보'!H33</f>
        <v/>
      </c>
      <c r="F36" s="62">
        <f>'01_인적정보'!K33</f>
        <v/>
      </c>
      <c r="G36" s="21">
        <f>'08_종합평가'!U33</f>
        <v/>
      </c>
      <c r="H36" s="64">
        <f>ROUND(F36/12,-3)</f>
        <v/>
      </c>
      <c r="I36" s="30">
        <f>IF(G36="","",IF(G36="S",'02_의사결정·종합결과'!$B$27,IF(G36="A",'02_의사결정·종합결과'!$C$27,IF(G36="B",'02_의사결정·종합결과'!$D$27,IF(G36="C",'02_의사결정·종합결과'!$E$27,'02_의사결정·종합결과'!$F$27)))))</f>
        <v/>
      </c>
      <c r="J36" s="64">
        <f>IF(I36="","",ROUND(H36*I36*12,-3))</f>
        <v/>
      </c>
      <c r="K36" s="58">
        <f>IF($F$5&lt;&gt;1,$F$5,IF($D$5="",1,$D$5))</f>
        <v/>
      </c>
      <c r="L36" s="67">
        <f>IF(J36="","",ROUND(J36*K36,-3))</f>
        <v/>
      </c>
      <c r="M36" s="4" t="inlineStr"/>
    </row>
    <row r="37" ht="22" customHeight="1">
      <c r="A37" s="33">
        <f>'01_인적정보'!A34</f>
        <v/>
      </c>
      <c r="B37" s="33">
        <f>'01_인적정보'!B34</f>
        <v/>
      </c>
      <c r="C37" s="8">
        <f>'01_인적정보'!C34</f>
        <v/>
      </c>
      <c r="D37" s="8">
        <f>'01_인적정보'!F34</f>
        <v/>
      </c>
      <c r="E37" s="16">
        <f>'01_인적정보'!H34</f>
        <v/>
      </c>
      <c r="F37" s="62">
        <f>'01_인적정보'!K34</f>
        <v/>
      </c>
      <c r="G37" s="21">
        <f>'08_종합평가'!U34</f>
        <v/>
      </c>
      <c r="H37" s="64">
        <f>ROUND(F37/12,-3)</f>
        <v/>
      </c>
      <c r="I37" s="30">
        <f>IF(G37="","",IF(G37="S",'02_의사결정·종합결과'!$B$27,IF(G37="A",'02_의사결정·종합결과'!$C$27,IF(G37="B",'02_의사결정·종합결과'!$D$27,IF(G37="C",'02_의사결정·종합결과'!$E$27,'02_의사결정·종합결과'!$F$27)))))</f>
        <v/>
      </c>
      <c r="J37" s="64">
        <f>IF(I37="","",ROUND(H37*I37*12,-3))</f>
        <v/>
      </c>
      <c r="K37" s="58">
        <f>IF($F$5&lt;&gt;1,$F$5,IF($D$5="",1,$D$5))</f>
        <v/>
      </c>
      <c r="L37" s="67">
        <f>IF(J37="","",ROUND(J37*K37,-3))</f>
        <v/>
      </c>
      <c r="M37" s="4" t="inlineStr"/>
    </row>
    <row r="38" ht="22" customHeight="1">
      <c r="A38" s="33">
        <f>'01_인적정보'!A35</f>
        <v/>
      </c>
      <c r="B38" s="33">
        <f>'01_인적정보'!B35</f>
        <v/>
      </c>
      <c r="C38" s="8">
        <f>'01_인적정보'!C35</f>
        <v/>
      </c>
      <c r="D38" s="8">
        <f>'01_인적정보'!F35</f>
        <v/>
      </c>
      <c r="E38" s="16">
        <f>'01_인적정보'!H35</f>
        <v/>
      </c>
      <c r="F38" s="62">
        <f>'01_인적정보'!K35</f>
        <v/>
      </c>
      <c r="G38" s="21">
        <f>'08_종합평가'!U35</f>
        <v/>
      </c>
      <c r="H38" s="64">
        <f>ROUND(F38/12,-3)</f>
        <v/>
      </c>
      <c r="I38" s="30">
        <f>IF(G38="","",IF(G38="S",'02_의사결정·종합결과'!$B$27,IF(G38="A",'02_의사결정·종합결과'!$C$27,IF(G38="B",'02_의사결정·종합결과'!$D$27,IF(G38="C",'02_의사결정·종합결과'!$E$27,'02_의사결정·종합결과'!$F$27)))))</f>
        <v/>
      </c>
      <c r="J38" s="64">
        <f>IF(I38="","",ROUND(H38*I38*12,-3))</f>
        <v/>
      </c>
      <c r="K38" s="58">
        <f>IF($F$5&lt;&gt;1,$F$5,IF($D$5="",1,$D$5))</f>
        <v/>
      </c>
      <c r="L38" s="67">
        <f>IF(J38="","",ROUND(J38*K38,-3))</f>
        <v/>
      </c>
      <c r="M38" s="4" t="inlineStr"/>
    </row>
    <row r="39" ht="22" customHeight="1">
      <c r="A39" s="33">
        <f>'01_인적정보'!A36</f>
        <v/>
      </c>
      <c r="B39" s="33">
        <f>'01_인적정보'!B36</f>
        <v/>
      </c>
      <c r="C39" s="8">
        <f>'01_인적정보'!C36</f>
        <v/>
      </c>
      <c r="D39" s="8">
        <f>'01_인적정보'!F36</f>
        <v/>
      </c>
      <c r="E39" s="16">
        <f>'01_인적정보'!H36</f>
        <v/>
      </c>
      <c r="F39" s="62">
        <f>'01_인적정보'!K36</f>
        <v/>
      </c>
      <c r="G39" s="21">
        <f>'08_종합평가'!U36</f>
        <v/>
      </c>
      <c r="H39" s="64">
        <f>ROUND(F39/12,-3)</f>
        <v/>
      </c>
      <c r="I39" s="30">
        <f>IF(G39="","",IF(G39="S",'02_의사결정·종합결과'!$B$27,IF(G39="A",'02_의사결정·종합결과'!$C$27,IF(G39="B",'02_의사결정·종합결과'!$D$27,IF(G39="C",'02_의사결정·종합결과'!$E$27,'02_의사결정·종합결과'!$F$27)))))</f>
        <v/>
      </c>
      <c r="J39" s="64">
        <f>IF(I39="","",ROUND(H39*I39*12,-3))</f>
        <v/>
      </c>
      <c r="K39" s="58">
        <f>IF($F$5&lt;&gt;1,$F$5,IF($D$5="",1,$D$5))</f>
        <v/>
      </c>
      <c r="L39" s="67">
        <f>IF(J39="","",ROUND(J39*K39,-3))</f>
        <v/>
      </c>
      <c r="M39" s="4" t="inlineStr"/>
    </row>
    <row r="40" ht="22" customHeight="1">
      <c r="A40" s="33">
        <f>'01_인적정보'!A37</f>
        <v/>
      </c>
      <c r="B40" s="33">
        <f>'01_인적정보'!B37</f>
        <v/>
      </c>
      <c r="C40" s="8">
        <f>'01_인적정보'!C37</f>
        <v/>
      </c>
      <c r="D40" s="8">
        <f>'01_인적정보'!F37</f>
        <v/>
      </c>
      <c r="E40" s="16">
        <f>'01_인적정보'!H37</f>
        <v/>
      </c>
      <c r="F40" s="62">
        <f>'01_인적정보'!K37</f>
        <v/>
      </c>
      <c r="G40" s="21">
        <f>'08_종합평가'!U37</f>
        <v/>
      </c>
      <c r="H40" s="64">
        <f>ROUND(F40/12,-3)</f>
        <v/>
      </c>
      <c r="I40" s="30">
        <f>IF(G40="","",IF(G40="S",'02_의사결정·종합결과'!$B$27,IF(G40="A",'02_의사결정·종합결과'!$C$27,IF(G40="B",'02_의사결정·종합결과'!$D$27,IF(G40="C",'02_의사결정·종합결과'!$E$27,'02_의사결정·종합결과'!$F$27)))))</f>
        <v/>
      </c>
      <c r="J40" s="64">
        <f>IF(I40="","",ROUND(H40*I40*12,-3))</f>
        <v/>
      </c>
      <c r="K40" s="58">
        <f>IF($F$5&lt;&gt;1,$F$5,IF($D$5="",1,$D$5))</f>
        <v/>
      </c>
      <c r="L40" s="67">
        <f>IF(J40="","",ROUND(J40*K40,-3))</f>
        <v/>
      </c>
      <c r="M40" s="4" t="inlineStr"/>
    </row>
    <row r="41" ht="22" customHeight="1">
      <c r="A41" s="33">
        <f>'01_인적정보'!A38</f>
        <v/>
      </c>
      <c r="B41" s="33">
        <f>'01_인적정보'!B38</f>
        <v/>
      </c>
      <c r="C41" s="8">
        <f>'01_인적정보'!C38</f>
        <v/>
      </c>
      <c r="D41" s="8">
        <f>'01_인적정보'!F38</f>
        <v/>
      </c>
      <c r="E41" s="16">
        <f>'01_인적정보'!H38</f>
        <v/>
      </c>
      <c r="F41" s="62">
        <f>'01_인적정보'!K38</f>
        <v/>
      </c>
      <c r="G41" s="21">
        <f>'08_종합평가'!U38</f>
        <v/>
      </c>
      <c r="H41" s="64">
        <f>ROUND(F41/12,-3)</f>
        <v/>
      </c>
      <c r="I41" s="30">
        <f>IF(G41="","",IF(G41="S",'02_의사결정·종합결과'!$B$27,IF(G41="A",'02_의사결정·종합결과'!$C$27,IF(G41="B",'02_의사결정·종합결과'!$D$27,IF(G41="C",'02_의사결정·종합결과'!$E$27,'02_의사결정·종합결과'!$F$27)))))</f>
        <v/>
      </c>
      <c r="J41" s="64">
        <f>IF(I41="","",ROUND(H41*I41*12,-3))</f>
        <v/>
      </c>
      <c r="K41" s="58">
        <f>IF($F$5&lt;&gt;1,$F$5,IF($D$5="",1,$D$5))</f>
        <v/>
      </c>
      <c r="L41" s="67">
        <f>IF(J41="","",ROUND(J41*K41,-3))</f>
        <v/>
      </c>
      <c r="M41" s="4" t="inlineStr"/>
    </row>
    <row r="42" ht="22" customHeight="1">
      <c r="A42" s="33">
        <f>'01_인적정보'!A39</f>
        <v/>
      </c>
      <c r="B42" s="33">
        <f>'01_인적정보'!B39</f>
        <v/>
      </c>
      <c r="C42" s="8">
        <f>'01_인적정보'!C39</f>
        <v/>
      </c>
      <c r="D42" s="8">
        <f>'01_인적정보'!F39</f>
        <v/>
      </c>
      <c r="E42" s="16">
        <f>'01_인적정보'!H39</f>
        <v/>
      </c>
      <c r="F42" s="62">
        <f>'01_인적정보'!K39</f>
        <v/>
      </c>
      <c r="G42" s="21">
        <f>'08_종합평가'!U39</f>
        <v/>
      </c>
      <c r="H42" s="64">
        <f>ROUND(F42/12,-3)</f>
        <v/>
      </c>
      <c r="I42" s="30">
        <f>IF(G42="","",IF(G42="S",'02_의사결정·종합결과'!$B$27,IF(G42="A",'02_의사결정·종합결과'!$C$27,IF(G42="B",'02_의사결정·종합결과'!$D$27,IF(G42="C",'02_의사결정·종합결과'!$E$27,'02_의사결정·종합결과'!$F$27)))))</f>
        <v/>
      </c>
      <c r="J42" s="64">
        <f>IF(I42="","",ROUND(H42*I42*12,-3))</f>
        <v/>
      </c>
      <c r="K42" s="58">
        <f>IF($F$5&lt;&gt;1,$F$5,IF($D$5="",1,$D$5))</f>
        <v/>
      </c>
      <c r="L42" s="67">
        <f>IF(J42="","",ROUND(J42*K42,-3))</f>
        <v/>
      </c>
      <c r="M42" s="4" t="inlineStr"/>
    </row>
    <row r="44">
      <c r="K44" s="66" t="inlineStr">
        <is>
          <t>총 성과급 재원</t>
        </is>
      </c>
      <c r="L44" s="67">
        <f>SUM(L9:L42)</f>
        <v/>
      </c>
    </row>
  </sheetData>
  <mergeCells count="5">
    <mergeCell ref="A4:N4"/>
    <mergeCell ref="A2:N2"/>
    <mergeCell ref="A7:N7"/>
    <mergeCell ref="G5:N5"/>
    <mergeCell ref="A1:N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00000"/>
    <outlinePr summaryBelow="1" summaryRight="1"/>
    <pageSetUpPr/>
  </sheetPr>
  <dimension ref="A1:L49"/>
  <sheetViews>
    <sheetView workbookViewId="0">
      <pane xSplit="3" ySplit="15" topLeftCell="D1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8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</cols>
  <sheetData>
    <row r="1" ht="28" customHeight="1">
      <c r="A1" s="1" t="inlineStr">
        <is>
          <t>페이밴드 적합성 검증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9" t="n"/>
    </row>
    <row r="2">
      <c r="A2" s="2" t="inlineStr">
        <is>
          <t>현재·인상 후 연봉의 페이밴드 위치를 자동 검증. 이탈자는 자동 식별.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9" t="n"/>
    </row>
    <row r="4">
      <c r="A4" s="3" t="inlineStr">
        <is>
          <t>■ 등급별 페이밴드 (02 자동 참조)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9" t="n"/>
    </row>
    <row r="5" ht="28" customHeight="1">
      <c r="A5" s="14" t="inlineStr">
        <is>
          <t>역할등급</t>
        </is>
      </c>
      <c r="B5" s="14" t="inlineStr">
        <is>
          <t>최소</t>
        </is>
      </c>
      <c r="C5" s="14" t="inlineStr">
        <is>
          <t>중위</t>
        </is>
      </c>
      <c r="D5" s="14" t="inlineStr">
        <is>
          <t>최대</t>
        </is>
      </c>
      <c r="E5" s="14" t="inlineStr">
        <is>
          <t>Range Spread</t>
        </is>
      </c>
      <c r="F5" s="14" t="inlineStr">
        <is>
          <t>해당 인원</t>
        </is>
      </c>
      <c r="G5" s="14" t="inlineStr">
        <is>
          <t>범위 내</t>
        </is>
      </c>
      <c r="H5" s="14" t="inlineStr">
        <is>
          <t>이탈</t>
        </is>
      </c>
    </row>
    <row r="6" ht="22" customHeight="1">
      <c r="A6" s="27" t="inlineStr">
        <is>
          <t>G6</t>
        </is>
      </c>
      <c r="B6" s="64">
        <f>'02_의사결정·종합결과'!B32</f>
        <v/>
      </c>
      <c r="C6" s="64">
        <f>'02_의사결정·종합결과'!C32</f>
        <v/>
      </c>
      <c r="D6" s="64">
        <f>'02_의사결정·종합결과'!D32</f>
        <v/>
      </c>
      <c r="E6" s="32">
        <f>(D6-B6)/B6</f>
        <v/>
      </c>
      <c r="F6" s="20">
        <f>COUNTIF('09_보상연계'!$F$6:$F$39,A6)</f>
        <v/>
      </c>
      <c r="G6" s="20">
        <f>SUMPRODUCT(('09_보상연계'!$F$6:$F$39=A6)*('09_보상연계'!$P$6:$P$39&gt;=B6)*('09_보상연계'!$P$6:$P$39&lt;=D6))</f>
        <v/>
      </c>
      <c r="H6" s="21">
        <f>F6-G6</f>
        <v/>
      </c>
    </row>
    <row r="7" ht="22" customHeight="1">
      <c r="A7" s="27" t="inlineStr">
        <is>
          <t>G5-M</t>
        </is>
      </c>
      <c r="B7" s="64">
        <f>'02_의사결정·종합결과'!B33</f>
        <v/>
      </c>
      <c r="C7" s="64">
        <f>'02_의사결정·종합결과'!C33</f>
        <v/>
      </c>
      <c r="D7" s="64">
        <f>'02_의사결정·종합결과'!D33</f>
        <v/>
      </c>
      <c r="E7" s="32">
        <f>(D7-B7)/B7</f>
        <v/>
      </c>
      <c r="F7" s="20">
        <f>COUNTIF('09_보상연계'!$F$6:$F$39,A7)</f>
        <v/>
      </c>
      <c r="G7" s="20">
        <f>SUMPRODUCT(('09_보상연계'!$F$6:$F$39=A7)*('09_보상연계'!$P$6:$P$39&gt;=B7)*('09_보상연계'!$P$6:$P$39&lt;=D7))</f>
        <v/>
      </c>
      <c r="H7" s="21">
        <f>F7-G7</f>
        <v/>
      </c>
    </row>
    <row r="8" ht="22" customHeight="1">
      <c r="A8" s="27" t="inlineStr">
        <is>
          <t>G5-S</t>
        </is>
      </c>
      <c r="B8" s="64">
        <f>'02_의사결정·종합결과'!B34</f>
        <v/>
      </c>
      <c r="C8" s="64">
        <f>'02_의사결정·종합결과'!C34</f>
        <v/>
      </c>
      <c r="D8" s="64">
        <f>'02_의사결정·종합결과'!D34</f>
        <v/>
      </c>
      <c r="E8" s="32">
        <f>(D8-B8)/B8</f>
        <v/>
      </c>
      <c r="F8" s="20">
        <f>COUNTIF('09_보상연계'!$F$6:$F$39,A8)</f>
        <v/>
      </c>
      <c r="G8" s="20">
        <f>SUMPRODUCT(('09_보상연계'!$F$6:$F$39=A8)*('09_보상연계'!$P$6:$P$39&gt;=B8)*('09_보상연계'!$P$6:$P$39&lt;=D8))</f>
        <v/>
      </c>
      <c r="H8" s="21">
        <f>F8-G8</f>
        <v/>
      </c>
    </row>
    <row r="9" ht="22" customHeight="1">
      <c r="A9" s="27" t="inlineStr">
        <is>
          <t>G4</t>
        </is>
      </c>
      <c r="B9" s="64">
        <f>'02_의사결정·종합결과'!B35</f>
        <v/>
      </c>
      <c r="C9" s="64">
        <f>'02_의사결정·종합결과'!C35</f>
        <v/>
      </c>
      <c r="D9" s="64">
        <f>'02_의사결정·종합결과'!D35</f>
        <v/>
      </c>
      <c r="E9" s="32">
        <f>(D9-B9)/B9</f>
        <v/>
      </c>
      <c r="F9" s="20">
        <f>COUNTIF('09_보상연계'!$F$6:$F$39,A9)</f>
        <v/>
      </c>
      <c r="G9" s="20">
        <f>SUMPRODUCT(('09_보상연계'!$F$6:$F$39=A9)*('09_보상연계'!$P$6:$P$39&gt;=B9)*('09_보상연계'!$P$6:$P$39&lt;=D9))</f>
        <v/>
      </c>
      <c r="H9" s="21">
        <f>F9-G9</f>
        <v/>
      </c>
    </row>
    <row r="10" ht="22" customHeight="1">
      <c r="A10" s="27" t="inlineStr">
        <is>
          <t>G3</t>
        </is>
      </c>
      <c r="B10" s="64">
        <f>'02_의사결정·종합결과'!B36</f>
        <v/>
      </c>
      <c r="C10" s="64">
        <f>'02_의사결정·종합결과'!C36</f>
        <v/>
      </c>
      <c r="D10" s="64">
        <f>'02_의사결정·종합결과'!D36</f>
        <v/>
      </c>
      <c r="E10" s="32">
        <f>(D10-B10)/B10</f>
        <v/>
      </c>
      <c r="F10" s="20">
        <f>COUNTIF('09_보상연계'!$F$6:$F$39,A10)</f>
        <v/>
      </c>
      <c r="G10" s="20">
        <f>SUMPRODUCT(('09_보상연계'!$F$6:$F$39=A10)*('09_보상연계'!$P$6:$P$39&gt;=B10)*('09_보상연계'!$P$6:$P$39&lt;=D10))</f>
        <v/>
      </c>
      <c r="H10" s="21">
        <f>F10-G10</f>
        <v/>
      </c>
    </row>
    <row r="11" ht="22" customHeight="1">
      <c r="A11" s="27" t="inlineStr">
        <is>
          <t>G2</t>
        </is>
      </c>
      <c r="B11" s="64">
        <f>'02_의사결정·종합결과'!B37</f>
        <v/>
      </c>
      <c r="C11" s="64">
        <f>'02_의사결정·종합결과'!C37</f>
        <v/>
      </c>
      <c r="D11" s="64">
        <f>'02_의사결정·종합결과'!D37</f>
        <v/>
      </c>
      <c r="E11" s="32">
        <f>(D11-B11)/B11</f>
        <v/>
      </c>
      <c r="F11" s="20">
        <f>COUNTIF('09_보상연계'!$F$6:$F$39,A11)</f>
        <v/>
      </c>
      <c r="G11" s="20">
        <f>SUMPRODUCT(('09_보상연계'!$F$6:$F$39=A11)*('09_보상연계'!$P$6:$P$39&gt;=B11)*('09_보상연계'!$P$6:$P$39&lt;=D11))</f>
        <v/>
      </c>
      <c r="H11" s="21">
        <f>F11-G11</f>
        <v/>
      </c>
    </row>
    <row r="12" ht="22" customHeight="1">
      <c r="A12" s="27" t="inlineStr">
        <is>
          <t>G1</t>
        </is>
      </c>
      <c r="B12" s="64">
        <f>'02_의사결정·종합결과'!B38</f>
        <v/>
      </c>
      <c r="C12" s="64">
        <f>'02_의사결정·종합결과'!C38</f>
        <v/>
      </c>
      <c r="D12" s="64">
        <f>'02_의사결정·종합결과'!D38</f>
        <v/>
      </c>
      <c r="E12" s="32">
        <f>(D12-B12)/B12</f>
        <v/>
      </c>
      <c r="F12" s="20">
        <f>COUNTIF('09_보상연계'!$F$6:$F$39,A12)</f>
        <v/>
      </c>
      <c r="G12" s="20">
        <f>SUMPRODUCT(('09_보상연계'!$F$6:$F$39=A12)*('09_보상연계'!$P$6:$P$39&gt;=B12)*('09_보상연계'!$P$6:$P$39&lt;=D12))</f>
        <v/>
      </c>
      <c r="H12" s="21">
        <f>F12-G12</f>
        <v/>
      </c>
    </row>
    <row r="14">
      <c r="A14" s="3" t="inlineStr">
        <is>
          <t>■ 페이밴드 이탈자 명단 (자동 식별)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9" t="n"/>
    </row>
    <row r="15" ht="28" customHeight="1">
      <c r="A15" s="22" t="inlineStr">
        <is>
          <t>No.</t>
        </is>
      </c>
      <c r="B15" s="22" t="inlineStr">
        <is>
          <t>사번</t>
        </is>
      </c>
      <c r="C15" s="22" t="inlineStr">
        <is>
          <t>성명</t>
        </is>
      </c>
      <c r="D15" s="22" t="inlineStr">
        <is>
          <t>역할등급</t>
        </is>
      </c>
      <c r="E15" s="22" t="inlineStr">
        <is>
          <t>확정 연봉</t>
        </is>
      </c>
      <c r="F15" s="22" t="inlineStr">
        <is>
          <t>Min</t>
        </is>
      </c>
      <c r="G15" s="22" t="inlineStr">
        <is>
          <t>Max</t>
        </is>
      </c>
      <c r="H15" s="22" t="inlineStr">
        <is>
          <t>이탈 방향</t>
        </is>
      </c>
      <c r="I15" s="22" t="inlineStr">
        <is>
          <t>조정 권고</t>
        </is>
      </c>
    </row>
    <row r="16" ht="22" customHeight="1">
      <c r="A16" s="33">
        <f>'09_보상연계'!A6</f>
        <v/>
      </c>
      <c r="B16" s="33">
        <f>'09_보상연계'!B6</f>
        <v/>
      </c>
      <c r="C16" s="8">
        <f>'09_보상연계'!C6</f>
        <v/>
      </c>
      <c r="D16" s="16">
        <f>'09_보상연계'!F6</f>
        <v/>
      </c>
      <c r="E16" s="64">
        <f>'09_보상연계'!P6</f>
        <v/>
      </c>
      <c r="F16" s="64">
        <f>'09_보상연계'!M6</f>
        <v/>
      </c>
      <c r="G16" s="64">
        <f>'09_보상연계'!N6</f>
        <v/>
      </c>
      <c r="H16" s="21">
        <f>IF(E16="","",IF(E16&lt;F16,"⬇ Min 미달",IF(E16&gt;G16,"⬆ Max 초과","✓ 범위 내")))</f>
        <v/>
      </c>
      <c r="I16" s="70">
        <f>IF(E16="","",IF(E16&lt;F16,F16-E16,IF(E16&gt;G16,E16-G16,0)))</f>
        <v/>
      </c>
    </row>
    <row r="17" ht="22" customHeight="1">
      <c r="A17" s="33">
        <f>'09_보상연계'!A7</f>
        <v/>
      </c>
      <c r="B17" s="33">
        <f>'09_보상연계'!B7</f>
        <v/>
      </c>
      <c r="C17" s="8">
        <f>'09_보상연계'!C7</f>
        <v/>
      </c>
      <c r="D17" s="16">
        <f>'09_보상연계'!F7</f>
        <v/>
      </c>
      <c r="E17" s="64">
        <f>'09_보상연계'!P7</f>
        <v/>
      </c>
      <c r="F17" s="64">
        <f>'09_보상연계'!M7</f>
        <v/>
      </c>
      <c r="G17" s="64">
        <f>'09_보상연계'!N7</f>
        <v/>
      </c>
      <c r="H17" s="21">
        <f>IF(E17="","",IF(E17&lt;F17,"⬇ Min 미달",IF(E17&gt;G17,"⬆ Max 초과","✓ 범위 내")))</f>
        <v/>
      </c>
      <c r="I17" s="70">
        <f>IF(E17="","",IF(E17&lt;F17,F17-E17,IF(E17&gt;G17,E17-G17,0)))</f>
        <v/>
      </c>
    </row>
    <row r="18" ht="22" customHeight="1">
      <c r="A18" s="33">
        <f>'09_보상연계'!A8</f>
        <v/>
      </c>
      <c r="B18" s="33">
        <f>'09_보상연계'!B8</f>
        <v/>
      </c>
      <c r="C18" s="8">
        <f>'09_보상연계'!C8</f>
        <v/>
      </c>
      <c r="D18" s="16">
        <f>'09_보상연계'!F8</f>
        <v/>
      </c>
      <c r="E18" s="64">
        <f>'09_보상연계'!P8</f>
        <v/>
      </c>
      <c r="F18" s="64">
        <f>'09_보상연계'!M8</f>
        <v/>
      </c>
      <c r="G18" s="64">
        <f>'09_보상연계'!N8</f>
        <v/>
      </c>
      <c r="H18" s="21">
        <f>IF(E18="","",IF(E18&lt;F18,"⬇ Min 미달",IF(E18&gt;G18,"⬆ Max 초과","✓ 범위 내")))</f>
        <v/>
      </c>
      <c r="I18" s="70">
        <f>IF(E18="","",IF(E18&lt;F18,F18-E18,IF(E18&gt;G18,E18-G18,0)))</f>
        <v/>
      </c>
    </row>
    <row r="19" ht="22" customHeight="1">
      <c r="A19" s="33">
        <f>'09_보상연계'!A9</f>
        <v/>
      </c>
      <c r="B19" s="33">
        <f>'09_보상연계'!B9</f>
        <v/>
      </c>
      <c r="C19" s="8">
        <f>'09_보상연계'!C9</f>
        <v/>
      </c>
      <c r="D19" s="16">
        <f>'09_보상연계'!F9</f>
        <v/>
      </c>
      <c r="E19" s="64">
        <f>'09_보상연계'!P9</f>
        <v/>
      </c>
      <c r="F19" s="64">
        <f>'09_보상연계'!M9</f>
        <v/>
      </c>
      <c r="G19" s="64">
        <f>'09_보상연계'!N9</f>
        <v/>
      </c>
      <c r="H19" s="21">
        <f>IF(E19="","",IF(E19&lt;F19,"⬇ Min 미달",IF(E19&gt;G19,"⬆ Max 초과","✓ 범위 내")))</f>
        <v/>
      </c>
      <c r="I19" s="70">
        <f>IF(E19="","",IF(E19&lt;F19,F19-E19,IF(E19&gt;G19,E19-G19,0)))</f>
        <v/>
      </c>
    </row>
    <row r="20" ht="22" customHeight="1">
      <c r="A20" s="33">
        <f>'09_보상연계'!A10</f>
        <v/>
      </c>
      <c r="B20" s="33">
        <f>'09_보상연계'!B10</f>
        <v/>
      </c>
      <c r="C20" s="8">
        <f>'09_보상연계'!C10</f>
        <v/>
      </c>
      <c r="D20" s="16">
        <f>'09_보상연계'!F10</f>
        <v/>
      </c>
      <c r="E20" s="64">
        <f>'09_보상연계'!P10</f>
        <v/>
      </c>
      <c r="F20" s="64">
        <f>'09_보상연계'!M10</f>
        <v/>
      </c>
      <c r="G20" s="64">
        <f>'09_보상연계'!N10</f>
        <v/>
      </c>
      <c r="H20" s="21">
        <f>IF(E20="","",IF(E20&lt;F20,"⬇ Min 미달",IF(E20&gt;G20,"⬆ Max 초과","✓ 범위 내")))</f>
        <v/>
      </c>
      <c r="I20" s="70">
        <f>IF(E20="","",IF(E20&lt;F20,F20-E20,IF(E20&gt;G20,E20-G20,0)))</f>
        <v/>
      </c>
    </row>
    <row r="21" ht="22" customHeight="1">
      <c r="A21" s="33">
        <f>'09_보상연계'!A11</f>
        <v/>
      </c>
      <c r="B21" s="33">
        <f>'09_보상연계'!B11</f>
        <v/>
      </c>
      <c r="C21" s="8">
        <f>'09_보상연계'!C11</f>
        <v/>
      </c>
      <c r="D21" s="16">
        <f>'09_보상연계'!F11</f>
        <v/>
      </c>
      <c r="E21" s="64">
        <f>'09_보상연계'!P11</f>
        <v/>
      </c>
      <c r="F21" s="64">
        <f>'09_보상연계'!M11</f>
        <v/>
      </c>
      <c r="G21" s="64">
        <f>'09_보상연계'!N11</f>
        <v/>
      </c>
      <c r="H21" s="21">
        <f>IF(E21="","",IF(E21&lt;F21,"⬇ Min 미달",IF(E21&gt;G21,"⬆ Max 초과","✓ 범위 내")))</f>
        <v/>
      </c>
      <c r="I21" s="70">
        <f>IF(E21="","",IF(E21&lt;F21,F21-E21,IF(E21&gt;G21,E21-G21,0)))</f>
        <v/>
      </c>
    </row>
    <row r="22" ht="22" customHeight="1">
      <c r="A22" s="33">
        <f>'09_보상연계'!A12</f>
        <v/>
      </c>
      <c r="B22" s="33">
        <f>'09_보상연계'!B12</f>
        <v/>
      </c>
      <c r="C22" s="8">
        <f>'09_보상연계'!C12</f>
        <v/>
      </c>
      <c r="D22" s="16">
        <f>'09_보상연계'!F12</f>
        <v/>
      </c>
      <c r="E22" s="64">
        <f>'09_보상연계'!P12</f>
        <v/>
      </c>
      <c r="F22" s="64">
        <f>'09_보상연계'!M12</f>
        <v/>
      </c>
      <c r="G22" s="64">
        <f>'09_보상연계'!N12</f>
        <v/>
      </c>
      <c r="H22" s="21">
        <f>IF(E22="","",IF(E22&lt;F22,"⬇ Min 미달",IF(E22&gt;G22,"⬆ Max 초과","✓ 범위 내")))</f>
        <v/>
      </c>
      <c r="I22" s="70">
        <f>IF(E22="","",IF(E22&lt;F22,F22-E22,IF(E22&gt;G22,E22-G22,0)))</f>
        <v/>
      </c>
    </row>
    <row r="23" ht="22" customHeight="1">
      <c r="A23" s="33">
        <f>'09_보상연계'!A13</f>
        <v/>
      </c>
      <c r="B23" s="33">
        <f>'09_보상연계'!B13</f>
        <v/>
      </c>
      <c r="C23" s="8">
        <f>'09_보상연계'!C13</f>
        <v/>
      </c>
      <c r="D23" s="16">
        <f>'09_보상연계'!F13</f>
        <v/>
      </c>
      <c r="E23" s="64">
        <f>'09_보상연계'!P13</f>
        <v/>
      </c>
      <c r="F23" s="64">
        <f>'09_보상연계'!M13</f>
        <v/>
      </c>
      <c r="G23" s="64">
        <f>'09_보상연계'!N13</f>
        <v/>
      </c>
      <c r="H23" s="21">
        <f>IF(E23="","",IF(E23&lt;F23,"⬇ Min 미달",IF(E23&gt;G23,"⬆ Max 초과","✓ 범위 내")))</f>
        <v/>
      </c>
      <c r="I23" s="70">
        <f>IF(E23="","",IF(E23&lt;F23,F23-E23,IF(E23&gt;G23,E23-G23,0)))</f>
        <v/>
      </c>
    </row>
    <row r="24" ht="22" customHeight="1">
      <c r="A24" s="33">
        <f>'09_보상연계'!A14</f>
        <v/>
      </c>
      <c r="B24" s="33">
        <f>'09_보상연계'!B14</f>
        <v/>
      </c>
      <c r="C24" s="8">
        <f>'09_보상연계'!C14</f>
        <v/>
      </c>
      <c r="D24" s="16">
        <f>'09_보상연계'!F14</f>
        <v/>
      </c>
      <c r="E24" s="64">
        <f>'09_보상연계'!P14</f>
        <v/>
      </c>
      <c r="F24" s="64">
        <f>'09_보상연계'!M14</f>
        <v/>
      </c>
      <c r="G24" s="64">
        <f>'09_보상연계'!N14</f>
        <v/>
      </c>
      <c r="H24" s="21">
        <f>IF(E24="","",IF(E24&lt;F24,"⬇ Min 미달",IF(E24&gt;G24,"⬆ Max 초과","✓ 범위 내")))</f>
        <v/>
      </c>
      <c r="I24" s="70">
        <f>IF(E24="","",IF(E24&lt;F24,F24-E24,IF(E24&gt;G24,E24-G24,0)))</f>
        <v/>
      </c>
    </row>
    <row r="25" ht="22" customHeight="1">
      <c r="A25" s="33">
        <f>'09_보상연계'!A15</f>
        <v/>
      </c>
      <c r="B25" s="33">
        <f>'09_보상연계'!B15</f>
        <v/>
      </c>
      <c r="C25" s="8">
        <f>'09_보상연계'!C15</f>
        <v/>
      </c>
      <c r="D25" s="16">
        <f>'09_보상연계'!F15</f>
        <v/>
      </c>
      <c r="E25" s="64">
        <f>'09_보상연계'!P15</f>
        <v/>
      </c>
      <c r="F25" s="64">
        <f>'09_보상연계'!M15</f>
        <v/>
      </c>
      <c r="G25" s="64">
        <f>'09_보상연계'!N15</f>
        <v/>
      </c>
      <c r="H25" s="21">
        <f>IF(E25="","",IF(E25&lt;F25,"⬇ Min 미달",IF(E25&gt;G25,"⬆ Max 초과","✓ 범위 내")))</f>
        <v/>
      </c>
      <c r="I25" s="70">
        <f>IF(E25="","",IF(E25&lt;F25,F25-E25,IF(E25&gt;G25,E25-G25,0)))</f>
        <v/>
      </c>
    </row>
    <row r="26" ht="22" customHeight="1">
      <c r="A26" s="33">
        <f>'09_보상연계'!A16</f>
        <v/>
      </c>
      <c r="B26" s="33">
        <f>'09_보상연계'!B16</f>
        <v/>
      </c>
      <c r="C26" s="8">
        <f>'09_보상연계'!C16</f>
        <v/>
      </c>
      <c r="D26" s="16">
        <f>'09_보상연계'!F16</f>
        <v/>
      </c>
      <c r="E26" s="64">
        <f>'09_보상연계'!P16</f>
        <v/>
      </c>
      <c r="F26" s="64">
        <f>'09_보상연계'!M16</f>
        <v/>
      </c>
      <c r="G26" s="64">
        <f>'09_보상연계'!N16</f>
        <v/>
      </c>
      <c r="H26" s="21">
        <f>IF(E26="","",IF(E26&lt;F26,"⬇ Min 미달",IF(E26&gt;G26,"⬆ Max 초과","✓ 범위 내")))</f>
        <v/>
      </c>
      <c r="I26" s="70">
        <f>IF(E26="","",IF(E26&lt;F26,F26-E26,IF(E26&gt;G26,E26-G26,0)))</f>
        <v/>
      </c>
    </row>
    <row r="27" ht="22" customHeight="1">
      <c r="A27" s="33">
        <f>'09_보상연계'!A17</f>
        <v/>
      </c>
      <c r="B27" s="33">
        <f>'09_보상연계'!B17</f>
        <v/>
      </c>
      <c r="C27" s="8">
        <f>'09_보상연계'!C17</f>
        <v/>
      </c>
      <c r="D27" s="16">
        <f>'09_보상연계'!F17</f>
        <v/>
      </c>
      <c r="E27" s="64">
        <f>'09_보상연계'!P17</f>
        <v/>
      </c>
      <c r="F27" s="64">
        <f>'09_보상연계'!M17</f>
        <v/>
      </c>
      <c r="G27" s="64">
        <f>'09_보상연계'!N17</f>
        <v/>
      </c>
      <c r="H27" s="21">
        <f>IF(E27="","",IF(E27&lt;F27,"⬇ Min 미달",IF(E27&gt;G27,"⬆ Max 초과","✓ 범위 내")))</f>
        <v/>
      </c>
      <c r="I27" s="70">
        <f>IF(E27="","",IF(E27&lt;F27,F27-E27,IF(E27&gt;G27,E27-G27,0)))</f>
        <v/>
      </c>
    </row>
    <row r="28" ht="22" customHeight="1">
      <c r="A28" s="33">
        <f>'09_보상연계'!A18</f>
        <v/>
      </c>
      <c r="B28" s="33">
        <f>'09_보상연계'!B18</f>
        <v/>
      </c>
      <c r="C28" s="8">
        <f>'09_보상연계'!C18</f>
        <v/>
      </c>
      <c r="D28" s="16">
        <f>'09_보상연계'!F18</f>
        <v/>
      </c>
      <c r="E28" s="64">
        <f>'09_보상연계'!P18</f>
        <v/>
      </c>
      <c r="F28" s="64">
        <f>'09_보상연계'!M18</f>
        <v/>
      </c>
      <c r="G28" s="64">
        <f>'09_보상연계'!N18</f>
        <v/>
      </c>
      <c r="H28" s="21">
        <f>IF(E28="","",IF(E28&lt;F28,"⬇ Min 미달",IF(E28&gt;G28,"⬆ Max 초과","✓ 범위 내")))</f>
        <v/>
      </c>
      <c r="I28" s="70">
        <f>IF(E28="","",IF(E28&lt;F28,F28-E28,IF(E28&gt;G28,E28-G28,0)))</f>
        <v/>
      </c>
    </row>
    <row r="29" ht="22" customHeight="1">
      <c r="A29" s="33">
        <f>'09_보상연계'!A19</f>
        <v/>
      </c>
      <c r="B29" s="33">
        <f>'09_보상연계'!B19</f>
        <v/>
      </c>
      <c r="C29" s="8">
        <f>'09_보상연계'!C19</f>
        <v/>
      </c>
      <c r="D29" s="16">
        <f>'09_보상연계'!F19</f>
        <v/>
      </c>
      <c r="E29" s="64">
        <f>'09_보상연계'!P19</f>
        <v/>
      </c>
      <c r="F29" s="64">
        <f>'09_보상연계'!M19</f>
        <v/>
      </c>
      <c r="G29" s="64">
        <f>'09_보상연계'!N19</f>
        <v/>
      </c>
      <c r="H29" s="21">
        <f>IF(E29="","",IF(E29&lt;F29,"⬇ Min 미달",IF(E29&gt;G29,"⬆ Max 초과","✓ 범위 내")))</f>
        <v/>
      </c>
      <c r="I29" s="70">
        <f>IF(E29="","",IF(E29&lt;F29,F29-E29,IF(E29&gt;G29,E29-G29,0)))</f>
        <v/>
      </c>
    </row>
    <row r="30" ht="22" customHeight="1">
      <c r="A30" s="33">
        <f>'09_보상연계'!A20</f>
        <v/>
      </c>
      <c r="B30" s="33">
        <f>'09_보상연계'!B20</f>
        <v/>
      </c>
      <c r="C30" s="8">
        <f>'09_보상연계'!C20</f>
        <v/>
      </c>
      <c r="D30" s="16">
        <f>'09_보상연계'!F20</f>
        <v/>
      </c>
      <c r="E30" s="64">
        <f>'09_보상연계'!P20</f>
        <v/>
      </c>
      <c r="F30" s="64">
        <f>'09_보상연계'!M20</f>
        <v/>
      </c>
      <c r="G30" s="64">
        <f>'09_보상연계'!N20</f>
        <v/>
      </c>
      <c r="H30" s="21">
        <f>IF(E30="","",IF(E30&lt;F30,"⬇ Min 미달",IF(E30&gt;G30,"⬆ Max 초과","✓ 범위 내")))</f>
        <v/>
      </c>
      <c r="I30" s="70">
        <f>IF(E30="","",IF(E30&lt;F30,F30-E30,IF(E30&gt;G30,E30-G30,0)))</f>
        <v/>
      </c>
    </row>
    <row r="31" ht="22" customHeight="1">
      <c r="A31" s="33">
        <f>'09_보상연계'!A21</f>
        <v/>
      </c>
      <c r="B31" s="33">
        <f>'09_보상연계'!B21</f>
        <v/>
      </c>
      <c r="C31" s="8">
        <f>'09_보상연계'!C21</f>
        <v/>
      </c>
      <c r="D31" s="16">
        <f>'09_보상연계'!F21</f>
        <v/>
      </c>
      <c r="E31" s="64">
        <f>'09_보상연계'!P21</f>
        <v/>
      </c>
      <c r="F31" s="64">
        <f>'09_보상연계'!M21</f>
        <v/>
      </c>
      <c r="G31" s="64">
        <f>'09_보상연계'!N21</f>
        <v/>
      </c>
      <c r="H31" s="21">
        <f>IF(E31="","",IF(E31&lt;F31,"⬇ Min 미달",IF(E31&gt;G31,"⬆ Max 초과","✓ 범위 내")))</f>
        <v/>
      </c>
      <c r="I31" s="70">
        <f>IF(E31="","",IF(E31&lt;F31,F31-E31,IF(E31&gt;G31,E31-G31,0)))</f>
        <v/>
      </c>
    </row>
    <row r="32" ht="22" customHeight="1">
      <c r="A32" s="33">
        <f>'09_보상연계'!A22</f>
        <v/>
      </c>
      <c r="B32" s="33">
        <f>'09_보상연계'!B22</f>
        <v/>
      </c>
      <c r="C32" s="8">
        <f>'09_보상연계'!C22</f>
        <v/>
      </c>
      <c r="D32" s="16">
        <f>'09_보상연계'!F22</f>
        <v/>
      </c>
      <c r="E32" s="64">
        <f>'09_보상연계'!P22</f>
        <v/>
      </c>
      <c r="F32" s="64">
        <f>'09_보상연계'!M22</f>
        <v/>
      </c>
      <c r="G32" s="64">
        <f>'09_보상연계'!N22</f>
        <v/>
      </c>
      <c r="H32" s="21">
        <f>IF(E32="","",IF(E32&lt;F32,"⬇ Min 미달",IF(E32&gt;G32,"⬆ Max 초과","✓ 범위 내")))</f>
        <v/>
      </c>
      <c r="I32" s="70">
        <f>IF(E32="","",IF(E32&lt;F32,F32-E32,IF(E32&gt;G32,E32-G32,0)))</f>
        <v/>
      </c>
    </row>
    <row r="33" ht="22" customHeight="1">
      <c r="A33" s="33">
        <f>'09_보상연계'!A23</f>
        <v/>
      </c>
      <c r="B33" s="33">
        <f>'09_보상연계'!B23</f>
        <v/>
      </c>
      <c r="C33" s="8">
        <f>'09_보상연계'!C23</f>
        <v/>
      </c>
      <c r="D33" s="16">
        <f>'09_보상연계'!F23</f>
        <v/>
      </c>
      <c r="E33" s="64">
        <f>'09_보상연계'!P23</f>
        <v/>
      </c>
      <c r="F33" s="64">
        <f>'09_보상연계'!M23</f>
        <v/>
      </c>
      <c r="G33" s="64">
        <f>'09_보상연계'!N23</f>
        <v/>
      </c>
      <c r="H33" s="21">
        <f>IF(E33="","",IF(E33&lt;F33,"⬇ Min 미달",IF(E33&gt;G33,"⬆ Max 초과","✓ 범위 내")))</f>
        <v/>
      </c>
      <c r="I33" s="70">
        <f>IF(E33="","",IF(E33&lt;F33,F33-E33,IF(E33&gt;G33,E33-G33,0)))</f>
        <v/>
      </c>
    </row>
    <row r="34" ht="22" customHeight="1">
      <c r="A34" s="33">
        <f>'09_보상연계'!A24</f>
        <v/>
      </c>
      <c r="B34" s="33">
        <f>'09_보상연계'!B24</f>
        <v/>
      </c>
      <c r="C34" s="8">
        <f>'09_보상연계'!C24</f>
        <v/>
      </c>
      <c r="D34" s="16">
        <f>'09_보상연계'!F24</f>
        <v/>
      </c>
      <c r="E34" s="64">
        <f>'09_보상연계'!P24</f>
        <v/>
      </c>
      <c r="F34" s="64">
        <f>'09_보상연계'!M24</f>
        <v/>
      </c>
      <c r="G34" s="64">
        <f>'09_보상연계'!N24</f>
        <v/>
      </c>
      <c r="H34" s="21">
        <f>IF(E34="","",IF(E34&lt;F34,"⬇ Min 미달",IF(E34&gt;G34,"⬆ Max 초과","✓ 범위 내")))</f>
        <v/>
      </c>
      <c r="I34" s="70">
        <f>IF(E34="","",IF(E34&lt;F34,F34-E34,IF(E34&gt;G34,E34-G34,0)))</f>
        <v/>
      </c>
    </row>
    <row r="35" ht="22" customHeight="1">
      <c r="A35" s="33">
        <f>'09_보상연계'!A25</f>
        <v/>
      </c>
      <c r="B35" s="33">
        <f>'09_보상연계'!B25</f>
        <v/>
      </c>
      <c r="C35" s="8">
        <f>'09_보상연계'!C25</f>
        <v/>
      </c>
      <c r="D35" s="16">
        <f>'09_보상연계'!F25</f>
        <v/>
      </c>
      <c r="E35" s="64">
        <f>'09_보상연계'!P25</f>
        <v/>
      </c>
      <c r="F35" s="64">
        <f>'09_보상연계'!M25</f>
        <v/>
      </c>
      <c r="G35" s="64">
        <f>'09_보상연계'!N25</f>
        <v/>
      </c>
      <c r="H35" s="21">
        <f>IF(E35="","",IF(E35&lt;F35,"⬇ Min 미달",IF(E35&gt;G35,"⬆ Max 초과","✓ 범위 내")))</f>
        <v/>
      </c>
      <c r="I35" s="70">
        <f>IF(E35="","",IF(E35&lt;F35,F35-E35,IF(E35&gt;G35,E35-G35,0)))</f>
        <v/>
      </c>
    </row>
    <row r="36" ht="22" customHeight="1">
      <c r="A36" s="33">
        <f>'09_보상연계'!A26</f>
        <v/>
      </c>
      <c r="B36" s="33">
        <f>'09_보상연계'!B26</f>
        <v/>
      </c>
      <c r="C36" s="8">
        <f>'09_보상연계'!C26</f>
        <v/>
      </c>
      <c r="D36" s="16">
        <f>'09_보상연계'!F26</f>
        <v/>
      </c>
      <c r="E36" s="64">
        <f>'09_보상연계'!P26</f>
        <v/>
      </c>
      <c r="F36" s="64">
        <f>'09_보상연계'!M26</f>
        <v/>
      </c>
      <c r="G36" s="64">
        <f>'09_보상연계'!N26</f>
        <v/>
      </c>
      <c r="H36" s="21">
        <f>IF(E36="","",IF(E36&lt;F36,"⬇ Min 미달",IF(E36&gt;G36,"⬆ Max 초과","✓ 범위 내")))</f>
        <v/>
      </c>
      <c r="I36" s="70">
        <f>IF(E36="","",IF(E36&lt;F36,F36-E36,IF(E36&gt;G36,E36-G36,0)))</f>
        <v/>
      </c>
    </row>
    <row r="37" ht="22" customHeight="1">
      <c r="A37" s="33">
        <f>'09_보상연계'!A27</f>
        <v/>
      </c>
      <c r="B37" s="33">
        <f>'09_보상연계'!B27</f>
        <v/>
      </c>
      <c r="C37" s="8">
        <f>'09_보상연계'!C27</f>
        <v/>
      </c>
      <c r="D37" s="16">
        <f>'09_보상연계'!F27</f>
        <v/>
      </c>
      <c r="E37" s="64">
        <f>'09_보상연계'!P27</f>
        <v/>
      </c>
      <c r="F37" s="64">
        <f>'09_보상연계'!M27</f>
        <v/>
      </c>
      <c r="G37" s="64">
        <f>'09_보상연계'!N27</f>
        <v/>
      </c>
      <c r="H37" s="21">
        <f>IF(E37="","",IF(E37&lt;F37,"⬇ Min 미달",IF(E37&gt;G37,"⬆ Max 초과","✓ 범위 내")))</f>
        <v/>
      </c>
      <c r="I37" s="70">
        <f>IF(E37="","",IF(E37&lt;F37,F37-E37,IF(E37&gt;G37,E37-G37,0)))</f>
        <v/>
      </c>
    </row>
    <row r="38" ht="22" customHeight="1">
      <c r="A38" s="33">
        <f>'09_보상연계'!A28</f>
        <v/>
      </c>
      <c r="B38" s="33">
        <f>'09_보상연계'!B28</f>
        <v/>
      </c>
      <c r="C38" s="8">
        <f>'09_보상연계'!C28</f>
        <v/>
      </c>
      <c r="D38" s="16">
        <f>'09_보상연계'!F28</f>
        <v/>
      </c>
      <c r="E38" s="64">
        <f>'09_보상연계'!P28</f>
        <v/>
      </c>
      <c r="F38" s="64">
        <f>'09_보상연계'!M28</f>
        <v/>
      </c>
      <c r="G38" s="64">
        <f>'09_보상연계'!N28</f>
        <v/>
      </c>
      <c r="H38" s="21">
        <f>IF(E38="","",IF(E38&lt;F38,"⬇ Min 미달",IF(E38&gt;G38,"⬆ Max 초과","✓ 범위 내")))</f>
        <v/>
      </c>
      <c r="I38" s="70">
        <f>IF(E38="","",IF(E38&lt;F38,F38-E38,IF(E38&gt;G38,E38-G38,0)))</f>
        <v/>
      </c>
    </row>
    <row r="39" ht="22" customHeight="1">
      <c r="A39" s="33">
        <f>'09_보상연계'!A29</f>
        <v/>
      </c>
      <c r="B39" s="33">
        <f>'09_보상연계'!B29</f>
        <v/>
      </c>
      <c r="C39" s="8">
        <f>'09_보상연계'!C29</f>
        <v/>
      </c>
      <c r="D39" s="16">
        <f>'09_보상연계'!F29</f>
        <v/>
      </c>
      <c r="E39" s="64">
        <f>'09_보상연계'!P29</f>
        <v/>
      </c>
      <c r="F39" s="64">
        <f>'09_보상연계'!M29</f>
        <v/>
      </c>
      <c r="G39" s="64">
        <f>'09_보상연계'!N29</f>
        <v/>
      </c>
      <c r="H39" s="21">
        <f>IF(E39="","",IF(E39&lt;F39,"⬇ Min 미달",IF(E39&gt;G39,"⬆ Max 초과","✓ 범위 내")))</f>
        <v/>
      </c>
      <c r="I39" s="70">
        <f>IF(E39="","",IF(E39&lt;F39,F39-E39,IF(E39&gt;G39,E39-G39,0)))</f>
        <v/>
      </c>
    </row>
    <row r="40" ht="22" customHeight="1">
      <c r="A40" s="33">
        <f>'09_보상연계'!A30</f>
        <v/>
      </c>
      <c r="B40" s="33">
        <f>'09_보상연계'!B30</f>
        <v/>
      </c>
      <c r="C40" s="8">
        <f>'09_보상연계'!C30</f>
        <v/>
      </c>
      <c r="D40" s="16">
        <f>'09_보상연계'!F30</f>
        <v/>
      </c>
      <c r="E40" s="64">
        <f>'09_보상연계'!P30</f>
        <v/>
      </c>
      <c r="F40" s="64">
        <f>'09_보상연계'!M30</f>
        <v/>
      </c>
      <c r="G40" s="64">
        <f>'09_보상연계'!N30</f>
        <v/>
      </c>
      <c r="H40" s="21">
        <f>IF(E40="","",IF(E40&lt;F40,"⬇ Min 미달",IF(E40&gt;G40,"⬆ Max 초과","✓ 범위 내")))</f>
        <v/>
      </c>
      <c r="I40" s="70">
        <f>IF(E40="","",IF(E40&lt;F40,F40-E40,IF(E40&gt;G40,E40-G40,0)))</f>
        <v/>
      </c>
    </row>
    <row r="41" ht="22" customHeight="1">
      <c r="A41" s="33">
        <f>'09_보상연계'!A31</f>
        <v/>
      </c>
      <c r="B41" s="33">
        <f>'09_보상연계'!B31</f>
        <v/>
      </c>
      <c r="C41" s="8">
        <f>'09_보상연계'!C31</f>
        <v/>
      </c>
      <c r="D41" s="16">
        <f>'09_보상연계'!F31</f>
        <v/>
      </c>
      <c r="E41" s="64">
        <f>'09_보상연계'!P31</f>
        <v/>
      </c>
      <c r="F41" s="64">
        <f>'09_보상연계'!M31</f>
        <v/>
      </c>
      <c r="G41" s="64">
        <f>'09_보상연계'!N31</f>
        <v/>
      </c>
      <c r="H41" s="21">
        <f>IF(E41="","",IF(E41&lt;F41,"⬇ Min 미달",IF(E41&gt;G41,"⬆ Max 초과","✓ 범위 내")))</f>
        <v/>
      </c>
      <c r="I41" s="70">
        <f>IF(E41="","",IF(E41&lt;F41,F41-E41,IF(E41&gt;G41,E41-G41,0)))</f>
        <v/>
      </c>
    </row>
    <row r="42" ht="22" customHeight="1">
      <c r="A42" s="33">
        <f>'09_보상연계'!A32</f>
        <v/>
      </c>
      <c r="B42" s="33">
        <f>'09_보상연계'!B32</f>
        <v/>
      </c>
      <c r="C42" s="8">
        <f>'09_보상연계'!C32</f>
        <v/>
      </c>
      <c r="D42" s="16">
        <f>'09_보상연계'!F32</f>
        <v/>
      </c>
      <c r="E42" s="64">
        <f>'09_보상연계'!P32</f>
        <v/>
      </c>
      <c r="F42" s="64">
        <f>'09_보상연계'!M32</f>
        <v/>
      </c>
      <c r="G42" s="64">
        <f>'09_보상연계'!N32</f>
        <v/>
      </c>
      <c r="H42" s="21">
        <f>IF(E42="","",IF(E42&lt;F42,"⬇ Min 미달",IF(E42&gt;G42,"⬆ Max 초과","✓ 범위 내")))</f>
        <v/>
      </c>
      <c r="I42" s="70">
        <f>IF(E42="","",IF(E42&lt;F42,F42-E42,IF(E42&gt;G42,E42-G42,0)))</f>
        <v/>
      </c>
    </row>
    <row r="43" ht="22" customHeight="1">
      <c r="A43" s="33">
        <f>'09_보상연계'!A33</f>
        <v/>
      </c>
      <c r="B43" s="33">
        <f>'09_보상연계'!B33</f>
        <v/>
      </c>
      <c r="C43" s="8">
        <f>'09_보상연계'!C33</f>
        <v/>
      </c>
      <c r="D43" s="16">
        <f>'09_보상연계'!F33</f>
        <v/>
      </c>
      <c r="E43" s="64">
        <f>'09_보상연계'!P33</f>
        <v/>
      </c>
      <c r="F43" s="64">
        <f>'09_보상연계'!M33</f>
        <v/>
      </c>
      <c r="G43" s="64">
        <f>'09_보상연계'!N33</f>
        <v/>
      </c>
      <c r="H43" s="21">
        <f>IF(E43="","",IF(E43&lt;F43,"⬇ Min 미달",IF(E43&gt;G43,"⬆ Max 초과","✓ 범위 내")))</f>
        <v/>
      </c>
      <c r="I43" s="70">
        <f>IF(E43="","",IF(E43&lt;F43,F43-E43,IF(E43&gt;G43,E43-G43,0)))</f>
        <v/>
      </c>
    </row>
    <row r="44" ht="22" customHeight="1">
      <c r="A44" s="33">
        <f>'09_보상연계'!A34</f>
        <v/>
      </c>
      <c r="B44" s="33">
        <f>'09_보상연계'!B34</f>
        <v/>
      </c>
      <c r="C44" s="8">
        <f>'09_보상연계'!C34</f>
        <v/>
      </c>
      <c r="D44" s="16">
        <f>'09_보상연계'!F34</f>
        <v/>
      </c>
      <c r="E44" s="64">
        <f>'09_보상연계'!P34</f>
        <v/>
      </c>
      <c r="F44" s="64">
        <f>'09_보상연계'!M34</f>
        <v/>
      </c>
      <c r="G44" s="64">
        <f>'09_보상연계'!N34</f>
        <v/>
      </c>
      <c r="H44" s="21">
        <f>IF(E44="","",IF(E44&lt;F44,"⬇ Min 미달",IF(E44&gt;G44,"⬆ Max 초과","✓ 범위 내")))</f>
        <v/>
      </c>
      <c r="I44" s="70">
        <f>IF(E44="","",IF(E44&lt;F44,F44-E44,IF(E44&gt;G44,E44-G44,0)))</f>
        <v/>
      </c>
    </row>
    <row r="45" ht="22" customHeight="1">
      <c r="A45" s="33">
        <f>'09_보상연계'!A35</f>
        <v/>
      </c>
      <c r="B45" s="33">
        <f>'09_보상연계'!B35</f>
        <v/>
      </c>
      <c r="C45" s="8">
        <f>'09_보상연계'!C35</f>
        <v/>
      </c>
      <c r="D45" s="16">
        <f>'09_보상연계'!F35</f>
        <v/>
      </c>
      <c r="E45" s="64">
        <f>'09_보상연계'!P35</f>
        <v/>
      </c>
      <c r="F45" s="64">
        <f>'09_보상연계'!M35</f>
        <v/>
      </c>
      <c r="G45" s="64">
        <f>'09_보상연계'!N35</f>
        <v/>
      </c>
      <c r="H45" s="21">
        <f>IF(E45="","",IF(E45&lt;F45,"⬇ Min 미달",IF(E45&gt;G45,"⬆ Max 초과","✓ 범위 내")))</f>
        <v/>
      </c>
      <c r="I45" s="70">
        <f>IF(E45="","",IF(E45&lt;F45,F45-E45,IF(E45&gt;G45,E45-G45,0)))</f>
        <v/>
      </c>
    </row>
    <row r="46" ht="22" customHeight="1">
      <c r="A46" s="33">
        <f>'09_보상연계'!A36</f>
        <v/>
      </c>
      <c r="B46" s="33">
        <f>'09_보상연계'!B36</f>
        <v/>
      </c>
      <c r="C46" s="8">
        <f>'09_보상연계'!C36</f>
        <v/>
      </c>
      <c r="D46" s="16">
        <f>'09_보상연계'!F36</f>
        <v/>
      </c>
      <c r="E46" s="64">
        <f>'09_보상연계'!P36</f>
        <v/>
      </c>
      <c r="F46" s="64">
        <f>'09_보상연계'!M36</f>
        <v/>
      </c>
      <c r="G46" s="64">
        <f>'09_보상연계'!N36</f>
        <v/>
      </c>
      <c r="H46" s="21">
        <f>IF(E46="","",IF(E46&lt;F46,"⬇ Min 미달",IF(E46&gt;G46,"⬆ Max 초과","✓ 범위 내")))</f>
        <v/>
      </c>
      <c r="I46" s="70">
        <f>IF(E46="","",IF(E46&lt;F46,F46-E46,IF(E46&gt;G46,E46-G46,0)))</f>
        <v/>
      </c>
    </row>
    <row r="47" ht="22" customHeight="1">
      <c r="A47" s="33">
        <f>'09_보상연계'!A37</f>
        <v/>
      </c>
      <c r="B47" s="33">
        <f>'09_보상연계'!B37</f>
        <v/>
      </c>
      <c r="C47" s="8">
        <f>'09_보상연계'!C37</f>
        <v/>
      </c>
      <c r="D47" s="16">
        <f>'09_보상연계'!F37</f>
        <v/>
      </c>
      <c r="E47" s="64">
        <f>'09_보상연계'!P37</f>
        <v/>
      </c>
      <c r="F47" s="64">
        <f>'09_보상연계'!M37</f>
        <v/>
      </c>
      <c r="G47" s="64">
        <f>'09_보상연계'!N37</f>
        <v/>
      </c>
      <c r="H47" s="21">
        <f>IF(E47="","",IF(E47&lt;F47,"⬇ Min 미달",IF(E47&gt;G47,"⬆ Max 초과","✓ 범위 내")))</f>
        <v/>
      </c>
      <c r="I47" s="70">
        <f>IF(E47="","",IF(E47&lt;F47,F47-E47,IF(E47&gt;G47,E47-G47,0)))</f>
        <v/>
      </c>
    </row>
    <row r="48" ht="22" customHeight="1">
      <c r="A48" s="33">
        <f>'09_보상연계'!A38</f>
        <v/>
      </c>
      <c r="B48" s="33">
        <f>'09_보상연계'!B38</f>
        <v/>
      </c>
      <c r="C48" s="8">
        <f>'09_보상연계'!C38</f>
        <v/>
      </c>
      <c r="D48" s="16">
        <f>'09_보상연계'!F38</f>
        <v/>
      </c>
      <c r="E48" s="64">
        <f>'09_보상연계'!P38</f>
        <v/>
      </c>
      <c r="F48" s="64">
        <f>'09_보상연계'!M38</f>
        <v/>
      </c>
      <c r="G48" s="64">
        <f>'09_보상연계'!N38</f>
        <v/>
      </c>
      <c r="H48" s="21">
        <f>IF(E48="","",IF(E48&lt;F48,"⬇ Min 미달",IF(E48&gt;G48,"⬆ Max 초과","✓ 범위 내")))</f>
        <v/>
      </c>
      <c r="I48" s="70">
        <f>IF(E48="","",IF(E48&lt;F48,F48-E48,IF(E48&gt;G48,E48-G48,0)))</f>
        <v/>
      </c>
    </row>
    <row r="49" ht="22" customHeight="1">
      <c r="A49" s="33">
        <f>'09_보상연계'!A39</f>
        <v/>
      </c>
      <c r="B49" s="33">
        <f>'09_보상연계'!B39</f>
        <v/>
      </c>
      <c r="C49" s="8">
        <f>'09_보상연계'!C39</f>
        <v/>
      </c>
      <c r="D49" s="16">
        <f>'09_보상연계'!F39</f>
        <v/>
      </c>
      <c r="E49" s="64">
        <f>'09_보상연계'!P39</f>
        <v/>
      </c>
      <c r="F49" s="64">
        <f>'09_보상연계'!M39</f>
        <v/>
      </c>
      <c r="G49" s="64">
        <f>'09_보상연계'!N39</f>
        <v/>
      </c>
      <c r="H49" s="21">
        <f>IF(E49="","",IF(E49&lt;F49,"⬇ Min 미달",IF(E49&gt;G49,"⬆ Max 초과","✓ 범위 내")))</f>
        <v/>
      </c>
      <c r="I49" s="70">
        <f>IF(E49="","",IF(E49&lt;F49,F49-E49,IF(E49&gt;G49,E49-G49,0)))</f>
        <v/>
      </c>
    </row>
  </sheetData>
  <mergeCells count="4">
    <mergeCell ref="A14:L14"/>
    <mergeCell ref="A2:L2"/>
    <mergeCell ref="A1:L1"/>
    <mergeCell ref="A4:L4"/>
  </mergeCells>
  <conditionalFormatting sqref="A16:I49">
    <cfRule type="expression" priority="1" dxfId="0">
      <formula>OR($E16&lt;$F16,$E16&gt;$G16)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FC000"/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4" customWidth="1" min="4" max="4"/>
    <col width="14" customWidth="1" min="5" max="5"/>
    <col width="8" customWidth="1" min="6" max="6"/>
    <col width="12" customWidth="1" min="7" max="7"/>
    <col width="14" customWidth="1" min="8" max="8"/>
    <col width="10" customWidth="1" min="9" max="9"/>
    <col width="10" customWidth="1" min="10" max="10"/>
  </cols>
  <sheetData>
    <row r="1" ht="28" customHeight="1">
      <c r="A1" s="1" t="inlineStr">
        <is>
          <t>End-to-End 시뮬레이션 대시보드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9" t="n"/>
    </row>
    <row r="2">
      <c r="A2" s="2" t="inlineStr">
        <is>
          <t>07a/07b에 등급 입력 시 모든 시트가 갱신되어 여기에 종합 요약. 변경 시뮬레이션 확인용.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</row>
    <row r="4">
      <c r="A4" s="3" t="inlineStr">
        <is>
          <t>▶ 종합 요약</t>
        </is>
      </c>
      <c r="B4" s="18" t="n"/>
      <c r="C4" s="18" t="n"/>
      <c r="D4" s="18" t="n"/>
      <c r="E4" s="18" t="n"/>
      <c r="F4" s="18" t="n"/>
      <c r="G4" s="18" t="n"/>
      <c r="H4" s="18" t="n"/>
      <c r="I4" s="18" t="n"/>
      <c r="J4" s="19" t="n"/>
    </row>
    <row r="5">
      <c r="A5" s="5" t="inlineStr">
        <is>
          <t>총 인원</t>
        </is>
      </c>
      <c r="B5" s="71">
        <f>COUNTA('01_인적정보'!C6:C65)</f>
        <v/>
      </c>
    </row>
    <row r="6">
      <c r="A6" s="5" t="inlineStr">
        <is>
          <t>연봉 총액(현재)</t>
        </is>
      </c>
      <c r="B6" s="72">
        <f>SUM('09_보상연계'!G6:G39)</f>
        <v/>
      </c>
    </row>
    <row r="7">
      <c r="A7" s="5" t="inlineStr">
        <is>
          <t>연봉 총액(인상후)</t>
        </is>
      </c>
      <c r="B7" s="72">
        <f>'09_보상연계'!P41</f>
        <v/>
      </c>
    </row>
    <row r="8">
      <c r="A8" s="5" t="inlineStr">
        <is>
          <t>총 인상액</t>
        </is>
      </c>
      <c r="B8" s="72">
        <f>'09_보상연계'!Q41</f>
        <v/>
      </c>
    </row>
    <row r="9">
      <c r="A9" s="5" t="inlineStr">
        <is>
          <t>인상률 (평균)</t>
        </is>
      </c>
      <c r="B9" s="73">
        <f>IFERROR('09_보상연계'!Q41/'09_보상연계'!G41,0)</f>
        <v/>
      </c>
    </row>
    <row r="10">
      <c r="A10" s="5" t="inlineStr">
        <is>
          <t>성과급 재원</t>
        </is>
      </c>
      <c r="B10" s="72">
        <f>'10_성과급관리'!L44</f>
        <v/>
      </c>
    </row>
    <row r="11">
      <c r="A11" s="5" t="inlineStr">
        <is>
          <t>페이밴드 이탈자</t>
        </is>
      </c>
      <c r="B11" s="71">
        <f>SUM('11_페이밴드검증'!H6:H12)</f>
        <v/>
      </c>
    </row>
    <row r="14">
      <c r="A14" s="3" t="inlineStr">
        <is>
          <t>▶ 평가 등급 분포 (전사)</t>
        </is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19" t="n"/>
    </row>
    <row r="15">
      <c r="A15" s="14" t="inlineStr">
        <is>
          <t>등급</t>
        </is>
      </c>
      <c r="B15" s="14" t="inlineStr">
        <is>
          <t>인원수</t>
        </is>
      </c>
      <c r="C15" s="14" t="inlineStr">
        <is>
          <t>비율</t>
        </is>
      </c>
    </row>
    <row r="16">
      <c r="A16" s="49" t="inlineStr">
        <is>
          <t>S</t>
        </is>
      </c>
      <c r="B16" s="20">
        <f>COUNTIF('08_종합평가'!U6:U39,"S")</f>
        <v/>
      </c>
      <c r="C16" s="32">
        <f>IFERROR(B16/SUM($B$16:$B$20),0)</f>
        <v/>
      </c>
    </row>
    <row r="17">
      <c r="A17" s="50" t="inlineStr">
        <is>
          <t>A</t>
        </is>
      </c>
      <c r="B17" s="20">
        <f>COUNTIF('08_종합평가'!U6:U39,"A")</f>
        <v/>
      </c>
      <c r="C17" s="32">
        <f>IFERROR(B17/SUM($B$16:$B$20),0)</f>
        <v/>
      </c>
    </row>
    <row r="18">
      <c r="A18" s="51" t="inlineStr">
        <is>
          <t>B</t>
        </is>
      </c>
      <c r="B18" s="20">
        <f>COUNTIF('08_종합평가'!U6:U39,"B")</f>
        <v/>
      </c>
      <c r="C18" s="32">
        <f>IFERROR(B18/SUM($B$16:$B$20),0)</f>
        <v/>
      </c>
    </row>
    <row r="19">
      <c r="A19" s="52" t="inlineStr">
        <is>
          <t>C</t>
        </is>
      </c>
      <c r="B19" s="20">
        <f>COUNTIF('08_종합평가'!U6:U39,"C")</f>
        <v/>
      </c>
      <c r="C19" s="32">
        <f>IFERROR(B19/SUM($B$16:$B$20),0)</f>
        <v/>
      </c>
    </row>
    <row r="20">
      <c r="A20" s="53" t="inlineStr">
        <is>
          <t>D</t>
        </is>
      </c>
      <c r="B20" s="20">
        <f>COUNTIF('08_종합평가'!U6:U39,"D")</f>
        <v/>
      </c>
      <c r="C20" s="32">
        <f>IFERROR(B20/SUM($B$16:$B$20),0)</f>
        <v/>
      </c>
    </row>
    <row r="23">
      <c r="A23" s="3" t="inlineStr">
        <is>
          <t>▶ 부서별 평균 인상률</t>
        </is>
      </c>
      <c r="B23" s="18" t="n"/>
      <c r="C23" s="18" t="n"/>
      <c r="D23" s="18" t="n"/>
      <c r="E23" s="18" t="n"/>
      <c r="F23" s="18" t="n"/>
      <c r="G23" s="18" t="n"/>
      <c r="H23" s="18" t="n"/>
      <c r="I23" s="18" t="n"/>
      <c r="J23" s="19" t="n"/>
    </row>
    <row r="24">
      <c r="A24" s="14" t="inlineStr">
        <is>
          <t>부서</t>
        </is>
      </c>
      <c r="B24" s="14" t="inlineStr">
        <is>
          <t>인원</t>
        </is>
      </c>
      <c r="C24" s="14" t="inlineStr">
        <is>
          <t>평균 인상률</t>
        </is>
      </c>
      <c r="D24" s="14" t="inlineStr">
        <is>
          <t>총 인상액</t>
        </is>
      </c>
    </row>
    <row r="25">
      <c r="A25" s="15" t="inlineStr">
        <is>
          <t>R&amp;D본부</t>
        </is>
      </c>
      <c r="B25" s="20">
        <f>COUNTIF('09_보상연계'!E6:E39,"R&amp;D본부")</f>
        <v/>
      </c>
      <c r="C25" s="32">
        <f>IFERROR(AVERAGEIFS('09_보상연계'!L6:L39,'09_보상연계'!E6:E39,"R&amp;D본부"),"")</f>
        <v/>
      </c>
      <c r="D25" s="64">
        <f>SUMIFS('09_보상연계'!Q6:Q39,'09_보상연계'!E6:E39,"R&amp;D본부")</f>
        <v/>
      </c>
    </row>
    <row r="26">
      <c r="A26" s="15" t="inlineStr">
        <is>
          <t>경영전략실</t>
        </is>
      </c>
      <c r="B26" s="20">
        <f>COUNTIF('09_보상연계'!E6:E39,"경영전략실")</f>
        <v/>
      </c>
      <c r="C26" s="32">
        <f>IFERROR(AVERAGEIFS('09_보상연계'!L6:L39,'09_보상연계'!E6:E39,"경영전략실"),"")</f>
        <v/>
      </c>
      <c r="D26" s="64">
        <f>SUMIFS('09_보상연계'!Q6:Q39,'09_보상연계'!E6:E39,"경영전략실")</f>
        <v/>
      </c>
    </row>
    <row r="27">
      <c r="A27" s="15" t="inlineStr">
        <is>
          <t>마케팅팀</t>
        </is>
      </c>
      <c r="B27" s="20">
        <f>COUNTIF('09_보상연계'!E6:E39,"마케팅팀")</f>
        <v/>
      </c>
      <c r="C27" s="32">
        <f>IFERROR(AVERAGEIFS('09_보상연계'!L6:L39,'09_보상연계'!E6:E39,"마케팅팀"),"")</f>
        <v/>
      </c>
      <c r="D27" s="64">
        <f>SUMIFS('09_보상연계'!Q6:Q39,'09_보상연계'!E6:E39,"마케팅팀")</f>
        <v/>
      </c>
    </row>
    <row r="28">
      <c r="A28" s="15" t="inlineStr">
        <is>
          <t>솔루션본부</t>
        </is>
      </c>
      <c r="B28" s="20">
        <f>COUNTIF('09_보상연계'!E6:E39,"솔루션본부")</f>
        <v/>
      </c>
      <c r="C28" s="32">
        <f>IFERROR(AVERAGEIFS('09_보상연계'!L6:L39,'09_보상연계'!E6:E39,"솔루션본부"),"")</f>
        <v/>
      </c>
      <c r="D28" s="64">
        <f>SUMIFS('09_보상연계'!Q6:Q39,'09_보상연계'!E6:E39,"솔루션본부")</f>
        <v/>
      </c>
    </row>
    <row r="29">
      <c r="A29" s="15" t="inlineStr">
        <is>
          <t>스마트사업부</t>
        </is>
      </c>
      <c r="B29" s="20">
        <f>COUNTIF('09_보상연계'!E6:E39,"스마트사업부")</f>
        <v/>
      </c>
      <c r="C29" s="32">
        <f>IFERROR(AVERAGEIFS('09_보상연계'!L6:L39,'09_보상연계'!E6:E39,"스마트사업부"),"")</f>
        <v/>
      </c>
      <c r="D29" s="64">
        <f>SUMIFS('09_보상연계'!Q6:Q39,'09_보상연계'!E6:E39,"스마트사업부")</f>
        <v/>
      </c>
    </row>
    <row r="30">
      <c r="A30" s="15" t="inlineStr">
        <is>
          <t>컨설팅본부</t>
        </is>
      </c>
      <c r="B30" s="20">
        <f>COUNTIF('09_보상연계'!E6:E39,"컨설팅본부")</f>
        <v/>
      </c>
      <c r="C30" s="32">
        <f>IFERROR(AVERAGEIFS('09_보상연계'!L6:L39,'09_보상연계'!E6:E39,"컨설팅본부"),"")</f>
        <v/>
      </c>
      <c r="D30" s="64">
        <f>SUMIFS('09_보상연계'!Q6:Q39,'09_보상연계'!E6:E39,"컨설팅본부")</f>
        <v/>
      </c>
    </row>
  </sheetData>
  <mergeCells count="5">
    <mergeCell ref="A1:J1"/>
    <mergeCell ref="A23:J23"/>
    <mergeCell ref="A14:J14"/>
    <mergeCell ref="A4:J4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08080"/>
    <outlinePr summaryBelow="1" summaryRight="1"/>
    <pageSetUpPr/>
  </sheetPr>
  <dimension ref="A1:J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9" customWidth="1" min="3" max="3"/>
    <col width="18" customWidth="1" min="4" max="4"/>
    <col width="60" customWidth="1" min="5" max="5"/>
    <col width="28" customWidth="1" min="6" max="6"/>
    <col width="28" customWidth="1" min="7" max="7"/>
    <col width="10" customWidth="1" min="8" max="8"/>
  </cols>
  <sheetData>
    <row r="1" ht="28" customHeight="1">
      <c r="A1" s="1" t="inlineStr">
        <is>
          <t>직무·역할등급 정의 데이터베이스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9" t="n"/>
    </row>
    <row r="2">
      <c r="A2" s="2" t="inlineStr">
        <is>
          <t>직무 × 역할등급(G1~G6) 마스터. 모든 시트가 조회키(직무_등급)로 VLOOKUP 참조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9" t="n"/>
    </row>
    <row r="5" ht="30" customHeight="1">
      <c r="A5" s="22" t="inlineStr">
        <is>
          <t>조회키</t>
        </is>
      </c>
      <c r="B5" s="22" t="inlineStr">
        <is>
          <t>직무</t>
        </is>
      </c>
      <c r="C5" s="22" t="inlineStr">
        <is>
          <t>역할등급</t>
        </is>
      </c>
      <c r="D5" s="22" t="inlineStr">
        <is>
          <t>역할명</t>
        </is>
      </c>
      <c r="E5" s="22" t="inlineStr">
        <is>
          <t>역할 정의</t>
        </is>
      </c>
      <c r="F5" s="22" t="inlineStr">
        <is>
          <t>책임범위</t>
        </is>
      </c>
      <c r="G5" s="22" t="inlineStr">
        <is>
          <t>권한 수준</t>
        </is>
      </c>
      <c r="H5" s="22" t="inlineStr">
        <is>
          <t>표준연한</t>
        </is>
      </c>
    </row>
    <row r="6" ht="50" customHeight="1">
      <c r="A6" s="33" t="inlineStr">
        <is>
          <t>경영전략기획_G6</t>
        </is>
      </c>
      <c r="B6" s="6" t="inlineStr">
        <is>
          <t>경영전략기획</t>
        </is>
      </c>
      <c r="C6" s="27" t="inlineStr">
        <is>
          <t>G6</t>
        </is>
      </c>
      <c r="D6" s="15" t="inlineStr">
        <is>
          <t>사업·조직 관리</t>
        </is>
      </c>
      <c r="E6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6" s="6" t="inlineStr">
        <is>
          <t>전사 KPI 달성, 손익 책임</t>
        </is>
      </c>
      <c r="G6" s="6" t="inlineStr">
        <is>
          <t>전사 의사결정, 예산 편성, 인력 승인</t>
        </is>
      </c>
      <c r="H6" s="17" t="inlineStr">
        <is>
          <t>5년 이상</t>
        </is>
      </c>
    </row>
    <row r="7" ht="50" customHeight="1">
      <c r="A7" s="33" t="inlineStr">
        <is>
          <t>경영전략기획_G5-M</t>
        </is>
      </c>
      <c r="B7" s="6" t="inlineStr">
        <is>
          <t>경영전략기획</t>
        </is>
      </c>
      <c r="C7" s="27" t="inlineStr">
        <is>
          <t>G5-M</t>
        </is>
      </c>
      <c r="D7" s="15" t="inlineStr">
        <is>
          <t>직무 관리(부서장)</t>
        </is>
      </c>
      <c r="E7" s="6" t="inlineStr">
        <is>
          <t>부서 전략 및 목표를 수립하고, 자원 배분·예산 관리·성과 관리를 통해 조직 성과 달성을 책임지고, 부서 내 의사결정을 주도</t>
        </is>
      </c>
      <c r="F7" s="6" t="inlineStr">
        <is>
          <t>부서 KPI 달성 책임</t>
        </is>
      </c>
      <c r="G7" s="6" t="inlineStr">
        <is>
          <t>부서 의사결정, 예산 배분, 채용/승진 제안</t>
        </is>
      </c>
      <c r="H7" s="17" t="inlineStr">
        <is>
          <t>4년 이상</t>
        </is>
      </c>
    </row>
    <row r="8" ht="50" customHeight="1">
      <c r="A8" s="33" t="inlineStr">
        <is>
          <t>경영전략기획_G5-S</t>
        </is>
      </c>
      <c r="B8" s="6" t="inlineStr">
        <is>
          <t>경영전략기획</t>
        </is>
      </c>
      <c r="C8" s="27" t="inlineStr">
        <is>
          <t>G5-S</t>
        </is>
      </c>
      <c r="D8" s="15" t="inlineStr">
        <is>
          <t>실무 스페셜리스트</t>
        </is>
      </c>
      <c r="E8" s="6" t="inlineStr">
        <is>
          <t>직무 최고 수준의 전문성과 현장 경험을 기반으로, 복잡하고 고난이도의 프로젝트를 성공적으로 수행하며 내부 기술 자산화·전파를 주도</t>
        </is>
      </c>
      <c r="F8" s="6" t="inlineStr">
        <is>
          <t>핵심 기술/과제 성과 책임</t>
        </is>
      </c>
      <c r="G8" s="6" t="inlineStr">
        <is>
          <t>전문 영역 의사결정</t>
        </is>
      </c>
      <c r="H8" s="17" t="inlineStr">
        <is>
          <t>4년 이상</t>
        </is>
      </c>
    </row>
    <row r="9" ht="50" customHeight="1">
      <c r="A9" s="33" t="inlineStr">
        <is>
          <t>경영전략기획_G4</t>
        </is>
      </c>
      <c r="B9" s="6" t="inlineStr">
        <is>
          <t>경영전략기획</t>
        </is>
      </c>
      <c r="C9" s="27" t="inlineStr">
        <is>
          <t>G4</t>
        </is>
      </c>
      <c r="D9" s="15" t="inlineStr">
        <is>
          <t>실무 책임(PM)</t>
        </is>
      </c>
      <c r="E9" s="6" t="inlineStr">
        <is>
          <t>단위 프로젝트의 전략 수립·추진을 주도하며, 예산·일정·품질 등 목표 달성을 책임지고 성과를 보고</t>
        </is>
      </c>
      <c r="F9" s="6" t="inlineStr">
        <is>
          <t>프로젝트 성과 책임</t>
        </is>
      </c>
      <c r="G9" s="6" t="inlineStr">
        <is>
          <t>프로젝트 의사결정, 예산 집행</t>
        </is>
      </c>
      <c r="H9" s="17" t="inlineStr">
        <is>
          <t>3년 이상</t>
        </is>
      </c>
    </row>
    <row r="10" ht="50" customHeight="1">
      <c r="A10" s="33" t="inlineStr">
        <is>
          <t>경영전략기획_G3</t>
        </is>
      </c>
      <c r="B10" s="6" t="inlineStr">
        <is>
          <t>경영전략기획</t>
        </is>
      </c>
      <c r="C10" s="27" t="inlineStr">
        <is>
          <t>G3</t>
        </is>
      </c>
      <c r="D10" s="15" t="inlineStr">
        <is>
          <t>핵심 실무</t>
        </is>
      </c>
      <c r="E10" s="6" t="inlineStr">
        <is>
          <t>전문 지식과 기술을 활용해 프로젝트 핵심 과업을 기획·수행하며, 산출물 품질과 일정 준수를 책임지는 중추적 역할</t>
        </is>
      </c>
      <c r="F10" s="6" t="inlineStr">
        <is>
          <t>모듈/과업 성과</t>
        </is>
      </c>
      <c r="G10" s="6" t="inlineStr">
        <is>
          <t>모듈 범위 자율</t>
        </is>
      </c>
      <c r="H10" s="17" t="inlineStr">
        <is>
          <t>3년 이상</t>
        </is>
      </c>
    </row>
    <row r="11" ht="50" customHeight="1">
      <c r="A11" s="33" t="inlineStr">
        <is>
          <t>경영전략기획_G2</t>
        </is>
      </c>
      <c r="B11" s="6" t="inlineStr">
        <is>
          <t>경영전략기획</t>
        </is>
      </c>
      <c r="C11" s="27" t="inlineStr">
        <is>
          <t>G2</t>
        </is>
      </c>
      <c r="D11" s="15" t="inlineStr">
        <is>
          <t>실무</t>
        </is>
      </c>
      <c r="E11" s="6" t="inlineStr">
        <is>
          <t>프로젝트 계획에 따라 독립적·자율적으로 세부 과업을 계획·수행하며, 완성도 있는 산출물을 도출</t>
        </is>
      </c>
      <c r="F11" s="6" t="inlineStr">
        <is>
          <t>개별 과업 성과</t>
        </is>
      </c>
      <c r="G11" s="6" t="inlineStr">
        <is>
          <t>과업 범위 자율</t>
        </is>
      </c>
      <c r="H11" s="17" t="inlineStr">
        <is>
          <t>2년 이상</t>
        </is>
      </c>
    </row>
    <row r="12" ht="50" customHeight="1">
      <c r="A12" s="33" t="inlineStr">
        <is>
          <t>경영전략기획_G1</t>
        </is>
      </c>
      <c r="B12" s="6" t="inlineStr">
        <is>
          <t>경영전략기획</t>
        </is>
      </c>
      <c r="C12" s="27" t="inlineStr">
        <is>
          <t>G1</t>
        </is>
      </c>
      <c r="D12" s="15" t="inlineStr">
        <is>
          <t>실무 보조</t>
        </is>
      </c>
      <c r="E12" s="6" t="inlineStr">
        <is>
          <t>실무에 대한 이해와 과업 수행에 필요한 기술·지식을 습득하며, 프로젝트 진행 과정에서 기본적인 과업을 보조</t>
        </is>
      </c>
      <c r="F12" s="6" t="inlineStr">
        <is>
          <t>학습/보조 수행도</t>
        </is>
      </c>
      <c r="G12" s="6" t="inlineStr">
        <is>
          <t>제한적 권한</t>
        </is>
      </c>
      <c r="H12" s="17" t="inlineStr">
        <is>
          <t>1년 이상</t>
        </is>
      </c>
    </row>
    <row r="13" ht="50" customHeight="1">
      <c r="A13" s="33" t="inlineStr">
        <is>
          <t>프로젝트영업_G6</t>
        </is>
      </c>
      <c r="B13" s="6" t="inlineStr">
        <is>
          <t>프로젝트영업</t>
        </is>
      </c>
      <c r="C13" s="27" t="inlineStr">
        <is>
          <t>G6</t>
        </is>
      </c>
      <c r="D13" s="15" t="inlineStr">
        <is>
          <t>사업·조직 관리</t>
        </is>
      </c>
      <c r="E13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13" s="6" t="inlineStr">
        <is>
          <t>전사 KPI 달성, 손익 책임</t>
        </is>
      </c>
      <c r="G13" s="6" t="inlineStr">
        <is>
          <t>전사 의사결정, 예산 편성, 인력 승인</t>
        </is>
      </c>
      <c r="H13" s="17" t="inlineStr">
        <is>
          <t>5년 이상</t>
        </is>
      </c>
    </row>
    <row r="14" ht="50" customHeight="1">
      <c r="A14" s="33" t="inlineStr">
        <is>
          <t>프로젝트영업_G5-M</t>
        </is>
      </c>
      <c r="B14" s="6" t="inlineStr">
        <is>
          <t>프로젝트영업</t>
        </is>
      </c>
      <c r="C14" s="27" t="inlineStr">
        <is>
          <t>G5-M</t>
        </is>
      </c>
      <c r="D14" s="15" t="inlineStr">
        <is>
          <t>직무 관리(부서장)</t>
        </is>
      </c>
      <c r="E14" s="6" t="inlineStr">
        <is>
          <t>부서 전략 및 목표를 수립하고, 자원 배분·예산 관리·성과 관리를 통해 조직 성과 달성을 책임지고, 부서 내 의사결정을 주도</t>
        </is>
      </c>
      <c r="F14" s="6" t="inlineStr">
        <is>
          <t>부서 KPI 달성 책임</t>
        </is>
      </c>
      <c r="G14" s="6" t="inlineStr">
        <is>
          <t>부서 의사결정, 예산 배분, 채용/승진 제안</t>
        </is>
      </c>
      <c r="H14" s="17" t="inlineStr">
        <is>
          <t>4년 이상</t>
        </is>
      </c>
    </row>
    <row r="15" ht="50" customHeight="1">
      <c r="A15" s="33" t="inlineStr">
        <is>
          <t>프로젝트영업_G5-S</t>
        </is>
      </c>
      <c r="B15" s="6" t="inlineStr">
        <is>
          <t>프로젝트영업</t>
        </is>
      </c>
      <c r="C15" s="27" t="inlineStr">
        <is>
          <t>G5-S</t>
        </is>
      </c>
      <c r="D15" s="15" t="inlineStr">
        <is>
          <t>실무 스페셜리스트</t>
        </is>
      </c>
      <c r="E15" s="6" t="inlineStr">
        <is>
          <t>직무 최고 수준의 전문성과 현장 경험을 기반으로, 복잡하고 고난이도의 프로젝트를 성공적으로 수행하며 내부 기술 자산화·전파를 주도</t>
        </is>
      </c>
      <c r="F15" s="6" t="inlineStr">
        <is>
          <t>핵심 기술/과제 성과 책임</t>
        </is>
      </c>
      <c r="G15" s="6" t="inlineStr">
        <is>
          <t>전문 영역 의사결정</t>
        </is>
      </c>
      <c r="H15" s="17" t="inlineStr">
        <is>
          <t>4년 이상</t>
        </is>
      </c>
    </row>
    <row r="16" ht="50" customHeight="1">
      <c r="A16" s="33" t="inlineStr">
        <is>
          <t>프로젝트영업_G4</t>
        </is>
      </c>
      <c r="B16" s="6" t="inlineStr">
        <is>
          <t>프로젝트영업</t>
        </is>
      </c>
      <c r="C16" s="27" t="inlineStr">
        <is>
          <t>G4</t>
        </is>
      </c>
      <c r="D16" s="15" t="inlineStr">
        <is>
          <t>실무 책임(PM)</t>
        </is>
      </c>
      <c r="E16" s="6" t="inlineStr">
        <is>
          <t>단위 프로젝트의 전략 수립·추진을 주도하며, 예산·일정·품질 등 목표 달성을 책임지고 성과를 보고</t>
        </is>
      </c>
      <c r="F16" s="6" t="inlineStr">
        <is>
          <t>프로젝트 성과 책임</t>
        </is>
      </c>
      <c r="G16" s="6" t="inlineStr">
        <is>
          <t>프로젝트 의사결정, 예산 집행</t>
        </is>
      </c>
      <c r="H16" s="17" t="inlineStr">
        <is>
          <t>3년 이상</t>
        </is>
      </c>
    </row>
    <row r="17" ht="50" customHeight="1">
      <c r="A17" s="33" t="inlineStr">
        <is>
          <t>프로젝트영업_G3</t>
        </is>
      </c>
      <c r="B17" s="6" t="inlineStr">
        <is>
          <t>프로젝트영업</t>
        </is>
      </c>
      <c r="C17" s="27" t="inlineStr">
        <is>
          <t>G3</t>
        </is>
      </c>
      <c r="D17" s="15" t="inlineStr">
        <is>
          <t>핵심 실무</t>
        </is>
      </c>
      <c r="E17" s="6" t="inlineStr">
        <is>
          <t>전문 지식과 기술을 활용해 프로젝트 핵심 과업을 기획·수행하며, 산출물 품질과 일정 준수를 책임지는 중추적 역할</t>
        </is>
      </c>
      <c r="F17" s="6" t="inlineStr">
        <is>
          <t>모듈/과업 성과</t>
        </is>
      </c>
      <c r="G17" s="6" t="inlineStr">
        <is>
          <t>모듈 범위 자율</t>
        </is>
      </c>
      <c r="H17" s="17" t="inlineStr">
        <is>
          <t>3년 이상</t>
        </is>
      </c>
    </row>
    <row r="18" ht="50" customHeight="1">
      <c r="A18" s="33" t="inlineStr">
        <is>
          <t>프로젝트영업_G2</t>
        </is>
      </c>
      <c r="B18" s="6" t="inlineStr">
        <is>
          <t>프로젝트영업</t>
        </is>
      </c>
      <c r="C18" s="27" t="inlineStr">
        <is>
          <t>G2</t>
        </is>
      </c>
      <c r="D18" s="15" t="inlineStr">
        <is>
          <t>실무</t>
        </is>
      </c>
      <c r="E18" s="6" t="inlineStr">
        <is>
          <t>프로젝트 계획에 따라 독립적·자율적으로 세부 과업을 계획·수행하며, 완성도 있는 산출물을 도출</t>
        </is>
      </c>
      <c r="F18" s="6" t="inlineStr">
        <is>
          <t>개별 과업 성과</t>
        </is>
      </c>
      <c r="G18" s="6" t="inlineStr">
        <is>
          <t>과업 범위 자율</t>
        </is>
      </c>
      <c r="H18" s="17" t="inlineStr">
        <is>
          <t>2년 이상</t>
        </is>
      </c>
    </row>
    <row r="19" ht="50" customHeight="1">
      <c r="A19" s="33" t="inlineStr">
        <is>
          <t>프로젝트영업_G1</t>
        </is>
      </c>
      <c r="B19" s="6" t="inlineStr">
        <is>
          <t>프로젝트영업</t>
        </is>
      </c>
      <c r="C19" s="27" t="inlineStr">
        <is>
          <t>G1</t>
        </is>
      </c>
      <c r="D19" s="15" t="inlineStr">
        <is>
          <t>실무 보조</t>
        </is>
      </c>
      <c r="E19" s="6" t="inlineStr">
        <is>
          <t>실무에 대한 이해와 과업 수행에 필요한 기술·지식을 습득하며, 프로젝트 진행 과정에서 기본적인 과업을 보조</t>
        </is>
      </c>
      <c r="F19" s="6" t="inlineStr">
        <is>
          <t>학습/보조 수행도</t>
        </is>
      </c>
      <c r="G19" s="6" t="inlineStr">
        <is>
          <t>제한적 권한</t>
        </is>
      </c>
      <c r="H19" s="17" t="inlineStr">
        <is>
          <t>1년 이상</t>
        </is>
      </c>
    </row>
    <row r="20" ht="50" customHeight="1">
      <c r="A20" s="33" t="inlineStr">
        <is>
          <t>SW판매영업_G6</t>
        </is>
      </c>
      <c r="B20" s="6" t="inlineStr">
        <is>
          <t>SW판매영업</t>
        </is>
      </c>
      <c r="C20" s="27" t="inlineStr">
        <is>
          <t>G6</t>
        </is>
      </c>
      <c r="D20" s="15" t="inlineStr">
        <is>
          <t>사업·조직 관리</t>
        </is>
      </c>
      <c r="E20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20" s="6" t="inlineStr">
        <is>
          <t>전사 KPI 달성, 손익 책임</t>
        </is>
      </c>
      <c r="G20" s="6" t="inlineStr">
        <is>
          <t>전사 의사결정, 예산 편성, 인력 승인</t>
        </is>
      </c>
      <c r="H20" s="17" t="inlineStr">
        <is>
          <t>5년 이상</t>
        </is>
      </c>
    </row>
    <row r="21" ht="50" customHeight="1">
      <c r="A21" s="33" t="inlineStr">
        <is>
          <t>SW판매영업_G5-M</t>
        </is>
      </c>
      <c r="B21" s="6" t="inlineStr">
        <is>
          <t>SW판매영업</t>
        </is>
      </c>
      <c r="C21" s="27" t="inlineStr">
        <is>
          <t>G5-M</t>
        </is>
      </c>
      <c r="D21" s="15" t="inlineStr">
        <is>
          <t>직무 관리(부서장)</t>
        </is>
      </c>
      <c r="E21" s="6" t="inlineStr">
        <is>
          <t>부서 전략 및 목표를 수립하고, 자원 배분·예산 관리·성과 관리를 통해 조직 성과 달성을 책임지고, 부서 내 의사결정을 주도</t>
        </is>
      </c>
      <c r="F21" s="6" t="inlineStr">
        <is>
          <t>부서 KPI 달성 책임</t>
        </is>
      </c>
      <c r="G21" s="6" t="inlineStr">
        <is>
          <t>부서 의사결정, 예산 배분, 채용/승진 제안</t>
        </is>
      </c>
      <c r="H21" s="17" t="inlineStr">
        <is>
          <t>4년 이상</t>
        </is>
      </c>
    </row>
    <row r="22" ht="50" customHeight="1">
      <c r="A22" s="33" t="inlineStr">
        <is>
          <t>SW판매영업_G5-S</t>
        </is>
      </c>
      <c r="B22" s="6" t="inlineStr">
        <is>
          <t>SW판매영업</t>
        </is>
      </c>
      <c r="C22" s="27" t="inlineStr">
        <is>
          <t>G5-S</t>
        </is>
      </c>
      <c r="D22" s="15" t="inlineStr">
        <is>
          <t>실무 스페셜리스트</t>
        </is>
      </c>
      <c r="E22" s="6" t="inlineStr">
        <is>
          <t>직무 최고 수준의 전문성과 현장 경험을 기반으로, 복잡하고 고난이도의 프로젝트를 성공적으로 수행하며 내부 기술 자산화·전파를 주도</t>
        </is>
      </c>
      <c r="F22" s="6" t="inlineStr">
        <is>
          <t>핵심 기술/과제 성과 책임</t>
        </is>
      </c>
      <c r="G22" s="6" t="inlineStr">
        <is>
          <t>전문 영역 의사결정</t>
        </is>
      </c>
      <c r="H22" s="17" t="inlineStr">
        <is>
          <t>4년 이상</t>
        </is>
      </c>
    </row>
    <row r="23" ht="50" customHeight="1">
      <c r="A23" s="33" t="inlineStr">
        <is>
          <t>SW판매영업_G4</t>
        </is>
      </c>
      <c r="B23" s="6" t="inlineStr">
        <is>
          <t>SW판매영업</t>
        </is>
      </c>
      <c r="C23" s="27" t="inlineStr">
        <is>
          <t>G4</t>
        </is>
      </c>
      <c r="D23" s="15" t="inlineStr">
        <is>
          <t>실무 책임(PM)</t>
        </is>
      </c>
      <c r="E23" s="6" t="inlineStr">
        <is>
          <t>단위 프로젝트의 전략 수립·추진을 주도하며, 예산·일정·품질 등 목표 달성을 책임지고 성과를 보고</t>
        </is>
      </c>
      <c r="F23" s="6" t="inlineStr">
        <is>
          <t>프로젝트 성과 책임</t>
        </is>
      </c>
      <c r="G23" s="6" t="inlineStr">
        <is>
          <t>프로젝트 의사결정, 예산 집행</t>
        </is>
      </c>
      <c r="H23" s="17" t="inlineStr">
        <is>
          <t>3년 이상</t>
        </is>
      </c>
    </row>
    <row r="24" ht="50" customHeight="1">
      <c r="A24" s="33" t="inlineStr">
        <is>
          <t>SW판매영업_G3</t>
        </is>
      </c>
      <c r="B24" s="6" t="inlineStr">
        <is>
          <t>SW판매영업</t>
        </is>
      </c>
      <c r="C24" s="27" t="inlineStr">
        <is>
          <t>G3</t>
        </is>
      </c>
      <c r="D24" s="15" t="inlineStr">
        <is>
          <t>핵심 실무</t>
        </is>
      </c>
      <c r="E24" s="6" t="inlineStr">
        <is>
          <t>전문 지식과 기술을 활용해 프로젝트 핵심 과업을 기획·수행하며, 산출물 품질과 일정 준수를 책임지는 중추적 역할</t>
        </is>
      </c>
      <c r="F24" s="6" t="inlineStr">
        <is>
          <t>모듈/과업 성과</t>
        </is>
      </c>
      <c r="G24" s="6" t="inlineStr">
        <is>
          <t>모듈 범위 자율</t>
        </is>
      </c>
      <c r="H24" s="17" t="inlineStr">
        <is>
          <t>3년 이상</t>
        </is>
      </c>
    </row>
    <row r="25" ht="50" customHeight="1">
      <c r="A25" s="33" t="inlineStr">
        <is>
          <t>SW판매영업_G2</t>
        </is>
      </c>
      <c r="B25" s="6" t="inlineStr">
        <is>
          <t>SW판매영업</t>
        </is>
      </c>
      <c r="C25" s="27" t="inlineStr">
        <is>
          <t>G2</t>
        </is>
      </c>
      <c r="D25" s="15" t="inlineStr">
        <is>
          <t>실무</t>
        </is>
      </c>
      <c r="E25" s="6" t="inlineStr">
        <is>
          <t>프로젝트 계획에 따라 독립적·자율적으로 세부 과업을 계획·수행하며, 완성도 있는 산출물을 도출</t>
        </is>
      </c>
      <c r="F25" s="6" t="inlineStr">
        <is>
          <t>개별 과업 성과</t>
        </is>
      </c>
      <c r="G25" s="6" t="inlineStr">
        <is>
          <t>과업 범위 자율</t>
        </is>
      </c>
      <c r="H25" s="17" t="inlineStr">
        <is>
          <t>2년 이상</t>
        </is>
      </c>
    </row>
    <row r="26" ht="50" customHeight="1">
      <c r="A26" s="33" t="inlineStr">
        <is>
          <t>SW판매영업_G1</t>
        </is>
      </c>
      <c r="B26" s="6" t="inlineStr">
        <is>
          <t>SW판매영업</t>
        </is>
      </c>
      <c r="C26" s="27" t="inlineStr">
        <is>
          <t>G1</t>
        </is>
      </c>
      <c r="D26" s="15" t="inlineStr">
        <is>
          <t>실무 보조</t>
        </is>
      </c>
      <c r="E26" s="6" t="inlineStr">
        <is>
          <t>실무에 대한 이해와 과업 수행에 필요한 기술·지식을 습득하며, 프로젝트 진행 과정에서 기본적인 과업을 보조</t>
        </is>
      </c>
      <c r="F26" s="6" t="inlineStr">
        <is>
          <t>학습/보조 수행도</t>
        </is>
      </c>
      <c r="G26" s="6" t="inlineStr">
        <is>
          <t>제한적 권한</t>
        </is>
      </c>
      <c r="H26" s="17" t="inlineStr">
        <is>
          <t>1년 이상</t>
        </is>
      </c>
    </row>
    <row r="27" ht="50" customHeight="1">
      <c r="A27" s="33" t="inlineStr">
        <is>
          <t>BIM컨설팅_G6</t>
        </is>
      </c>
      <c r="B27" s="6" t="inlineStr">
        <is>
          <t>BIM컨설팅</t>
        </is>
      </c>
      <c r="C27" s="27" t="inlineStr">
        <is>
          <t>G6</t>
        </is>
      </c>
      <c r="D27" s="15" t="inlineStr">
        <is>
          <t>사업·조직 관리</t>
        </is>
      </c>
      <c r="E27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27" s="6" t="inlineStr">
        <is>
          <t>전사 KPI 달성, 손익 책임</t>
        </is>
      </c>
      <c r="G27" s="6" t="inlineStr">
        <is>
          <t>전사 의사결정, 예산 편성, 인력 승인</t>
        </is>
      </c>
      <c r="H27" s="17" t="inlineStr">
        <is>
          <t>5년 이상</t>
        </is>
      </c>
    </row>
    <row r="28" ht="50" customHeight="1">
      <c r="A28" s="33" t="inlineStr">
        <is>
          <t>BIM컨설팅_G5-M</t>
        </is>
      </c>
      <c r="B28" s="6" t="inlineStr">
        <is>
          <t>BIM컨설팅</t>
        </is>
      </c>
      <c r="C28" s="27" t="inlineStr">
        <is>
          <t>G5-M</t>
        </is>
      </c>
      <c r="D28" s="15" t="inlineStr">
        <is>
          <t>직무 관리(부서장)</t>
        </is>
      </c>
      <c r="E28" s="6" t="inlineStr">
        <is>
          <t>부서 전략 및 목표를 수립하고, 자원 배분·예산 관리·성과 관리를 통해 조직 성과 달성을 책임지고, 부서 내 의사결정을 주도</t>
        </is>
      </c>
      <c r="F28" s="6" t="inlineStr">
        <is>
          <t>부서 KPI 달성 책임</t>
        </is>
      </c>
      <c r="G28" s="6" t="inlineStr">
        <is>
          <t>부서 의사결정, 예산 배분, 채용/승진 제안</t>
        </is>
      </c>
      <c r="H28" s="17" t="inlineStr">
        <is>
          <t>4년 이상</t>
        </is>
      </c>
    </row>
    <row r="29" ht="50" customHeight="1">
      <c r="A29" s="33" t="inlineStr">
        <is>
          <t>BIM컨설팅_G5-S</t>
        </is>
      </c>
      <c r="B29" s="6" t="inlineStr">
        <is>
          <t>BIM컨설팅</t>
        </is>
      </c>
      <c r="C29" s="27" t="inlineStr">
        <is>
          <t>G5-S</t>
        </is>
      </c>
      <c r="D29" s="15" t="inlineStr">
        <is>
          <t>실무 스페셜리스트</t>
        </is>
      </c>
      <c r="E29" s="6" t="inlineStr">
        <is>
          <t>직무 최고 수준의 전문성과 현장 경험을 기반으로, 복잡하고 고난이도의 프로젝트를 성공적으로 수행하며 내부 기술 자산화·전파를 주도</t>
        </is>
      </c>
      <c r="F29" s="6" t="inlineStr">
        <is>
          <t>핵심 기술/과제 성과 책임</t>
        </is>
      </c>
      <c r="G29" s="6" t="inlineStr">
        <is>
          <t>전문 영역 의사결정</t>
        </is>
      </c>
      <c r="H29" s="17" t="inlineStr">
        <is>
          <t>4년 이상</t>
        </is>
      </c>
    </row>
    <row r="30" ht="50" customHeight="1">
      <c r="A30" s="33" t="inlineStr">
        <is>
          <t>BIM컨설팅_G4</t>
        </is>
      </c>
      <c r="B30" s="6" t="inlineStr">
        <is>
          <t>BIM컨설팅</t>
        </is>
      </c>
      <c r="C30" s="27" t="inlineStr">
        <is>
          <t>G4</t>
        </is>
      </c>
      <c r="D30" s="15" t="inlineStr">
        <is>
          <t>실무 책임(PM)</t>
        </is>
      </c>
      <c r="E30" s="6" t="inlineStr">
        <is>
          <t>단위 프로젝트의 전략 수립·추진을 주도하며, 예산·일정·품질 등 목표 달성을 책임지고 성과를 보고</t>
        </is>
      </c>
      <c r="F30" s="6" t="inlineStr">
        <is>
          <t>프로젝트 성과 책임</t>
        </is>
      </c>
      <c r="G30" s="6" t="inlineStr">
        <is>
          <t>프로젝트 의사결정, 예산 집행</t>
        </is>
      </c>
      <c r="H30" s="17" t="inlineStr">
        <is>
          <t>3년 이상</t>
        </is>
      </c>
    </row>
    <row r="31" ht="50" customHeight="1">
      <c r="A31" s="33" t="inlineStr">
        <is>
          <t>BIM컨설팅_G3</t>
        </is>
      </c>
      <c r="B31" s="6" t="inlineStr">
        <is>
          <t>BIM컨설팅</t>
        </is>
      </c>
      <c r="C31" s="27" t="inlineStr">
        <is>
          <t>G3</t>
        </is>
      </c>
      <c r="D31" s="15" t="inlineStr">
        <is>
          <t>핵심 실무</t>
        </is>
      </c>
      <c r="E31" s="6" t="inlineStr">
        <is>
          <t>전문 지식과 기술을 활용해 프로젝트 핵심 과업을 기획·수행하며, 산출물 품질과 일정 준수를 책임지는 중추적 역할</t>
        </is>
      </c>
      <c r="F31" s="6" t="inlineStr">
        <is>
          <t>모듈/과업 성과</t>
        </is>
      </c>
      <c r="G31" s="6" t="inlineStr">
        <is>
          <t>모듈 범위 자율</t>
        </is>
      </c>
      <c r="H31" s="17" t="inlineStr">
        <is>
          <t>3년 이상</t>
        </is>
      </c>
    </row>
    <row r="32" ht="50" customHeight="1">
      <c r="A32" s="33" t="inlineStr">
        <is>
          <t>BIM컨설팅_G2</t>
        </is>
      </c>
      <c r="B32" s="6" t="inlineStr">
        <is>
          <t>BIM컨설팅</t>
        </is>
      </c>
      <c r="C32" s="27" t="inlineStr">
        <is>
          <t>G2</t>
        </is>
      </c>
      <c r="D32" s="15" t="inlineStr">
        <is>
          <t>실무</t>
        </is>
      </c>
      <c r="E32" s="6" t="inlineStr">
        <is>
          <t>프로젝트 계획에 따라 독립적·자율적으로 세부 과업을 계획·수행하며, 완성도 있는 산출물을 도출</t>
        </is>
      </c>
      <c r="F32" s="6" t="inlineStr">
        <is>
          <t>개별 과업 성과</t>
        </is>
      </c>
      <c r="G32" s="6" t="inlineStr">
        <is>
          <t>과업 범위 자율</t>
        </is>
      </c>
      <c r="H32" s="17" t="inlineStr">
        <is>
          <t>2년 이상</t>
        </is>
      </c>
    </row>
    <row r="33" ht="50" customHeight="1">
      <c r="A33" s="33" t="inlineStr">
        <is>
          <t>BIM컨설팅_G1</t>
        </is>
      </c>
      <c r="B33" s="6" t="inlineStr">
        <is>
          <t>BIM컨설팅</t>
        </is>
      </c>
      <c r="C33" s="27" t="inlineStr">
        <is>
          <t>G1</t>
        </is>
      </c>
      <c r="D33" s="15" t="inlineStr">
        <is>
          <t>실무 보조</t>
        </is>
      </c>
      <c r="E33" s="6" t="inlineStr">
        <is>
          <t>실무에 대한 이해와 과업 수행에 필요한 기술·지식을 습득하며, 프로젝트 진행 과정에서 기본적인 과업을 보조</t>
        </is>
      </c>
      <c r="F33" s="6" t="inlineStr">
        <is>
          <t>학습/보조 수행도</t>
        </is>
      </c>
      <c r="G33" s="6" t="inlineStr">
        <is>
          <t>제한적 권한</t>
        </is>
      </c>
      <c r="H33" s="17" t="inlineStr">
        <is>
          <t>1년 이상</t>
        </is>
      </c>
    </row>
    <row r="34" ht="50" customHeight="1">
      <c r="A34" s="33" t="inlineStr">
        <is>
          <t>교육_G6</t>
        </is>
      </c>
      <c r="B34" s="6" t="inlineStr">
        <is>
          <t>교육</t>
        </is>
      </c>
      <c r="C34" s="27" t="inlineStr">
        <is>
          <t>G6</t>
        </is>
      </c>
      <c r="D34" s="15" t="inlineStr">
        <is>
          <t>사업·조직 관리</t>
        </is>
      </c>
      <c r="E34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34" s="6" t="inlineStr">
        <is>
          <t>전사 KPI 달성, 손익 책임</t>
        </is>
      </c>
      <c r="G34" s="6" t="inlineStr">
        <is>
          <t>전사 의사결정, 예산 편성, 인력 승인</t>
        </is>
      </c>
      <c r="H34" s="17" t="inlineStr">
        <is>
          <t>5년 이상</t>
        </is>
      </c>
    </row>
    <row r="35" ht="50" customHeight="1">
      <c r="A35" s="33" t="inlineStr">
        <is>
          <t>교육_G5-M</t>
        </is>
      </c>
      <c r="B35" s="6" t="inlineStr">
        <is>
          <t>교육</t>
        </is>
      </c>
      <c r="C35" s="27" t="inlineStr">
        <is>
          <t>G5-M</t>
        </is>
      </c>
      <c r="D35" s="15" t="inlineStr">
        <is>
          <t>직무 관리(부서장)</t>
        </is>
      </c>
      <c r="E35" s="6" t="inlineStr">
        <is>
          <t>부서 전략 및 목표를 수립하고, 자원 배분·예산 관리·성과 관리를 통해 조직 성과 달성을 책임지고, 부서 내 의사결정을 주도</t>
        </is>
      </c>
      <c r="F35" s="6" t="inlineStr">
        <is>
          <t>부서 KPI 달성 책임</t>
        </is>
      </c>
      <c r="G35" s="6" t="inlineStr">
        <is>
          <t>부서 의사결정, 예산 배분, 채용/승진 제안</t>
        </is>
      </c>
      <c r="H35" s="17" t="inlineStr">
        <is>
          <t>4년 이상</t>
        </is>
      </c>
    </row>
    <row r="36" ht="50" customHeight="1">
      <c r="A36" s="33" t="inlineStr">
        <is>
          <t>교육_G5-S</t>
        </is>
      </c>
      <c r="B36" s="6" t="inlineStr">
        <is>
          <t>교육</t>
        </is>
      </c>
      <c r="C36" s="27" t="inlineStr">
        <is>
          <t>G5-S</t>
        </is>
      </c>
      <c r="D36" s="15" t="inlineStr">
        <is>
          <t>실무 스페셜리스트</t>
        </is>
      </c>
      <c r="E36" s="6" t="inlineStr">
        <is>
          <t>직무 최고 수준의 전문성과 현장 경험을 기반으로, 복잡하고 고난이도의 프로젝트를 성공적으로 수행하며 내부 기술 자산화·전파를 주도</t>
        </is>
      </c>
      <c r="F36" s="6" t="inlineStr">
        <is>
          <t>핵심 기술/과제 성과 책임</t>
        </is>
      </c>
      <c r="G36" s="6" t="inlineStr">
        <is>
          <t>전문 영역 의사결정</t>
        </is>
      </c>
      <c r="H36" s="17" t="inlineStr">
        <is>
          <t>4년 이상</t>
        </is>
      </c>
    </row>
    <row r="37" ht="50" customHeight="1">
      <c r="A37" s="33" t="inlineStr">
        <is>
          <t>교육_G4</t>
        </is>
      </c>
      <c r="B37" s="6" t="inlineStr">
        <is>
          <t>교육</t>
        </is>
      </c>
      <c r="C37" s="27" t="inlineStr">
        <is>
          <t>G4</t>
        </is>
      </c>
      <c r="D37" s="15" t="inlineStr">
        <is>
          <t>실무 책임(PM)</t>
        </is>
      </c>
      <c r="E37" s="6" t="inlineStr">
        <is>
          <t>단위 프로젝트의 전략 수립·추진을 주도하며, 예산·일정·품질 등 목표 달성을 책임지고 성과를 보고</t>
        </is>
      </c>
      <c r="F37" s="6" t="inlineStr">
        <is>
          <t>프로젝트 성과 책임</t>
        </is>
      </c>
      <c r="G37" s="6" t="inlineStr">
        <is>
          <t>프로젝트 의사결정, 예산 집행</t>
        </is>
      </c>
      <c r="H37" s="17" t="inlineStr">
        <is>
          <t>3년 이상</t>
        </is>
      </c>
    </row>
    <row r="38" ht="50" customHeight="1">
      <c r="A38" s="33" t="inlineStr">
        <is>
          <t>교육_G3</t>
        </is>
      </c>
      <c r="B38" s="6" t="inlineStr">
        <is>
          <t>교육</t>
        </is>
      </c>
      <c r="C38" s="27" t="inlineStr">
        <is>
          <t>G3</t>
        </is>
      </c>
      <c r="D38" s="15" t="inlineStr">
        <is>
          <t>핵심 실무</t>
        </is>
      </c>
      <c r="E38" s="6" t="inlineStr">
        <is>
          <t>전문 지식과 기술을 활용해 프로젝트 핵심 과업을 기획·수행하며, 산출물 품질과 일정 준수를 책임지는 중추적 역할</t>
        </is>
      </c>
      <c r="F38" s="6" t="inlineStr">
        <is>
          <t>모듈/과업 성과</t>
        </is>
      </c>
      <c r="G38" s="6" t="inlineStr">
        <is>
          <t>모듈 범위 자율</t>
        </is>
      </c>
      <c r="H38" s="17" t="inlineStr">
        <is>
          <t>3년 이상</t>
        </is>
      </c>
    </row>
    <row r="39" ht="50" customHeight="1">
      <c r="A39" s="33" t="inlineStr">
        <is>
          <t>교육_G2</t>
        </is>
      </c>
      <c r="B39" s="6" t="inlineStr">
        <is>
          <t>교육</t>
        </is>
      </c>
      <c r="C39" s="27" t="inlineStr">
        <is>
          <t>G2</t>
        </is>
      </c>
      <c r="D39" s="15" t="inlineStr">
        <is>
          <t>실무</t>
        </is>
      </c>
      <c r="E39" s="6" t="inlineStr">
        <is>
          <t>프로젝트 계획에 따라 독립적·자율적으로 세부 과업을 계획·수행하며, 완성도 있는 산출물을 도출</t>
        </is>
      </c>
      <c r="F39" s="6" t="inlineStr">
        <is>
          <t>개별 과업 성과</t>
        </is>
      </c>
      <c r="G39" s="6" t="inlineStr">
        <is>
          <t>과업 범위 자율</t>
        </is>
      </c>
      <c r="H39" s="17" t="inlineStr">
        <is>
          <t>2년 이상</t>
        </is>
      </c>
    </row>
    <row r="40" ht="50" customHeight="1">
      <c r="A40" s="33" t="inlineStr">
        <is>
          <t>교육_G1</t>
        </is>
      </c>
      <c r="B40" s="6" t="inlineStr">
        <is>
          <t>교육</t>
        </is>
      </c>
      <c r="C40" s="27" t="inlineStr">
        <is>
          <t>G1</t>
        </is>
      </c>
      <c r="D40" s="15" t="inlineStr">
        <is>
          <t>실무 보조</t>
        </is>
      </c>
      <c r="E40" s="6" t="inlineStr">
        <is>
          <t>실무에 대한 이해와 과업 수행에 필요한 기술·지식을 습득하며, 프로젝트 진행 과정에서 기본적인 과업을 보조</t>
        </is>
      </c>
      <c r="F40" s="6" t="inlineStr">
        <is>
          <t>학습/보조 수행도</t>
        </is>
      </c>
      <c r="G40" s="6" t="inlineStr">
        <is>
          <t>제한적 권한</t>
        </is>
      </c>
      <c r="H40" s="17" t="inlineStr">
        <is>
          <t>1년 이상</t>
        </is>
      </c>
    </row>
    <row r="41" ht="50" customHeight="1">
      <c r="A41" s="33" t="inlineStr">
        <is>
          <t>기술지원_G6</t>
        </is>
      </c>
      <c r="B41" s="6" t="inlineStr">
        <is>
          <t>기술지원</t>
        </is>
      </c>
      <c r="C41" s="27" t="inlineStr">
        <is>
          <t>G6</t>
        </is>
      </c>
      <c r="D41" s="15" t="inlineStr">
        <is>
          <t>사업·조직 관리</t>
        </is>
      </c>
      <c r="E41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41" s="6" t="inlineStr">
        <is>
          <t>전사 KPI 달성, 손익 책임</t>
        </is>
      </c>
      <c r="G41" s="6" t="inlineStr">
        <is>
          <t>전사 의사결정, 예산 편성, 인력 승인</t>
        </is>
      </c>
      <c r="H41" s="17" t="inlineStr">
        <is>
          <t>5년 이상</t>
        </is>
      </c>
    </row>
    <row r="42" ht="50" customHeight="1">
      <c r="A42" s="33" t="inlineStr">
        <is>
          <t>기술지원_G5-M</t>
        </is>
      </c>
      <c r="B42" s="6" t="inlineStr">
        <is>
          <t>기술지원</t>
        </is>
      </c>
      <c r="C42" s="27" t="inlineStr">
        <is>
          <t>G5-M</t>
        </is>
      </c>
      <c r="D42" s="15" t="inlineStr">
        <is>
          <t>직무 관리(부서장)</t>
        </is>
      </c>
      <c r="E42" s="6" t="inlineStr">
        <is>
          <t>부서 전략 및 목표를 수립하고, 자원 배분·예산 관리·성과 관리를 통해 조직 성과 달성을 책임지고, 부서 내 의사결정을 주도</t>
        </is>
      </c>
      <c r="F42" s="6" t="inlineStr">
        <is>
          <t>부서 KPI 달성 책임</t>
        </is>
      </c>
      <c r="G42" s="6" t="inlineStr">
        <is>
          <t>부서 의사결정, 예산 배분, 채용/승진 제안</t>
        </is>
      </c>
      <c r="H42" s="17" t="inlineStr">
        <is>
          <t>4년 이상</t>
        </is>
      </c>
    </row>
    <row r="43" ht="50" customHeight="1">
      <c r="A43" s="33" t="inlineStr">
        <is>
          <t>기술지원_G5-S</t>
        </is>
      </c>
      <c r="B43" s="6" t="inlineStr">
        <is>
          <t>기술지원</t>
        </is>
      </c>
      <c r="C43" s="27" t="inlineStr">
        <is>
          <t>G5-S</t>
        </is>
      </c>
      <c r="D43" s="15" t="inlineStr">
        <is>
          <t>실무 스페셜리스트</t>
        </is>
      </c>
      <c r="E43" s="6" t="inlineStr">
        <is>
          <t>직무 최고 수준의 전문성과 현장 경험을 기반으로, 복잡하고 고난이도의 프로젝트를 성공적으로 수행하며 내부 기술 자산화·전파를 주도</t>
        </is>
      </c>
      <c r="F43" s="6" t="inlineStr">
        <is>
          <t>핵심 기술/과제 성과 책임</t>
        </is>
      </c>
      <c r="G43" s="6" t="inlineStr">
        <is>
          <t>전문 영역 의사결정</t>
        </is>
      </c>
      <c r="H43" s="17" t="inlineStr">
        <is>
          <t>4년 이상</t>
        </is>
      </c>
    </row>
    <row r="44" ht="50" customHeight="1">
      <c r="A44" s="33" t="inlineStr">
        <is>
          <t>기술지원_G4</t>
        </is>
      </c>
      <c r="B44" s="6" t="inlineStr">
        <is>
          <t>기술지원</t>
        </is>
      </c>
      <c r="C44" s="27" t="inlineStr">
        <is>
          <t>G4</t>
        </is>
      </c>
      <c r="D44" s="15" t="inlineStr">
        <is>
          <t>실무 책임(PM)</t>
        </is>
      </c>
      <c r="E44" s="6" t="inlineStr">
        <is>
          <t>단위 프로젝트의 전략 수립·추진을 주도하며, 예산·일정·품질 등 목표 달성을 책임지고 성과를 보고</t>
        </is>
      </c>
      <c r="F44" s="6" t="inlineStr">
        <is>
          <t>프로젝트 성과 책임</t>
        </is>
      </c>
      <c r="G44" s="6" t="inlineStr">
        <is>
          <t>프로젝트 의사결정, 예산 집행</t>
        </is>
      </c>
      <c r="H44" s="17" t="inlineStr">
        <is>
          <t>3년 이상</t>
        </is>
      </c>
    </row>
    <row r="45" ht="50" customHeight="1">
      <c r="A45" s="33" t="inlineStr">
        <is>
          <t>기술지원_G3</t>
        </is>
      </c>
      <c r="B45" s="6" t="inlineStr">
        <is>
          <t>기술지원</t>
        </is>
      </c>
      <c r="C45" s="27" t="inlineStr">
        <is>
          <t>G3</t>
        </is>
      </c>
      <c r="D45" s="15" t="inlineStr">
        <is>
          <t>핵심 실무</t>
        </is>
      </c>
      <c r="E45" s="6" t="inlineStr">
        <is>
          <t>전문 지식과 기술을 활용해 프로젝트 핵심 과업을 기획·수행하며, 산출물 품질과 일정 준수를 책임지는 중추적 역할</t>
        </is>
      </c>
      <c r="F45" s="6" t="inlineStr">
        <is>
          <t>모듈/과업 성과</t>
        </is>
      </c>
      <c r="G45" s="6" t="inlineStr">
        <is>
          <t>모듈 범위 자율</t>
        </is>
      </c>
      <c r="H45" s="17" t="inlineStr">
        <is>
          <t>3년 이상</t>
        </is>
      </c>
    </row>
    <row r="46" ht="50" customHeight="1">
      <c r="A46" s="33" t="inlineStr">
        <is>
          <t>기술지원_G2</t>
        </is>
      </c>
      <c r="B46" s="6" t="inlineStr">
        <is>
          <t>기술지원</t>
        </is>
      </c>
      <c r="C46" s="27" t="inlineStr">
        <is>
          <t>G2</t>
        </is>
      </c>
      <c r="D46" s="15" t="inlineStr">
        <is>
          <t>실무</t>
        </is>
      </c>
      <c r="E46" s="6" t="inlineStr">
        <is>
          <t>프로젝트 계획에 따라 독립적·자율적으로 세부 과업을 계획·수행하며, 완성도 있는 산출물을 도출</t>
        </is>
      </c>
      <c r="F46" s="6" t="inlineStr">
        <is>
          <t>개별 과업 성과</t>
        </is>
      </c>
      <c r="G46" s="6" t="inlineStr">
        <is>
          <t>과업 범위 자율</t>
        </is>
      </c>
      <c r="H46" s="17" t="inlineStr">
        <is>
          <t>2년 이상</t>
        </is>
      </c>
    </row>
    <row r="47" ht="50" customHeight="1">
      <c r="A47" s="33" t="inlineStr">
        <is>
          <t>기술지원_G1</t>
        </is>
      </c>
      <c r="B47" s="6" t="inlineStr">
        <is>
          <t>기술지원</t>
        </is>
      </c>
      <c r="C47" s="27" t="inlineStr">
        <is>
          <t>G1</t>
        </is>
      </c>
      <c r="D47" s="15" t="inlineStr">
        <is>
          <t>실무 보조</t>
        </is>
      </c>
      <c r="E47" s="6" t="inlineStr">
        <is>
          <t>실무에 대한 이해와 과업 수행에 필요한 기술·지식을 습득하며, 프로젝트 진행 과정에서 기본적인 과업을 보조</t>
        </is>
      </c>
      <c r="F47" s="6" t="inlineStr">
        <is>
          <t>학습/보조 수행도</t>
        </is>
      </c>
      <c r="G47" s="6" t="inlineStr">
        <is>
          <t>제한적 권한</t>
        </is>
      </c>
      <c r="H47" s="17" t="inlineStr">
        <is>
          <t>1년 이상</t>
        </is>
      </c>
    </row>
    <row r="48" ht="50" customHeight="1">
      <c r="A48" s="33" t="inlineStr">
        <is>
          <t>연구개발(R&amp;D)_G6</t>
        </is>
      </c>
      <c r="B48" s="6" t="inlineStr">
        <is>
          <t>연구개발(R&amp;D)</t>
        </is>
      </c>
      <c r="C48" s="27" t="inlineStr">
        <is>
          <t>G6</t>
        </is>
      </c>
      <c r="D48" s="15" t="inlineStr">
        <is>
          <t>사업·조직 관리</t>
        </is>
      </c>
      <c r="E48" s="6" t="inlineStr">
        <is>
          <t>회사의 비전과 중장기 전략을 총괄하며, 경영·인사·재무·마케팅 등 핵심 기능을 통합 관리하고, 전사 의사결정·대외 협력·리스크 관리를 주도</t>
        </is>
      </c>
      <c r="F48" s="6" t="inlineStr">
        <is>
          <t>전사 KPI 달성, 손익 책임</t>
        </is>
      </c>
      <c r="G48" s="6" t="inlineStr">
        <is>
          <t>전사 의사결정, 예산 편성, 인력 승인</t>
        </is>
      </c>
      <c r="H48" s="17" t="inlineStr">
        <is>
          <t>5년 이상</t>
        </is>
      </c>
    </row>
    <row r="49" ht="50" customHeight="1">
      <c r="A49" s="33" t="inlineStr">
        <is>
          <t>연구개발(R&amp;D)_G5-M</t>
        </is>
      </c>
      <c r="B49" s="6" t="inlineStr">
        <is>
          <t>연구개발(R&amp;D)</t>
        </is>
      </c>
      <c r="C49" s="27" t="inlineStr">
        <is>
          <t>G5-M</t>
        </is>
      </c>
      <c r="D49" s="15" t="inlineStr">
        <is>
          <t>직무 관리(부서장)</t>
        </is>
      </c>
      <c r="E49" s="6" t="inlineStr">
        <is>
          <t>부서 전략 및 목표를 수립하고, 자원 배분·예산 관리·성과 관리를 통해 조직 성과 달성을 책임지고, 부서 내 의사결정을 주도</t>
        </is>
      </c>
      <c r="F49" s="6" t="inlineStr">
        <is>
          <t>부서 KPI 달성 책임</t>
        </is>
      </c>
      <c r="G49" s="6" t="inlineStr">
        <is>
          <t>부서 의사결정, 예산 배분, 채용/승진 제안</t>
        </is>
      </c>
      <c r="H49" s="17" t="inlineStr">
        <is>
          <t>4년 이상</t>
        </is>
      </c>
    </row>
    <row r="50" ht="50" customHeight="1">
      <c r="A50" s="33" t="inlineStr">
        <is>
          <t>연구개발(R&amp;D)_G5-S</t>
        </is>
      </c>
      <c r="B50" s="6" t="inlineStr">
        <is>
          <t>연구개발(R&amp;D)</t>
        </is>
      </c>
      <c r="C50" s="27" t="inlineStr">
        <is>
          <t>G5-S</t>
        </is>
      </c>
      <c r="D50" s="15" t="inlineStr">
        <is>
          <t>실무 스페셜리스트</t>
        </is>
      </c>
      <c r="E50" s="6" t="inlineStr">
        <is>
          <t>직무 최고 수준의 전문성과 현장 경험을 기반으로, 복잡하고 고난이도의 프로젝트를 성공적으로 수행하며 내부 기술 자산화·전파를 주도</t>
        </is>
      </c>
      <c r="F50" s="6" t="inlineStr">
        <is>
          <t>핵심 기술/과제 성과 책임</t>
        </is>
      </c>
      <c r="G50" s="6" t="inlineStr">
        <is>
          <t>전문 영역 의사결정</t>
        </is>
      </c>
      <c r="H50" s="17" t="inlineStr">
        <is>
          <t>4년 이상</t>
        </is>
      </c>
    </row>
    <row r="51" ht="50" customHeight="1">
      <c r="A51" s="33" t="inlineStr">
        <is>
          <t>연구개발(R&amp;D)_G4</t>
        </is>
      </c>
      <c r="B51" s="6" t="inlineStr">
        <is>
          <t>연구개발(R&amp;D)</t>
        </is>
      </c>
      <c r="C51" s="27" t="inlineStr">
        <is>
          <t>G4</t>
        </is>
      </c>
      <c r="D51" s="15" t="inlineStr">
        <is>
          <t>실무 책임(PM)</t>
        </is>
      </c>
      <c r="E51" s="6" t="inlineStr">
        <is>
          <t>단위 프로젝트의 전략 수립·추진을 주도하며, 예산·일정·품질 등 목표 달성을 책임지고 성과를 보고</t>
        </is>
      </c>
      <c r="F51" s="6" t="inlineStr">
        <is>
          <t>프로젝트 성과 책임</t>
        </is>
      </c>
      <c r="G51" s="6" t="inlineStr">
        <is>
          <t>프로젝트 의사결정, 예산 집행</t>
        </is>
      </c>
      <c r="H51" s="17" t="inlineStr">
        <is>
          <t>3년 이상</t>
        </is>
      </c>
    </row>
    <row r="52" ht="50" customHeight="1">
      <c r="A52" s="33" t="inlineStr">
        <is>
          <t>연구개발(R&amp;D)_G3</t>
        </is>
      </c>
      <c r="B52" s="6" t="inlineStr">
        <is>
          <t>연구개발(R&amp;D)</t>
        </is>
      </c>
      <c r="C52" s="27" t="inlineStr">
        <is>
          <t>G3</t>
        </is>
      </c>
      <c r="D52" s="15" t="inlineStr">
        <is>
          <t>핵심 실무</t>
        </is>
      </c>
      <c r="E52" s="6" t="inlineStr">
        <is>
          <t>전문 지식과 기술을 활용해 프로젝트 핵심 과업을 기획·수행하며, 산출물 품질과 일정 준수를 책임지는 중추적 역할</t>
        </is>
      </c>
      <c r="F52" s="6" t="inlineStr">
        <is>
          <t>모듈/과업 성과</t>
        </is>
      </c>
      <c r="G52" s="6" t="inlineStr">
        <is>
          <t>모듈 범위 자율</t>
        </is>
      </c>
      <c r="H52" s="17" t="inlineStr">
        <is>
          <t>3년 이상</t>
        </is>
      </c>
    </row>
    <row r="53" ht="50" customHeight="1">
      <c r="A53" s="33" t="inlineStr">
        <is>
          <t>연구개발(R&amp;D)_G2</t>
        </is>
      </c>
      <c r="B53" s="6" t="inlineStr">
        <is>
          <t>연구개발(R&amp;D)</t>
        </is>
      </c>
      <c r="C53" s="27" t="inlineStr">
        <is>
          <t>G2</t>
        </is>
      </c>
      <c r="D53" s="15" t="inlineStr">
        <is>
          <t>실무</t>
        </is>
      </c>
      <c r="E53" s="6" t="inlineStr">
        <is>
          <t>프로젝트 계획에 따라 독립적·자율적으로 세부 과업을 계획·수행하며, 완성도 있는 산출물을 도출</t>
        </is>
      </c>
      <c r="F53" s="6" t="inlineStr">
        <is>
          <t>개별 과업 성과</t>
        </is>
      </c>
      <c r="G53" s="6" t="inlineStr">
        <is>
          <t>과업 범위 자율</t>
        </is>
      </c>
      <c r="H53" s="17" t="inlineStr">
        <is>
          <t>2년 이상</t>
        </is>
      </c>
    </row>
    <row r="54" ht="50" customHeight="1">
      <c r="A54" s="33" t="inlineStr">
        <is>
          <t>연구개발(R&amp;D)_G1</t>
        </is>
      </c>
      <c r="B54" s="6" t="inlineStr">
        <is>
          <t>연구개발(R&amp;D)</t>
        </is>
      </c>
      <c r="C54" s="27" t="inlineStr">
        <is>
          <t>G1</t>
        </is>
      </c>
      <c r="D54" s="15" t="inlineStr">
        <is>
          <t>실무 보조</t>
        </is>
      </c>
      <c r="E54" s="6" t="inlineStr">
        <is>
          <t>실무에 대한 이해와 과업 수행에 필요한 기술·지식을 습득하며, 프로젝트 진행 과정에서 기본적인 과업을 보조</t>
        </is>
      </c>
      <c r="F54" s="6" t="inlineStr">
        <is>
          <t>학습/보조 수행도</t>
        </is>
      </c>
      <c r="G54" s="6" t="inlineStr">
        <is>
          <t>제한적 권한</t>
        </is>
      </c>
      <c r="H54" s="17" t="inlineStr">
        <is>
          <t>1년 이상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08080"/>
    <outlinePr summaryBelow="1" summaryRight="1"/>
    <pageSetUpPr/>
  </sheetPr>
  <dimension ref="A1:G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22" customWidth="1" min="4" max="4"/>
    <col width="60" customWidth="1" min="5" max="5"/>
    <col width="30" customWidth="1" min="6" max="6"/>
    <col width="32" customWidth="1" min="7" max="7"/>
  </cols>
  <sheetData>
    <row r="1" ht="28" customHeight="1">
      <c r="A1" s="1" t="inlineStr">
        <is>
          <t>직무별 책무·과업 상세 DB (직무 프로파일)</t>
        </is>
      </c>
      <c r="B1" s="18" t="n"/>
      <c r="C1" s="18" t="n"/>
      <c r="D1" s="18" t="n"/>
      <c r="E1" s="18" t="n"/>
      <c r="F1" s="18" t="n"/>
      <c r="G1" s="19" t="n"/>
    </row>
    <row r="2">
      <c r="A2" s="2" t="inlineStr">
        <is>
          <t>각 직무의 전체 책무 카탈로그. 15_직원별책무매핑에서 개인별로 메인 책무를 선택해 평가.</t>
        </is>
      </c>
      <c r="B2" s="18" t="n"/>
      <c r="C2" s="18" t="n"/>
      <c r="D2" s="18" t="n"/>
      <c r="E2" s="18" t="n"/>
      <c r="F2" s="18" t="n"/>
      <c r="G2" s="19" t="n"/>
    </row>
    <row r="5" ht="30" customHeight="1">
      <c r="A5" s="22" t="inlineStr">
        <is>
          <t>No.</t>
        </is>
      </c>
      <c r="B5" s="22" t="inlineStr">
        <is>
          <t>직무</t>
        </is>
      </c>
      <c r="C5" s="22" t="inlineStr">
        <is>
          <t>전문영역</t>
        </is>
      </c>
      <c r="D5" s="22" t="inlineStr">
        <is>
          <t>핵심 책무</t>
        </is>
      </c>
      <c r="E5" s="22" t="inlineStr">
        <is>
          <t>핵심 과업 (평가기준)</t>
        </is>
      </c>
      <c r="F5" s="22" t="inlineStr">
        <is>
          <t>필요 스킬</t>
        </is>
      </c>
      <c r="G5" s="22" t="inlineStr">
        <is>
          <t>조회키(직무_책무)</t>
        </is>
      </c>
    </row>
    <row r="6" ht="28" customHeight="1">
      <c r="A6" s="17" t="n">
        <v>1</v>
      </c>
      <c r="B6" s="15" t="inlineStr">
        <is>
          <t>경영전략기획</t>
        </is>
      </c>
      <c r="C6" s="17" t="inlineStr">
        <is>
          <t>경영기획</t>
        </is>
      </c>
      <c r="D6" s="15" t="inlineStr">
        <is>
          <t>중장기 경영전략 수립</t>
        </is>
      </c>
      <c r="E6" s="6" t="inlineStr">
        <is>
          <t>내외부 경영환경 분석·중장기 전략방향 설정, PEST·SWOT 분석</t>
        </is>
      </c>
      <c r="F6" s="6" t="inlineStr">
        <is>
          <t>전략적 사고력, 데이터 분석력, 기획력</t>
        </is>
      </c>
      <c r="G6" s="8" t="inlineStr">
        <is>
          <t>경영전략기획_중장기 경영전략 수립</t>
        </is>
      </c>
    </row>
    <row r="7" ht="28" customHeight="1">
      <c r="A7" s="17" t="n">
        <v>2</v>
      </c>
      <c r="B7" s="15" t="inlineStr">
        <is>
          <t>경영전략기획</t>
        </is>
      </c>
      <c r="C7" s="17" t="inlineStr">
        <is>
          <t>경영기획</t>
        </is>
      </c>
      <c r="D7" s="15" t="inlineStr">
        <is>
          <t>조직 목표 및 KPI 관리</t>
        </is>
      </c>
      <c r="E7" s="6" t="inlineStr">
        <is>
          <t>연간 사업계획·KPI 체계 수립, 성과지표 정의서 작성·관리</t>
        </is>
      </c>
      <c r="F7" s="6" t="inlineStr">
        <is>
          <t>성과관리, 문제해결, 데이터 시각화</t>
        </is>
      </c>
      <c r="G7" s="8" t="inlineStr">
        <is>
          <t>경영전략기획_조직 목표 및 KPI 관리</t>
        </is>
      </c>
    </row>
    <row r="8" ht="28" customHeight="1">
      <c r="A8" s="17" t="n">
        <v>3</v>
      </c>
      <c r="B8" s="15" t="inlineStr">
        <is>
          <t>경영전략기획</t>
        </is>
      </c>
      <c r="C8" s="17" t="inlineStr">
        <is>
          <t>경영기획</t>
        </is>
      </c>
      <c r="D8" s="15" t="inlineStr">
        <is>
          <t>경영계획 및 예산수립</t>
        </is>
      </c>
      <c r="E8" s="6" t="inlineStr">
        <is>
          <t>연간사업계획·예산 조정관리, 예산편성·전사 예산안</t>
        </is>
      </c>
      <c r="F8" s="6" t="inlineStr">
        <is>
          <t>재무·회계 지식, 엑셀 활용</t>
        </is>
      </c>
      <c r="G8" s="8" t="inlineStr">
        <is>
          <t>경영전략기획_경영계획 및 예산수립</t>
        </is>
      </c>
    </row>
    <row r="9" ht="28" customHeight="1">
      <c r="A9" s="17" t="n">
        <v>4</v>
      </c>
      <c r="B9" s="15" t="inlineStr">
        <is>
          <t>경영전략기획</t>
        </is>
      </c>
      <c r="C9" s="17" t="inlineStr">
        <is>
          <t>경영기획</t>
        </is>
      </c>
      <c r="D9" s="15" t="inlineStr">
        <is>
          <t>경영평가 및 모니터링</t>
        </is>
      </c>
      <c r="E9" s="6" t="inlineStr">
        <is>
          <t>경영실적 점검·성과지표 운영, 부서별 실적측정·편차분석</t>
        </is>
      </c>
      <c r="F9" s="6" t="inlineStr">
        <is>
          <t>분석력, 통계해석, 리포팅</t>
        </is>
      </c>
      <c r="G9" s="8" t="inlineStr">
        <is>
          <t>경영전략기획_경영평가 및 모니터링</t>
        </is>
      </c>
    </row>
    <row r="10" ht="28" customHeight="1">
      <c r="A10" s="17" t="n">
        <v>5</v>
      </c>
      <c r="B10" s="15" t="inlineStr">
        <is>
          <t>경영전략기획</t>
        </is>
      </c>
      <c r="C10" s="17" t="inlineStr">
        <is>
          <t>경영기획</t>
        </is>
      </c>
      <c r="D10" s="15" t="inlineStr">
        <is>
          <t>신규 사업 기획 및 타당성 검토</t>
        </is>
      </c>
      <c r="E10" s="6" t="inlineStr">
        <is>
          <t>신사업 발굴·시장조사, 사업성·타당성 검토</t>
        </is>
      </c>
      <c r="F10" s="6" t="inlineStr">
        <is>
          <t>시장조사, 재무분석, PM</t>
        </is>
      </c>
      <c r="G10" s="8" t="inlineStr">
        <is>
          <t>경영전략기획_신규 사업 기획 및 타당성 검토</t>
        </is>
      </c>
    </row>
    <row r="11" ht="28" customHeight="1">
      <c r="A11" s="17" t="n">
        <v>6</v>
      </c>
      <c r="B11" s="15" t="inlineStr">
        <is>
          <t>경영전략기획</t>
        </is>
      </c>
      <c r="C11" s="17" t="inlineStr">
        <is>
          <t>경영기획</t>
        </is>
      </c>
      <c r="D11" s="15" t="inlineStr">
        <is>
          <t>리스크 성과분석</t>
        </is>
      </c>
      <c r="E11" s="6" t="inlineStr">
        <is>
          <t>경영리스크 파악·대응계획 수립, KRI 관리</t>
        </is>
      </c>
      <c r="F11" s="6" t="inlineStr">
        <is>
          <t>리스크관리, 협상력, 문서작성</t>
        </is>
      </c>
      <c r="G11" s="8" t="inlineStr">
        <is>
          <t>경영전략기획_리스크 성과분석</t>
        </is>
      </c>
    </row>
    <row r="12" ht="28" customHeight="1">
      <c r="A12" s="17" t="n">
        <v>7</v>
      </c>
      <c r="B12" s="15" t="inlineStr">
        <is>
          <t>경영전략기획</t>
        </is>
      </c>
      <c r="C12" s="17" t="inlineStr">
        <is>
          <t>인사총무</t>
        </is>
      </c>
      <c r="D12" s="15" t="inlineStr">
        <is>
          <t>인사관리 및 인력운영</t>
        </is>
      </c>
      <c r="E12" s="6" t="inlineStr">
        <is>
          <t>입·퇴사 인사프로세스, 근태·휴가·인사기록</t>
        </is>
      </c>
      <c r="F12" s="6" t="inlineStr">
        <is>
          <t>HRM 시스템, 문서작성, 개인정보 관리</t>
        </is>
      </c>
      <c r="G12" s="8" t="inlineStr">
        <is>
          <t>경영전략기획_인사관리 및 인력운영</t>
        </is>
      </c>
    </row>
    <row r="13" ht="28" customHeight="1">
      <c r="A13" s="17" t="n">
        <v>8</v>
      </c>
      <c r="B13" s="15" t="inlineStr">
        <is>
          <t>경영전략기획</t>
        </is>
      </c>
      <c r="C13" s="17" t="inlineStr">
        <is>
          <t>인사총무</t>
        </is>
      </c>
      <c r="D13" s="15" t="inlineStr">
        <is>
          <t>급여 및 복리후생</t>
        </is>
      </c>
      <c r="E13" s="6" t="inlineStr">
        <is>
          <t>급여·상여·성과급 정산, 4대보험·연말정산, 복리후생 운영</t>
        </is>
      </c>
      <c r="F13" s="6" t="inlineStr">
        <is>
          <t>급여정산, 세무·보험 이해</t>
        </is>
      </c>
      <c r="G13" s="8" t="inlineStr">
        <is>
          <t>경영전략기획_급여 및 복리후생</t>
        </is>
      </c>
    </row>
    <row r="14" ht="28" customHeight="1">
      <c r="A14" s="17" t="n">
        <v>9</v>
      </c>
      <c r="B14" s="15" t="inlineStr">
        <is>
          <t>경영전략기획</t>
        </is>
      </c>
      <c r="C14" s="17" t="inlineStr">
        <is>
          <t>인사총무</t>
        </is>
      </c>
      <c r="D14" s="15" t="inlineStr">
        <is>
          <t>총무 및 자산관리</t>
        </is>
      </c>
      <c r="E14" s="6" t="inlineStr">
        <is>
          <t>사무실 운영·비품·시설·차량, 보안·출입통제</t>
        </is>
      </c>
      <c r="F14" s="6" t="inlineStr">
        <is>
          <t>행정처리, 회계 이해, 문서관리</t>
        </is>
      </c>
      <c r="G14" s="8" t="inlineStr">
        <is>
          <t>경영전략기획_총무 및 자산관리</t>
        </is>
      </c>
    </row>
    <row r="15" ht="28" customHeight="1">
      <c r="A15" s="17" t="n">
        <v>10</v>
      </c>
      <c r="B15" s="15" t="inlineStr">
        <is>
          <t>경영전략기획</t>
        </is>
      </c>
      <c r="C15" s="17" t="inlineStr">
        <is>
          <t>인사총무</t>
        </is>
      </c>
      <c r="D15" s="15" t="inlineStr">
        <is>
          <t>노무 및 법규</t>
        </is>
      </c>
      <c r="E15" s="6" t="inlineStr">
        <is>
          <t>근로계약서·취업규칙·인사제도, 노동법 준수 모니터링</t>
        </is>
      </c>
      <c r="F15" s="6" t="inlineStr">
        <is>
          <t>근로기준법, 노무 실무</t>
        </is>
      </c>
      <c r="G15" s="8" t="inlineStr">
        <is>
          <t>경영전략기획_노무 및 법규</t>
        </is>
      </c>
    </row>
    <row r="16" ht="28" customHeight="1">
      <c r="A16" s="17" t="n">
        <v>11</v>
      </c>
      <c r="B16" s="15" t="inlineStr">
        <is>
          <t>경영전략기획</t>
        </is>
      </c>
      <c r="C16" s="17" t="inlineStr">
        <is>
          <t>인사총무</t>
        </is>
      </c>
      <c r="D16" s="15" t="inlineStr">
        <is>
          <t>조직문화 및 사내행사</t>
        </is>
      </c>
      <c r="E16" s="6" t="inlineStr">
        <is>
          <t>사내 행사 기획·진행, 내부 커뮤니케이션, 온보딩</t>
        </is>
      </c>
      <c r="F16" s="6" t="inlineStr">
        <is>
          <t>행사기획·운영, 대인 커뮤니케이션</t>
        </is>
      </c>
      <c r="G16" s="8" t="inlineStr">
        <is>
          <t>경영전략기획_조직문화 및 사내행사</t>
        </is>
      </c>
    </row>
    <row r="17" ht="28" customHeight="1">
      <c r="A17" s="17" t="n">
        <v>12</v>
      </c>
      <c r="B17" s="15" t="inlineStr">
        <is>
          <t>경영전략기획</t>
        </is>
      </c>
      <c r="C17" s="17" t="inlineStr">
        <is>
          <t>재무회계</t>
        </is>
      </c>
      <c r="D17" s="15" t="inlineStr">
        <is>
          <t>재무 전략 및 자금 관리</t>
        </is>
      </c>
      <c r="E17" s="6" t="inlineStr">
        <is>
          <t>자금 조달·운영, 재무 리스크 관리, 투자 검토</t>
        </is>
      </c>
      <c r="F17" s="6" t="inlineStr">
        <is>
          <t>재무지식, 분석력</t>
        </is>
      </c>
      <c r="G17" s="8" t="inlineStr">
        <is>
          <t>경영전략기획_재무 전략 및 자금 관리</t>
        </is>
      </c>
    </row>
    <row r="18" ht="28" customHeight="1">
      <c r="A18" s="17" t="n">
        <v>13</v>
      </c>
      <c r="B18" s="15" t="inlineStr">
        <is>
          <t>경영전략기획</t>
        </is>
      </c>
      <c r="C18" s="17" t="inlineStr">
        <is>
          <t>재무회계</t>
        </is>
      </c>
      <c r="D18" s="15" t="inlineStr">
        <is>
          <t>회계 관리 및 결산</t>
        </is>
      </c>
      <c r="E18" s="6" t="inlineStr">
        <is>
          <t>결산·재무제표 작성, 회계 감사 대응, 세무 관리</t>
        </is>
      </c>
      <c r="F18" s="6" t="inlineStr">
        <is>
          <t>회계 지식, 꼼꼼함</t>
        </is>
      </c>
      <c r="G18" s="8" t="inlineStr">
        <is>
          <t>경영전략기획_회계 관리 및 결산</t>
        </is>
      </c>
    </row>
    <row r="19" ht="28" customHeight="1">
      <c r="A19" s="17" t="n">
        <v>14</v>
      </c>
      <c r="B19" s="15" t="inlineStr">
        <is>
          <t>경영전략기획</t>
        </is>
      </c>
      <c r="C19" s="17" t="inlineStr">
        <is>
          <t>재무회계</t>
        </is>
      </c>
      <c r="D19" s="15" t="inlineStr">
        <is>
          <t>결산 및 세무</t>
        </is>
      </c>
      <c r="E19" s="6" t="inlineStr">
        <is>
          <t>월/분기/연 결산·재무제표 작성, 외부감사·세무조정</t>
        </is>
      </c>
      <c r="F19" s="6" t="inlineStr">
        <is>
          <t>재무회계, 세법, ERP 활용</t>
        </is>
      </c>
      <c r="G19" s="8" t="inlineStr">
        <is>
          <t>경영전략기획_결산 및 세무</t>
        </is>
      </c>
    </row>
    <row r="20" ht="28" customHeight="1">
      <c r="A20" s="17" t="n">
        <v>15</v>
      </c>
      <c r="B20" s="15" t="inlineStr">
        <is>
          <t>경영전략기획</t>
        </is>
      </c>
      <c r="C20" s="17" t="inlineStr">
        <is>
          <t>재무회계</t>
        </is>
      </c>
      <c r="D20" s="15" t="inlineStr">
        <is>
          <t>프로젝트 손익 및 원가관리</t>
        </is>
      </c>
      <c r="E20" s="6" t="inlineStr">
        <is>
          <t>매출 관리, 원가 분석, 손익 보고</t>
        </is>
      </c>
      <c r="F20" s="6" t="inlineStr">
        <is>
          <t>원가회계, ERP 활용</t>
        </is>
      </c>
      <c r="G20" s="8" t="inlineStr">
        <is>
          <t>경영전략기획_프로젝트 손익 및 원가관리</t>
        </is>
      </c>
    </row>
    <row r="21" ht="28" customHeight="1">
      <c r="A21" s="17" t="n">
        <v>16</v>
      </c>
      <c r="B21" s="15" t="inlineStr">
        <is>
          <t>경영전략기획</t>
        </is>
      </c>
      <c r="C21" s="17" t="inlineStr">
        <is>
          <t>재무회계</t>
        </is>
      </c>
      <c r="D21" s="15" t="inlineStr">
        <is>
          <t>자금 및 경영지원</t>
        </is>
      </c>
      <c r="E21" s="6" t="inlineStr">
        <is>
          <t>일일/월간 자금계획·집행, 자금현황 보고</t>
        </is>
      </c>
      <c r="F21" s="6" t="inlineStr">
        <is>
          <t>재무관리, 재무분석</t>
        </is>
      </c>
      <c r="G21" s="8" t="inlineStr">
        <is>
          <t>경영전략기획_자금 및 경영지원</t>
        </is>
      </c>
    </row>
    <row r="22" ht="28" customHeight="1">
      <c r="A22" s="17" t="n">
        <v>17</v>
      </c>
      <c r="B22" s="15" t="inlineStr">
        <is>
          <t>경영전략기획</t>
        </is>
      </c>
      <c r="C22" s="17" t="inlineStr">
        <is>
          <t>마케팅</t>
        </is>
      </c>
      <c r="D22" s="15" t="inlineStr">
        <is>
          <t>마케팅 전략 수립</t>
        </is>
      </c>
      <c r="E22" s="6" t="inlineStr">
        <is>
          <t>시장조사·고객분석, 포지셔닝 전략, 마케팅 캠페인 기획</t>
        </is>
      </c>
      <c r="F22" s="6" t="inlineStr">
        <is>
          <t>시장 분석력, 기획력</t>
        </is>
      </c>
      <c r="G22" s="8" t="inlineStr">
        <is>
          <t>경영전략기획_마케팅 전략 수립</t>
        </is>
      </c>
    </row>
    <row r="23" ht="28" customHeight="1">
      <c r="A23" s="17" t="n">
        <v>18</v>
      </c>
      <c r="B23" s="15" t="inlineStr">
        <is>
          <t>경영전략기획</t>
        </is>
      </c>
      <c r="C23" s="17" t="inlineStr">
        <is>
          <t>마케팅</t>
        </is>
      </c>
      <c r="D23" s="15" t="inlineStr">
        <is>
          <t>브랜드 마케팅</t>
        </is>
      </c>
      <c r="E23" s="6" t="inlineStr">
        <is>
          <t>홈페이지·SNS·유튜브 운영, 세미나·전시회 기획</t>
        </is>
      </c>
      <c r="F23" s="6" t="inlineStr">
        <is>
          <t>커뮤니케이션, 브랜드 감각</t>
        </is>
      </c>
      <c r="G23" s="8" t="inlineStr">
        <is>
          <t>경영전략기획_브랜드 마케팅</t>
        </is>
      </c>
    </row>
    <row r="24" ht="28" customHeight="1">
      <c r="A24" s="17" t="n">
        <v>19</v>
      </c>
      <c r="B24" s="15" t="inlineStr">
        <is>
          <t>경영전략기획</t>
        </is>
      </c>
      <c r="C24" s="17" t="inlineStr">
        <is>
          <t>마케팅</t>
        </is>
      </c>
      <c r="D24" s="15" t="inlineStr">
        <is>
          <t>컨텐츠 마케팅</t>
        </is>
      </c>
      <c r="E24" s="6" t="inlineStr">
        <is>
          <t>뉴스레터·영상 콘텐츠 기획·제작, 온라인 성과분석</t>
        </is>
      </c>
      <c r="F24" s="6" t="inlineStr">
        <is>
          <t>디지털 리터러시, 콘텐츠 제작</t>
        </is>
      </c>
      <c r="G24" s="8" t="inlineStr">
        <is>
          <t>경영전략기획_컨텐츠 마케팅</t>
        </is>
      </c>
    </row>
    <row r="25" ht="28" customHeight="1">
      <c r="A25" s="17" t="n">
        <v>20</v>
      </c>
      <c r="B25" s="15" t="inlineStr">
        <is>
          <t>BIM컨설팅</t>
        </is>
      </c>
      <c r="C25" s="17" t="inlineStr">
        <is>
          <t>계획모델링</t>
        </is>
      </c>
      <c r="D25" s="15" t="inlineStr">
        <is>
          <t>BIM 기반 설계 계획수립</t>
        </is>
      </c>
      <c r="E25" s="6" t="inlineStr">
        <is>
          <t>발주처 요구사항 분석·BIM 모델링 표준 적용</t>
        </is>
      </c>
      <c r="F25" s="6" t="inlineStr">
        <is>
          <t>BIM 표준, 설계 이해</t>
        </is>
      </c>
      <c r="G25" s="8" t="inlineStr">
        <is>
          <t>BIM컨설팅_BIM 기반 설계 계획수립</t>
        </is>
      </c>
    </row>
    <row r="26" ht="28" customHeight="1">
      <c r="A26" s="17" t="n">
        <v>21</v>
      </c>
      <c r="B26" s="15" t="inlineStr">
        <is>
          <t>BIM컨설팅</t>
        </is>
      </c>
      <c r="C26" s="17" t="inlineStr">
        <is>
          <t>계획모델링</t>
        </is>
      </c>
      <c r="D26" s="15" t="inlineStr">
        <is>
          <t>설계 모델링 수행</t>
        </is>
      </c>
      <c r="E26" s="6" t="inlineStr">
        <is>
          <t>Revit·ArchiCAD로 건축·구조·MEP 모델링</t>
        </is>
      </c>
      <c r="F26" s="6" t="inlineStr">
        <is>
          <t>BIM 소프트웨어 활용</t>
        </is>
      </c>
      <c r="G26" s="8" t="inlineStr">
        <is>
          <t>BIM컨설팅_설계 모델링 수행</t>
        </is>
      </c>
    </row>
    <row r="27" ht="28" customHeight="1">
      <c r="A27" s="17" t="n">
        <v>22</v>
      </c>
      <c r="B27" s="15" t="inlineStr">
        <is>
          <t>BIM컨설팅</t>
        </is>
      </c>
      <c r="C27" s="17" t="inlineStr">
        <is>
          <t>계획모델링</t>
        </is>
      </c>
      <c r="D27" s="15" t="inlineStr">
        <is>
          <t>품질 검토 및 협업</t>
        </is>
      </c>
      <c r="E27" s="6" t="inlineStr">
        <is>
          <t>모델 정합성 점검·간섭 검토(Clash Detection)</t>
        </is>
      </c>
      <c r="F27" s="6" t="inlineStr">
        <is>
          <t>품질관리, 협업</t>
        </is>
      </c>
      <c r="G27" s="8" t="inlineStr">
        <is>
          <t>BIM컨설팅_품질 검토 및 협업</t>
        </is>
      </c>
    </row>
    <row r="28" ht="28" customHeight="1">
      <c r="A28" s="17" t="n">
        <v>23</v>
      </c>
      <c r="B28" s="15" t="inlineStr">
        <is>
          <t>BIM컨설팅</t>
        </is>
      </c>
      <c r="C28" s="17" t="inlineStr">
        <is>
          <t>드론응용모델링</t>
        </is>
      </c>
      <c r="D28" s="15" t="inlineStr">
        <is>
          <t>드론 측량 및 데이터 수집</t>
        </is>
      </c>
      <c r="E28" s="6" t="inlineStr">
        <is>
          <t>드론 비행계획·현장 측량 데이터 수집</t>
        </is>
      </c>
      <c r="F28" s="6" t="inlineStr">
        <is>
          <t>드론 조종, 측량 지식</t>
        </is>
      </c>
      <c r="G28" s="8" t="inlineStr">
        <is>
          <t>BIM컨설팅_드론 측량 및 데이터 수집</t>
        </is>
      </c>
    </row>
    <row r="29" ht="28" customHeight="1">
      <c r="A29" s="17" t="n">
        <v>24</v>
      </c>
      <c r="B29" s="15" t="inlineStr">
        <is>
          <t>BIM컨설팅</t>
        </is>
      </c>
      <c r="C29" s="17" t="inlineStr">
        <is>
          <t>드론응용모델링</t>
        </is>
      </c>
      <c r="D29" s="15" t="inlineStr">
        <is>
          <t>3D 메쉬·포인트클라우드 생성</t>
        </is>
      </c>
      <c r="E29" s="6" t="inlineStr">
        <is>
          <t>드론 데이터 처리·3D 모델 변환</t>
        </is>
      </c>
      <c r="F29" s="6" t="inlineStr">
        <is>
          <t>포토그래메트리, 데이터 처리</t>
        </is>
      </c>
      <c r="G29" s="8" t="inlineStr">
        <is>
          <t>BIM컨설팅_3D 메쉬·포인트클라우드 생성</t>
        </is>
      </c>
    </row>
    <row r="30" ht="28" customHeight="1">
      <c r="A30" s="17" t="n">
        <v>25</v>
      </c>
      <c r="B30" s="15" t="inlineStr">
        <is>
          <t>BIM컨설팅</t>
        </is>
      </c>
      <c r="C30" s="17" t="inlineStr">
        <is>
          <t>구조모델링</t>
        </is>
      </c>
      <c r="D30" s="15" t="inlineStr">
        <is>
          <t>구조 BIM 모델링</t>
        </is>
      </c>
      <c r="E30" s="6" t="inlineStr">
        <is>
          <t>구조 부재 모델링·강도 검토 연계</t>
        </is>
      </c>
      <c r="F30" s="6" t="inlineStr">
        <is>
          <t>구조 이해, BIM 활용</t>
        </is>
      </c>
      <c r="G30" s="8" t="inlineStr">
        <is>
          <t>BIM컨설팅_구조 BIM 모델링</t>
        </is>
      </c>
    </row>
    <row r="31" ht="28" customHeight="1">
      <c r="A31" s="17" t="n">
        <v>26</v>
      </c>
      <c r="B31" s="15" t="inlineStr">
        <is>
          <t>BIM컨설팅</t>
        </is>
      </c>
      <c r="C31" s="17" t="inlineStr">
        <is>
          <t>상하수도모델링</t>
        </is>
      </c>
      <c r="D31" s="15" t="inlineStr">
        <is>
          <t>상하수도 BIM 모델링</t>
        </is>
      </c>
      <c r="E31" s="6" t="inlineStr">
        <is>
          <t>관로·시설 BIM 구축·기존 인프라 연계</t>
        </is>
      </c>
      <c r="F31" s="6" t="inlineStr">
        <is>
          <t>상하수도 설계 이해</t>
        </is>
      </c>
      <c r="G31" s="8" t="inlineStr">
        <is>
          <t>BIM컨설팅_상하수도 BIM 모델링</t>
        </is>
      </c>
    </row>
    <row r="32" ht="28" customHeight="1">
      <c r="A32" s="17" t="n">
        <v>27</v>
      </c>
      <c r="B32" s="15" t="inlineStr">
        <is>
          <t>BIM컨설팅</t>
        </is>
      </c>
      <c r="C32" s="17" t="inlineStr">
        <is>
          <t>컨설팅</t>
        </is>
      </c>
      <c r="D32" s="15" t="inlineStr">
        <is>
          <t>클라이언트 요구분석</t>
        </is>
      </c>
      <c r="E32" s="6" t="inlineStr">
        <is>
          <t>발주처 미팅·요구사항 정리·범위 정의</t>
        </is>
      </c>
      <c r="F32" s="6" t="inlineStr">
        <is>
          <t>커뮤니케이션, 요건분석</t>
        </is>
      </c>
      <c r="G32" s="8" t="inlineStr">
        <is>
          <t>BIM컨설팅_클라이언트 요구분석</t>
        </is>
      </c>
    </row>
    <row r="33" ht="28" customHeight="1">
      <c r="A33" s="17" t="n">
        <v>28</v>
      </c>
      <c r="B33" s="15" t="inlineStr">
        <is>
          <t>BIM컨설팅</t>
        </is>
      </c>
      <c r="C33" s="17" t="inlineStr">
        <is>
          <t>컨설팅</t>
        </is>
      </c>
      <c r="D33" s="15" t="inlineStr">
        <is>
          <t>BIM 도입 컨설팅</t>
        </is>
      </c>
      <c r="E33" s="6" t="inlineStr">
        <is>
          <t>BIM 로드맵 수립·교육·운영 가이드</t>
        </is>
      </c>
      <c r="F33" s="6" t="inlineStr">
        <is>
          <t>BIM 전략, 컨설팅 스킬</t>
        </is>
      </c>
      <c r="G33" s="8" t="inlineStr">
        <is>
          <t>BIM컨설팅_BIM 도입 컨설팅</t>
        </is>
      </c>
    </row>
    <row r="34" ht="28" customHeight="1">
      <c r="A34" s="17" t="n">
        <v>29</v>
      </c>
      <c r="B34" s="15" t="inlineStr">
        <is>
          <t>BIM컨설팅</t>
        </is>
      </c>
      <c r="C34" s="17" t="inlineStr">
        <is>
          <t>컨설팅</t>
        </is>
      </c>
      <c r="D34" s="15" t="inlineStr">
        <is>
          <t>보고서 작성 및 발표</t>
        </is>
      </c>
      <c r="E34" s="6" t="inlineStr">
        <is>
          <t>컨설팅 결과 보고서·프레젠테이션</t>
        </is>
      </c>
      <c r="F34" s="6" t="inlineStr">
        <is>
          <t>문서작성, 발표력</t>
        </is>
      </c>
      <c r="G34" s="8" t="inlineStr">
        <is>
          <t>BIM컨설팅_보고서 작성 및 발표</t>
        </is>
      </c>
    </row>
    <row r="35" ht="28" customHeight="1">
      <c r="A35" s="17" t="n">
        <v>30</v>
      </c>
      <c r="B35" s="15" t="inlineStr">
        <is>
          <t>BIM컨설팅</t>
        </is>
      </c>
      <c r="C35" s="17" t="inlineStr">
        <is>
          <t>프로젝트관리</t>
        </is>
      </c>
      <c r="D35" s="15" t="inlineStr">
        <is>
          <t>일정 및 자원 관리</t>
        </is>
      </c>
      <c r="E35" s="6" t="inlineStr">
        <is>
          <t>WBS 수립·일정 관리·인력 자원 배분</t>
        </is>
      </c>
      <c r="F35" s="6" t="inlineStr">
        <is>
          <t>PM 기법, 일정관리</t>
        </is>
      </c>
      <c r="G35" s="8" t="inlineStr">
        <is>
          <t>BIM컨설팅_일정 및 자원 관리</t>
        </is>
      </c>
    </row>
    <row r="36" ht="28" customHeight="1">
      <c r="A36" s="17" t="n">
        <v>31</v>
      </c>
      <c r="B36" s="15" t="inlineStr">
        <is>
          <t>BIM컨설팅</t>
        </is>
      </c>
      <c r="C36" s="17" t="inlineStr">
        <is>
          <t>프로젝트관리</t>
        </is>
      </c>
      <c r="D36" s="15" t="inlineStr">
        <is>
          <t>품질 관리</t>
        </is>
      </c>
      <c r="E36" s="6" t="inlineStr">
        <is>
          <t>산출물 품질 기준 정의·검수 프로세스</t>
        </is>
      </c>
      <c r="F36" s="6" t="inlineStr">
        <is>
          <t>품질관리 도구</t>
        </is>
      </c>
      <c r="G36" s="8" t="inlineStr">
        <is>
          <t>BIM컨설팅_품질 관리</t>
        </is>
      </c>
    </row>
    <row r="37" ht="28" customHeight="1">
      <c r="A37" s="17" t="n">
        <v>32</v>
      </c>
      <c r="B37" s="15" t="inlineStr">
        <is>
          <t>BIM컨설팅</t>
        </is>
      </c>
      <c r="C37" s="17" t="inlineStr">
        <is>
          <t>프로젝트관리</t>
        </is>
      </c>
      <c r="D37" s="15" t="inlineStr">
        <is>
          <t>리스크 관리</t>
        </is>
      </c>
      <c r="E37" s="6" t="inlineStr">
        <is>
          <t>프로젝트 리스크 식별·대응계획</t>
        </is>
      </c>
      <c r="F37" s="6" t="inlineStr">
        <is>
          <t>리스크 분석</t>
        </is>
      </c>
      <c r="G37" s="8" t="inlineStr">
        <is>
          <t>BIM컨설팅_리스크 관리</t>
        </is>
      </c>
    </row>
    <row r="38" ht="28" customHeight="1">
      <c r="A38" s="17" t="n">
        <v>33</v>
      </c>
      <c r="B38" s="15" t="inlineStr">
        <is>
          <t>BIM컨설팅</t>
        </is>
      </c>
      <c r="C38" s="17" t="inlineStr">
        <is>
          <t>기술개발</t>
        </is>
      </c>
      <c r="D38" s="15" t="inlineStr">
        <is>
          <t>BIM 라이브러리 구축</t>
        </is>
      </c>
      <c r="E38" s="6" t="inlineStr">
        <is>
          <t>재사용 가능한 BIM 컴포넌트 라이브러리</t>
        </is>
      </c>
      <c r="F38" s="6" t="inlineStr">
        <is>
          <t>BIM 라이브러리 관리</t>
        </is>
      </c>
      <c r="G38" s="8" t="inlineStr">
        <is>
          <t>BIM컨설팅_BIM 라이브러리 구축</t>
        </is>
      </c>
    </row>
    <row r="39" ht="28" customHeight="1">
      <c r="A39" s="17" t="n">
        <v>34</v>
      </c>
      <c r="B39" s="15" t="inlineStr">
        <is>
          <t>BIM컨설팅</t>
        </is>
      </c>
      <c r="C39" s="17" t="inlineStr">
        <is>
          <t>기술개발</t>
        </is>
      </c>
      <c r="D39" s="15" t="inlineStr">
        <is>
          <t>내부 가이드라인 작성</t>
        </is>
      </c>
      <c r="E39" s="6" t="inlineStr">
        <is>
          <t>BIM 작업 표준·매뉴얼 작성</t>
        </is>
      </c>
      <c r="F39" s="6" t="inlineStr">
        <is>
          <t>문서화, 표준화</t>
        </is>
      </c>
      <c r="G39" s="8" t="inlineStr">
        <is>
          <t>BIM컨설팅_내부 가이드라인 작성</t>
        </is>
      </c>
    </row>
    <row r="40" ht="28" customHeight="1">
      <c r="A40" s="17" t="n">
        <v>35</v>
      </c>
      <c r="B40" s="15" t="inlineStr">
        <is>
          <t>프로젝트영업</t>
        </is>
      </c>
      <c r="C40" s="17" t="inlineStr">
        <is>
          <t>영업기획</t>
        </is>
      </c>
      <c r="D40" s="15" t="inlineStr">
        <is>
          <t>시장조사 및 고객 발굴</t>
        </is>
      </c>
      <c r="E40" s="6" t="inlineStr">
        <is>
          <t>잠재고객·발주처 발굴·시장정보 수집</t>
        </is>
      </c>
      <c r="F40" s="6" t="inlineStr">
        <is>
          <t>시장조사, 고객발굴</t>
        </is>
      </c>
      <c r="G40" s="8" t="inlineStr">
        <is>
          <t>프로젝트영업_시장조사 및 고객 발굴</t>
        </is>
      </c>
    </row>
    <row r="41" ht="28" customHeight="1">
      <c r="A41" s="17" t="n">
        <v>36</v>
      </c>
      <c r="B41" s="15" t="inlineStr">
        <is>
          <t>프로젝트영업</t>
        </is>
      </c>
      <c r="C41" s="17" t="inlineStr">
        <is>
          <t>영업기획</t>
        </is>
      </c>
      <c r="D41" s="15" t="inlineStr">
        <is>
          <t>제안 및 입찰 준비</t>
        </is>
      </c>
      <c r="E41" s="6" t="inlineStr">
        <is>
          <t>제안서 작성·입찰서류 준비·견적</t>
        </is>
      </c>
      <c r="F41" s="6" t="inlineStr">
        <is>
          <t>제안서 작성, 견적</t>
        </is>
      </c>
      <c r="G41" s="8" t="inlineStr">
        <is>
          <t>프로젝트영업_제안 및 입찰 준비</t>
        </is>
      </c>
    </row>
    <row r="42" ht="28" customHeight="1">
      <c r="A42" s="17" t="n">
        <v>37</v>
      </c>
      <c r="B42" s="15" t="inlineStr">
        <is>
          <t>프로젝트영업</t>
        </is>
      </c>
      <c r="C42" s="17" t="inlineStr">
        <is>
          <t>영업기획</t>
        </is>
      </c>
      <c r="D42" s="15" t="inlineStr">
        <is>
          <t>계약 협상</t>
        </is>
      </c>
      <c r="E42" s="6" t="inlineStr">
        <is>
          <t>발주처와 계약 조건 협상·체결</t>
        </is>
      </c>
      <c r="F42" s="6" t="inlineStr">
        <is>
          <t>협상, 계약법 이해</t>
        </is>
      </c>
      <c r="G42" s="8" t="inlineStr">
        <is>
          <t>프로젝트영업_계약 협상</t>
        </is>
      </c>
    </row>
    <row r="43" ht="28" customHeight="1">
      <c r="A43" s="17" t="n">
        <v>38</v>
      </c>
      <c r="B43" s="15" t="inlineStr">
        <is>
          <t>프로젝트영업</t>
        </is>
      </c>
      <c r="C43" s="17" t="inlineStr">
        <is>
          <t>고객관리</t>
        </is>
      </c>
      <c r="D43" s="15" t="inlineStr">
        <is>
          <t>기존 고객 관리</t>
        </is>
      </c>
      <c r="E43" s="6" t="inlineStr">
        <is>
          <t>주요 고객 정기 미팅·관계 유지</t>
        </is>
      </c>
      <c r="F43" s="6" t="inlineStr">
        <is>
          <t>고객관리, 커뮤니케이션</t>
        </is>
      </c>
      <c r="G43" s="8" t="inlineStr">
        <is>
          <t>프로젝트영업_기존 고객 관리</t>
        </is>
      </c>
    </row>
    <row r="44" ht="28" customHeight="1">
      <c r="A44" s="17" t="n">
        <v>39</v>
      </c>
      <c r="B44" s="15" t="inlineStr">
        <is>
          <t>프로젝트영업</t>
        </is>
      </c>
      <c r="C44" s="17" t="inlineStr">
        <is>
          <t>고객관리</t>
        </is>
      </c>
      <c r="D44" s="15" t="inlineStr">
        <is>
          <t>신규 고객 개발</t>
        </is>
      </c>
      <c r="E44" s="6" t="inlineStr">
        <is>
          <t>네트워킹·세미나 참여·인맥 확장</t>
        </is>
      </c>
      <c r="F44" s="6" t="inlineStr">
        <is>
          <t>네트워킹, 영업</t>
        </is>
      </c>
      <c r="G44" s="8" t="inlineStr">
        <is>
          <t>프로젝트영업_신규 고객 개발</t>
        </is>
      </c>
    </row>
    <row r="45" ht="28" customHeight="1">
      <c r="A45" s="17" t="n">
        <v>40</v>
      </c>
      <c r="B45" s="15" t="inlineStr">
        <is>
          <t>프로젝트영업</t>
        </is>
      </c>
      <c r="C45" s="17" t="inlineStr">
        <is>
          <t>프로젝트 영업</t>
        </is>
      </c>
      <c r="D45" s="15" t="inlineStr">
        <is>
          <t>프로젝트 발굴 및 수주</t>
        </is>
      </c>
      <c r="E45" s="6" t="inlineStr">
        <is>
          <t>공공·민간 프로젝트 발굴·수주 활동</t>
        </is>
      </c>
      <c r="F45" s="6" t="inlineStr">
        <is>
          <t>프로젝트 이해, 영업</t>
        </is>
      </c>
      <c r="G45" s="8" t="inlineStr">
        <is>
          <t>프로젝트영업_프로젝트 발굴 및 수주</t>
        </is>
      </c>
    </row>
    <row r="46" ht="28" customHeight="1">
      <c r="A46" s="17" t="n">
        <v>41</v>
      </c>
      <c r="B46" s="15" t="inlineStr">
        <is>
          <t>프로젝트영업</t>
        </is>
      </c>
      <c r="C46" s="17" t="inlineStr">
        <is>
          <t>프로젝트 영업</t>
        </is>
      </c>
      <c r="D46" s="15" t="inlineStr">
        <is>
          <t>계약 후 사후관리</t>
        </is>
      </c>
      <c r="E46" s="6" t="inlineStr">
        <is>
          <t>CS·추가 수주·재계약</t>
        </is>
      </c>
      <c r="F46" s="6" t="inlineStr">
        <is>
          <t>고객 관리, 관계 유지</t>
        </is>
      </c>
      <c r="G46" s="8" t="inlineStr">
        <is>
          <t>프로젝트영업_계약 후 사후관리</t>
        </is>
      </c>
    </row>
    <row r="47" ht="28" customHeight="1">
      <c r="A47" s="17" t="n">
        <v>42</v>
      </c>
      <c r="B47" s="15" t="inlineStr">
        <is>
          <t>SW판매영업</t>
        </is>
      </c>
      <c r="C47" s="17" t="inlineStr">
        <is>
          <t>SW 영업</t>
        </is>
      </c>
      <c r="D47" s="15" t="inlineStr">
        <is>
          <t>SW 패키지 영업</t>
        </is>
      </c>
      <c r="E47" s="6" t="inlineStr">
        <is>
          <t>BIM·CAD SW 패키지 판매·시연</t>
        </is>
      </c>
      <c r="F47" s="6" t="inlineStr">
        <is>
          <t>SW 지식, 영업</t>
        </is>
      </c>
      <c r="G47" s="8" t="inlineStr">
        <is>
          <t>SW판매영업_SW 패키지 영업</t>
        </is>
      </c>
    </row>
    <row r="48" ht="28" customHeight="1">
      <c r="A48" s="17" t="n">
        <v>43</v>
      </c>
      <c r="B48" s="15" t="inlineStr">
        <is>
          <t>SW판매영업</t>
        </is>
      </c>
      <c r="C48" s="17" t="inlineStr">
        <is>
          <t>SW 영업</t>
        </is>
      </c>
      <c r="D48" s="15" t="inlineStr">
        <is>
          <t>라이선스 관리·갱신</t>
        </is>
      </c>
      <c r="E48" s="6" t="inlineStr">
        <is>
          <t>라이선스 발급·갱신·관리</t>
        </is>
      </c>
      <c r="F48" s="6" t="inlineStr">
        <is>
          <t>라이선스 관리</t>
        </is>
      </c>
      <c r="G48" s="8" t="inlineStr">
        <is>
          <t>SW판매영업_라이선스 관리·갱신</t>
        </is>
      </c>
    </row>
    <row r="49" ht="28" customHeight="1">
      <c r="A49" s="17" t="n">
        <v>44</v>
      </c>
      <c r="B49" s="15" t="inlineStr">
        <is>
          <t>SW판매영업</t>
        </is>
      </c>
      <c r="C49" s="17" t="inlineStr">
        <is>
          <t>파트너십</t>
        </is>
      </c>
      <c r="D49" s="15" t="inlineStr">
        <is>
          <t>파트너사 관리</t>
        </is>
      </c>
      <c r="E49" s="6" t="inlineStr">
        <is>
          <t>벤더·총판·리셀러 네트워크 관리</t>
        </is>
      </c>
      <c r="F49" s="6" t="inlineStr">
        <is>
          <t>파트너 관리</t>
        </is>
      </c>
      <c r="G49" s="8" t="inlineStr">
        <is>
          <t>SW판매영업_파트너사 관리</t>
        </is>
      </c>
    </row>
    <row r="50" ht="28" customHeight="1">
      <c r="A50" s="17" t="n">
        <v>45</v>
      </c>
      <c r="B50" s="15" t="inlineStr">
        <is>
          <t>SW판매영업</t>
        </is>
      </c>
      <c r="C50" s="17" t="inlineStr">
        <is>
          <t>고객지원</t>
        </is>
      </c>
      <c r="D50" s="15" t="inlineStr">
        <is>
          <t>고객 기술 지원</t>
        </is>
      </c>
      <c r="E50" s="6" t="inlineStr">
        <is>
          <t>도입 컨설팅·초기 셋업 지원</t>
        </is>
      </c>
      <c r="F50" s="6" t="inlineStr">
        <is>
          <t>기술 이해, 고객 응대</t>
        </is>
      </c>
      <c r="G50" s="8" t="inlineStr">
        <is>
          <t>SW판매영업_고객 기술 지원</t>
        </is>
      </c>
    </row>
    <row r="51" ht="28" customHeight="1">
      <c r="A51" s="17" t="n">
        <v>46</v>
      </c>
      <c r="B51" s="15" t="inlineStr">
        <is>
          <t>교육</t>
        </is>
      </c>
      <c r="C51" s="17" t="inlineStr">
        <is>
          <t>교육 기획</t>
        </is>
      </c>
      <c r="D51" s="15" t="inlineStr">
        <is>
          <t>교육과정 기획</t>
        </is>
      </c>
      <c r="E51" s="6" t="inlineStr">
        <is>
          <t>연간 교육과정 설계·커리큘럼 수립</t>
        </is>
      </c>
      <c r="F51" s="6" t="inlineStr">
        <is>
          <t>교육 기획, 커리큘럼 설계</t>
        </is>
      </c>
      <c r="G51" s="8" t="inlineStr">
        <is>
          <t>교육_교육과정 기획</t>
        </is>
      </c>
    </row>
    <row r="52" ht="28" customHeight="1">
      <c r="A52" s="17" t="n">
        <v>47</v>
      </c>
      <c r="B52" s="15" t="inlineStr">
        <is>
          <t>교육</t>
        </is>
      </c>
      <c r="C52" s="17" t="inlineStr">
        <is>
          <t>교육 기획</t>
        </is>
      </c>
      <c r="D52" s="15" t="inlineStr">
        <is>
          <t>교재 개발</t>
        </is>
      </c>
      <c r="E52" s="6" t="inlineStr">
        <is>
          <t>BIM·SW 실습 교재 작성·업데이트</t>
        </is>
      </c>
      <c r="F52" s="6" t="inlineStr">
        <is>
          <t>교재 개발, 문서화</t>
        </is>
      </c>
      <c r="G52" s="8" t="inlineStr">
        <is>
          <t>교육_교재 개발</t>
        </is>
      </c>
    </row>
    <row r="53" ht="28" customHeight="1">
      <c r="A53" s="17" t="n">
        <v>48</v>
      </c>
      <c r="B53" s="15" t="inlineStr">
        <is>
          <t>교육</t>
        </is>
      </c>
      <c r="C53" s="17" t="inlineStr">
        <is>
          <t>교육 운영</t>
        </is>
      </c>
      <c r="D53" s="15" t="inlineStr">
        <is>
          <t>교육 진행 및 강의</t>
        </is>
      </c>
      <c r="E53" s="6" t="inlineStr">
        <is>
          <t>오프라인·온라인 강의 진행</t>
        </is>
      </c>
      <c r="F53" s="6" t="inlineStr">
        <is>
          <t>강의 역량, 발표력</t>
        </is>
      </c>
      <c r="G53" s="8" t="inlineStr">
        <is>
          <t>교육_교육 진행 및 강의</t>
        </is>
      </c>
    </row>
    <row r="54" ht="28" customHeight="1">
      <c r="A54" s="17" t="n">
        <v>49</v>
      </c>
      <c r="B54" s="15" t="inlineStr">
        <is>
          <t>교육</t>
        </is>
      </c>
      <c r="C54" s="17" t="inlineStr">
        <is>
          <t>교육 운영</t>
        </is>
      </c>
      <c r="D54" s="15" t="inlineStr">
        <is>
          <t>실습 지원</t>
        </is>
      </c>
      <c r="E54" s="6" t="inlineStr">
        <is>
          <t>실습 환경 구축·수강생 지원</t>
        </is>
      </c>
      <c r="F54" s="6" t="inlineStr">
        <is>
          <t>실습 지원</t>
        </is>
      </c>
      <c r="G54" s="8" t="inlineStr">
        <is>
          <t>교육_실습 지원</t>
        </is>
      </c>
    </row>
    <row r="55" ht="28" customHeight="1">
      <c r="A55" s="17" t="n">
        <v>50</v>
      </c>
      <c r="B55" s="15" t="inlineStr">
        <is>
          <t>교육</t>
        </is>
      </c>
      <c r="C55" s="17" t="inlineStr">
        <is>
          <t>교육 운영</t>
        </is>
      </c>
      <c r="D55" s="15" t="inlineStr">
        <is>
          <t>평가 및 피드백</t>
        </is>
      </c>
      <c r="E55" s="6" t="inlineStr">
        <is>
          <t>교육 평가·만족도 조사·개선</t>
        </is>
      </c>
      <c r="F55" s="6" t="inlineStr">
        <is>
          <t>평가 설계, 피드백</t>
        </is>
      </c>
      <c r="G55" s="8" t="inlineStr">
        <is>
          <t>교육_평가 및 피드백</t>
        </is>
      </c>
    </row>
    <row r="56" ht="28" customHeight="1">
      <c r="A56" s="17" t="n">
        <v>51</v>
      </c>
      <c r="B56" s="15" t="inlineStr">
        <is>
          <t>교육</t>
        </is>
      </c>
      <c r="C56" s="17" t="inlineStr">
        <is>
          <t>수료/인증</t>
        </is>
      </c>
      <c r="D56" s="15" t="inlineStr">
        <is>
          <t>수료 관리·인증 발급</t>
        </is>
      </c>
      <c r="E56" s="6" t="inlineStr">
        <is>
          <t>수강생 관리·수료증·인증 발급</t>
        </is>
      </c>
      <c r="F56" s="6" t="inlineStr">
        <is>
          <t>행정관리</t>
        </is>
      </c>
      <c r="G56" s="8" t="inlineStr">
        <is>
          <t>교육_수료 관리·인증 발급</t>
        </is>
      </c>
    </row>
    <row r="57" ht="28" customHeight="1">
      <c r="A57" s="17" t="n">
        <v>52</v>
      </c>
      <c r="B57" s="15" t="inlineStr">
        <is>
          <t>기술지원</t>
        </is>
      </c>
      <c r="C57" s="17" t="inlineStr">
        <is>
          <t>기술지원</t>
        </is>
      </c>
      <c r="D57" s="15" t="inlineStr">
        <is>
          <t>고객 문의 대응</t>
        </is>
      </c>
      <c r="E57" s="6" t="inlineStr">
        <is>
          <t>제품 사용·트러블슈팅 대응</t>
        </is>
      </c>
      <c r="F57" s="6" t="inlineStr">
        <is>
          <t>제품 지식, 커뮤니케이션</t>
        </is>
      </c>
      <c r="G57" s="8" t="inlineStr">
        <is>
          <t>기술지원_고객 문의 대응</t>
        </is>
      </c>
    </row>
    <row r="58" ht="28" customHeight="1">
      <c r="A58" s="17" t="n">
        <v>53</v>
      </c>
      <c r="B58" s="15" t="inlineStr">
        <is>
          <t>기술지원</t>
        </is>
      </c>
      <c r="C58" s="17" t="inlineStr">
        <is>
          <t>기술지원</t>
        </is>
      </c>
      <c r="D58" s="15" t="inlineStr">
        <is>
          <t>원격·현장 지원</t>
        </is>
      </c>
      <c r="E58" s="6" t="inlineStr">
        <is>
          <t>원격 접속·현장 방문 지원</t>
        </is>
      </c>
      <c r="F58" s="6" t="inlineStr">
        <is>
          <t>문제해결, 현장 대응</t>
        </is>
      </c>
      <c r="G58" s="8" t="inlineStr">
        <is>
          <t>기술지원_원격·현장 지원</t>
        </is>
      </c>
    </row>
    <row r="59" ht="28" customHeight="1">
      <c r="A59" s="17" t="n">
        <v>54</v>
      </c>
      <c r="B59" s="15" t="inlineStr">
        <is>
          <t>기술지원</t>
        </is>
      </c>
      <c r="C59" s="17" t="inlineStr">
        <is>
          <t>기술지원</t>
        </is>
      </c>
      <c r="D59" s="15" t="inlineStr">
        <is>
          <t>기술 문서 작성</t>
        </is>
      </c>
      <c r="E59" s="6" t="inlineStr">
        <is>
          <t>FAQ·매뉴얼·트러블슈팅 가이드 작성</t>
        </is>
      </c>
      <c r="F59" s="6" t="inlineStr">
        <is>
          <t>문서화</t>
        </is>
      </c>
      <c r="G59" s="8" t="inlineStr">
        <is>
          <t>기술지원_기술 문서 작성</t>
        </is>
      </c>
    </row>
    <row r="60" ht="28" customHeight="1">
      <c r="A60" s="17" t="n">
        <v>55</v>
      </c>
      <c r="B60" s="15" t="inlineStr">
        <is>
          <t>기술지원</t>
        </is>
      </c>
      <c r="C60" s="17" t="inlineStr">
        <is>
          <t>품질개선</t>
        </is>
      </c>
      <c r="D60" s="15" t="inlineStr">
        <is>
          <t>버그 리포트 및 피드백</t>
        </is>
      </c>
      <c r="E60" s="6" t="inlineStr">
        <is>
          <t>개발팀에 버그·개선요청 전달</t>
        </is>
      </c>
      <c r="F60" s="6" t="inlineStr">
        <is>
          <t>커뮤니케이션, 기록</t>
        </is>
      </c>
      <c r="G60" s="8" t="inlineStr">
        <is>
          <t>기술지원_버그 리포트 및 피드백</t>
        </is>
      </c>
    </row>
    <row r="61" ht="28" customHeight="1">
      <c r="A61" s="17" t="n">
        <v>56</v>
      </c>
      <c r="B61" s="15" t="inlineStr">
        <is>
          <t>기술지원</t>
        </is>
      </c>
      <c r="C61" s="17" t="inlineStr">
        <is>
          <t>품질개선</t>
        </is>
      </c>
      <c r="D61" s="15" t="inlineStr">
        <is>
          <t>품질 모니터링</t>
        </is>
      </c>
      <c r="E61" s="6" t="inlineStr">
        <is>
          <t>고객 사용 패턴·문제유형 모니터링</t>
        </is>
      </c>
      <c r="F61" s="6" t="inlineStr">
        <is>
          <t>데이터 분석</t>
        </is>
      </c>
      <c r="G61" s="8" t="inlineStr">
        <is>
          <t>기술지원_품질 모니터링</t>
        </is>
      </c>
    </row>
    <row r="62" ht="28" customHeight="1">
      <c r="A62" s="17" t="n">
        <v>57</v>
      </c>
      <c r="B62" s="15" t="inlineStr">
        <is>
          <t>연구개발(R&amp;D)</t>
        </is>
      </c>
      <c r="C62" s="17" t="inlineStr">
        <is>
          <t>건설SW개발</t>
        </is>
      </c>
      <c r="D62" s="15" t="inlineStr">
        <is>
          <t>요구사항 분석·설계</t>
        </is>
      </c>
      <c r="E62" s="6" t="inlineStr">
        <is>
          <t>고객 요구사항·기능 명세 설계</t>
        </is>
      </c>
      <c r="F62" s="6" t="inlineStr">
        <is>
          <t>요구분석, 시스템 설계</t>
        </is>
      </c>
      <c r="G62" s="8" t="inlineStr">
        <is>
          <t>연구개발(R&amp;D)_요구사항 분석·설계</t>
        </is>
      </c>
    </row>
    <row r="63" ht="28" customHeight="1">
      <c r="A63" s="17" t="n">
        <v>58</v>
      </c>
      <c r="B63" s="15" t="inlineStr">
        <is>
          <t>연구개발(R&amp;D)</t>
        </is>
      </c>
      <c r="C63" s="17" t="inlineStr">
        <is>
          <t>건설SW개발</t>
        </is>
      </c>
      <c r="D63" s="15" t="inlineStr">
        <is>
          <t>코딩 및 단위 테스트</t>
        </is>
      </c>
      <c r="E63" s="6" t="inlineStr">
        <is>
          <t>C#/Python/JavaScript 개발·테스트</t>
        </is>
      </c>
      <c r="F63" s="6" t="inlineStr">
        <is>
          <t>프로그래밍, 테스트</t>
        </is>
      </c>
      <c r="G63" s="8" t="inlineStr">
        <is>
          <t>연구개발(R&amp;D)_코딩 및 단위 테스트</t>
        </is>
      </c>
    </row>
    <row r="64" ht="28" customHeight="1">
      <c r="A64" s="17" t="n">
        <v>59</v>
      </c>
      <c r="B64" s="15" t="inlineStr">
        <is>
          <t>연구개발(R&amp;D)</t>
        </is>
      </c>
      <c r="C64" s="17" t="inlineStr">
        <is>
          <t>건설SW개발</t>
        </is>
      </c>
      <c r="D64" s="15" t="inlineStr">
        <is>
          <t>통합 및 배포</t>
        </is>
      </c>
      <c r="E64" s="6" t="inlineStr">
        <is>
          <t>빌드·배포·CI/CD 운영</t>
        </is>
      </c>
      <c r="F64" s="6" t="inlineStr">
        <is>
          <t>DevOps, 통합</t>
        </is>
      </c>
      <c r="G64" s="8" t="inlineStr">
        <is>
          <t>연구개발(R&amp;D)_통합 및 배포</t>
        </is>
      </c>
    </row>
    <row r="65" ht="28" customHeight="1">
      <c r="A65" s="17" t="n">
        <v>60</v>
      </c>
      <c r="B65" s="15" t="inlineStr">
        <is>
          <t>연구개발(R&amp;D)</t>
        </is>
      </c>
      <c r="C65" s="17" t="inlineStr">
        <is>
          <t>국책연구과제</t>
        </is>
      </c>
      <c r="D65" s="15" t="inlineStr">
        <is>
          <t>과제 기획·제안</t>
        </is>
      </c>
      <c r="E65" s="6" t="inlineStr">
        <is>
          <t>국토부·과기부 연구과제 발굴·제안서</t>
        </is>
      </c>
      <c r="F65" s="6" t="inlineStr">
        <is>
          <t>제안서 작성, R&amp;D 기획</t>
        </is>
      </c>
      <c r="G65" s="8" t="inlineStr">
        <is>
          <t>연구개발(R&amp;D)_과제 기획·제안</t>
        </is>
      </c>
    </row>
    <row r="66" ht="28" customHeight="1">
      <c r="A66" s="17" t="n">
        <v>61</v>
      </c>
      <c r="B66" s="15" t="inlineStr">
        <is>
          <t>연구개발(R&amp;D)</t>
        </is>
      </c>
      <c r="C66" s="17" t="inlineStr">
        <is>
          <t>국책연구과제</t>
        </is>
      </c>
      <c r="D66" s="15" t="inlineStr">
        <is>
          <t>연구 수행 및 보고</t>
        </is>
      </c>
      <c r="E66" s="6" t="inlineStr">
        <is>
          <t>연구 실행·중간보고·최종보고</t>
        </is>
      </c>
      <c r="F66" s="6" t="inlineStr">
        <is>
          <t>연구방법론, 보고서 작성</t>
        </is>
      </c>
      <c r="G66" s="8" t="inlineStr">
        <is>
          <t>연구개발(R&amp;D)_연구 수행 및 보고</t>
        </is>
      </c>
    </row>
    <row r="67" ht="28" customHeight="1">
      <c r="A67" s="17" t="n">
        <v>62</v>
      </c>
      <c r="B67" s="15" t="inlineStr">
        <is>
          <t>연구개발(R&amp;D)</t>
        </is>
      </c>
      <c r="C67" s="17" t="inlineStr">
        <is>
          <t>국책연구과제</t>
        </is>
      </c>
      <c r="D67" s="15" t="inlineStr">
        <is>
          <t>특허·논문</t>
        </is>
      </c>
      <c r="E67" s="6" t="inlineStr">
        <is>
          <t>특허 출원·학술논문 발표</t>
        </is>
      </c>
      <c r="F67" s="6" t="inlineStr">
        <is>
          <t>특허·논문 작성</t>
        </is>
      </c>
      <c r="G67" s="8" t="inlineStr">
        <is>
          <t>연구개발(R&amp;D)_특허·논문</t>
        </is>
      </c>
    </row>
    <row r="68" ht="28" customHeight="1">
      <c r="A68" s="17" t="n">
        <v>63</v>
      </c>
      <c r="B68" s="15" t="inlineStr">
        <is>
          <t>연구개발(R&amp;D)</t>
        </is>
      </c>
      <c r="C68" s="17" t="inlineStr">
        <is>
          <t>품질관리</t>
        </is>
      </c>
      <c r="D68" s="15" t="inlineStr">
        <is>
          <t>코드 리뷰·품질 표준</t>
        </is>
      </c>
      <c r="E68" s="6" t="inlineStr">
        <is>
          <t>코드 리뷰·정적 분석·품질 표준</t>
        </is>
      </c>
      <c r="F68" s="6" t="inlineStr">
        <is>
          <t>코드 품질</t>
        </is>
      </c>
      <c r="G68" s="8" t="inlineStr">
        <is>
          <t>연구개발(R&amp;D)_코드 리뷰·품질 표준</t>
        </is>
      </c>
    </row>
    <row r="69" ht="28" customHeight="1"/>
    <row r="70" ht="28" customHeight="1"/>
    <row r="71" ht="28" customHeight="1"/>
    <row r="72" ht="28" customHeight="1"/>
    <row r="73" ht="28" customHeight="1"/>
    <row r="74" ht="28" customHeight="1"/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AC79"/>
  <sheetViews>
    <sheetView workbookViewId="0">
      <pane xSplit="5" ySplit="3" topLeftCell="F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14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 ht="30" customHeight="1">
      <c r="A1" s="1" t="inlineStr">
        <is>
          <t xml:space="preserve">★ 직원별 메인 책무 매핑 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8" t="n"/>
      <c r="U1" s="18" t="n"/>
      <c r="V1" s="18" t="n"/>
      <c r="W1" s="18" t="n"/>
      <c r="X1" s="18" t="n"/>
      <c r="Y1" s="18" t="n"/>
      <c r="Z1" s="19" t="n"/>
    </row>
    <row r="2" ht="22" customHeight="1">
      <c r="A2" s="2" t="inlineStr">
        <is>
          <t>각 직무 책무 헤더(파란 셀)는 고정. 직원 행의 책무 칸에 O(메인 책무) 또는 X(아님)만 입력. 메인 책무 수는 자동 카운트.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9" t="n"/>
    </row>
    <row r="3" ht="22" customHeight="1">
      <c r="A3" s="74" t="inlineStr">
        <is>
          <t>▶ 사용법: 직원별로 자신의 직무 섹션을 찾아 → 메인 책무 셀에 O, 비메인 셀에 X 입력 → E열(메인 책무 수)이 자동 갱신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9" t="n"/>
    </row>
    <row r="4"/>
    <row r="5" ht="26" customHeight="1">
      <c r="A5" s="54" t="inlineStr">
        <is>
          <t>■ 직무: 경영전략기획  (책무 19개)  |  해당 직원 5명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9" t="n"/>
    </row>
    <row r="6" ht="22" customHeight="1">
      <c r="A6" s="43" t="inlineStr">
        <is>
          <t>No.</t>
        </is>
      </c>
      <c r="B6" s="43" t="inlineStr">
        <is>
          <t>사번</t>
        </is>
      </c>
      <c r="C6" s="43" t="inlineStr">
        <is>
          <t>성명</t>
        </is>
      </c>
      <c r="D6" s="43" t="inlineStr">
        <is>
          <t>부서</t>
        </is>
      </c>
      <c r="E6" s="43" t="inlineStr">
        <is>
          <t>메인 책무 수</t>
        </is>
      </c>
      <c r="F6" s="34" t="inlineStr">
        <is>
          <t>경영기획</t>
        </is>
      </c>
      <c r="G6" s="18" t="n"/>
      <c r="H6" s="18" t="n"/>
      <c r="I6" s="18" t="n"/>
      <c r="J6" s="18" t="n"/>
      <c r="K6" s="19" t="n"/>
      <c r="L6" s="34" t="inlineStr">
        <is>
          <t>인사총무</t>
        </is>
      </c>
      <c r="M6" s="18" t="n"/>
      <c r="N6" s="18" t="n"/>
      <c r="O6" s="18" t="n"/>
      <c r="P6" s="19" t="n"/>
      <c r="Q6" s="34" t="inlineStr">
        <is>
          <t>재무회계</t>
        </is>
      </c>
      <c r="R6" s="18" t="n"/>
      <c r="S6" s="18" t="n"/>
      <c r="T6" s="18" t="n"/>
      <c r="U6" s="19" t="n"/>
      <c r="V6" s="34" t="inlineStr">
        <is>
          <t>마케팅</t>
        </is>
      </c>
      <c r="W6" s="18" t="n"/>
      <c r="X6" s="19" t="n"/>
    </row>
    <row r="7" ht="60" customHeight="1">
      <c r="A7" s="75" t="n"/>
      <c r="B7" s="75" t="n"/>
      <c r="C7" s="75" t="n"/>
      <c r="D7" s="75" t="n"/>
      <c r="E7" s="75" t="n"/>
      <c r="F7" s="59" t="inlineStr">
        <is>
          <t>중장기 경영전략 수립</t>
        </is>
      </c>
      <c r="G7" s="59" t="inlineStr">
        <is>
          <t>조직 목표 및 KPI 관리</t>
        </is>
      </c>
      <c r="H7" s="59" t="inlineStr">
        <is>
          <t>경영계획 및 예산수립</t>
        </is>
      </c>
      <c r="I7" s="59" t="inlineStr">
        <is>
          <t>경영평가 및 모니터링</t>
        </is>
      </c>
      <c r="J7" s="59" t="inlineStr">
        <is>
          <t>신규 사업 기획 및 타당성 검토</t>
        </is>
      </c>
      <c r="K7" s="59" t="inlineStr">
        <is>
          <t>리스크 성과분석</t>
        </is>
      </c>
      <c r="L7" s="59" t="inlineStr">
        <is>
          <t>인사관리 및 인력운영</t>
        </is>
      </c>
      <c r="M7" s="59" t="inlineStr">
        <is>
          <t>급여 및 복리후생</t>
        </is>
      </c>
      <c r="N7" s="59" t="inlineStr">
        <is>
          <t>총무 및 자산관리</t>
        </is>
      </c>
      <c r="O7" s="59" t="inlineStr">
        <is>
          <t>노무 및 법규</t>
        </is>
      </c>
      <c r="P7" s="59" t="inlineStr">
        <is>
          <t>조직문화 및 사내행사</t>
        </is>
      </c>
      <c r="Q7" s="59" t="inlineStr">
        <is>
          <t>재무 전략 및 자금 관리</t>
        </is>
      </c>
      <c r="R7" s="59" t="inlineStr">
        <is>
          <t>회계 관리 및 결산</t>
        </is>
      </c>
      <c r="S7" s="59" t="inlineStr">
        <is>
          <t>결산 및 세무</t>
        </is>
      </c>
      <c r="T7" s="59" t="inlineStr">
        <is>
          <t>프로젝트 손익 및 원가관리</t>
        </is>
      </c>
      <c r="U7" s="59" t="inlineStr">
        <is>
          <t>자금 및 경영지원</t>
        </is>
      </c>
      <c r="V7" s="59" t="inlineStr">
        <is>
          <t>마케팅 전략 수립</t>
        </is>
      </c>
      <c r="W7" s="59" t="inlineStr">
        <is>
          <t>브랜드 마케팅</t>
        </is>
      </c>
      <c r="X7" s="59" t="inlineStr">
        <is>
          <t>컨텐츠 마케팅</t>
        </is>
      </c>
    </row>
    <row r="8" ht="22" customHeight="1">
      <c r="A8" s="17" t="n">
        <v>1</v>
      </c>
      <c r="B8" s="33" t="inlineStr">
        <is>
          <t>BSS-004</t>
        </is>
      </c>
      <c r="C8" s="15" t="inlineStr">
        <is>
          <t>이일곤 (G6)</t>
        </is>
      </c>
      <c r="D8" s="8" t="inlineStr">
        <is>
          <t>경영전략실</t>
        </is>
      </c>
      <c r="E8" s="57">
        <f>COUNTIF(F8:X8,"O")</f>
        <v/>
      </c>
      <c r="F8" s="24" t="inlineStr">
        <is>
          <t>X</t>
        </is>
      </c>
      <c r="G8" s="24" t="inlineStr">
        <is>
          <t>X</t>
        </is>
      </c>
      <c r="H8" s="24" t="inlineStr">
        <is>
          <t>X</t>
        </is>
      </c>
      <c r="I8" s="24" t="inlineStr">
        <is>
          <t>X</t>
        </is>
      </c>
      <c r="J8" s="24" t="inlineStr">
        <is>
          <t>X</t>
        </is>
      </c>
      <c r="K8" s="24" t="inlineStr">
        <is>
          <t>X</t>
        </is>
      </c>
      <c r="L8" s="24" t="inlineStr">
        <is>
          <t>X</t>
        </is>
      </c>
      <c r="M8" s="24" t="inlineStr">
        <is>
          <t>X</t>
        </is>
      </c>
      <c r="N8" s="24" t="inlineStr">
        <is>
          <t>X</t>
        </is>
      </c>
      <c r="O8" s="24" t="inlineStr">
        <is>
          <t>X</t>
        </is>
      </c>
      <c r="P8" s="24" t="inlineStr">
        <is>
          <t>X</t>
        </is>
      </c>
      <c r="Q8" s="24" t="inlineStr">
        <is>
          <t>X</t>
        </is>
      </c>
      <c r="R8" s="24" t="inlineStr">
        <is>
          <t>X</t>
        </is>
      </c>
      <c r="S8" s="24" t="inlineStr">
        <is>
          <t>X</t>
        </is>
      </c>
      <c r="T8" s="24" t="inlineStr">
        <is>
          <t>X</t>
        </is>
      </c>
      <c r="U8" s="24" t="inlineStr">
        <is>
          <t>X</t>
        </is>
      </c>
      <c r="V8" s="24" t="inlineStr">
        <is>
          <t>X</t>
        </is>
      </c>
      <c r="W8" s="24" t="inlineStr">
        <is>
          <t>X</t>
        </is>
      </c>
      <c r="X8" s="24" t="inlineStr">
        <is>
          <t>X</t>
        </is>
      </c>
    </row>
    <row r="9" ht="22" customHeight="1">
      <c r="A9" s="17" t="n">
        <v>2</v>
      </c>
      <c r="B9" s="33" t="inlineStr">
        <is>
          <t>BSS-005</t>
        </is>
      </c>
      <c r="C9" s="15" t="inlineStr">
        <is>
          <t>송헌영 (G6)</t>
        </is>
      </c>
      <c r="D9" s="8" t="inlineStr">
        <is>
          <t>경영전략실</t>
        </is>
      </c>
      <c r="E9" s="57">
        <f>COUNTIF(F9:X9,"O")</f>
        <v/>
      </c>
      <c r="F9" s="24" t="inlineStr">
        <is>
          <t>X</t>
        </is>
      </c>
      <c r="G9" s="24" t="inlineStr">
        <is>
          <t>X</t>
        </is>
      </c>
      <c r="H9" s="24" t="inlineStr">
        <is>
          <t>X</t>
        </is>
      </c>
      <c r="I9" s="24" t="inlineStr">
        <is>
          <t>X</t>
        </is>
      </c>
      <c r="J9" s="24" t="inlineStr">
        <is>
          <t>X</t>
        </is>
      </c>
      <c r="K9" s="24" t="inlineStr">
        <is>
          <t>X</t>
        </is>
      </c>
      <c r="L9" s="24" t="inlineStr">
        <is>
          <t>X</t>
        </is>
      </c>
      <c r="M9" s="24" t="inlineStr">
        <is>
          <t>X</t>
        </is>
      </c>
      <c r="N9" s="24" t="inlineStr">
        <is>
          <t>X</t>
        </is>
      </c>
      <c r="O9" s="24" t="inlineStr">
        <is>
          <t>X</t>
        </is>
      </c>
      <c r="P9" s="24" t="inlineStr">
        <is>
          <t>X</t>
        </is>
      </c>
      <c r="Q9" s="24" t="inlineStr">
        <is>
          <t>X</t>
        </is>
      </c>
      <c r="R9" s="24" t="inlineStr">
        <is>
          <t>X</t>
        </is>
      </c>
      <c r="S9" s="24" t="inlineStr">
        <is>
          <t>X</t>
        </is>
      </c>
      <c r="T9" s="24" t="inlineStr">
        <is>
          <t>X</t>
        </is>
      </c>
      <c r="U9" s="24" t="inlineStr">
        <is>
          <t>X</t>
        </is>
      </c>
      <c r="V9" s="24" t="inlineStr">
        <is>
          <t>X</t>
        </is>
      </c>
      <c r="W9" s="24" t="inlineStr">
        <is>
          <t>X</t>
        </is>
      </c>
      <c r="X9" s="24" t="inlineStr">
        <is>
          <t>X</t>
        </is>
      </c>
    </row>
    <row r="10" ht="22" customHeight="1">
      <c r="A10" s="17" t="n">
        <v>3</v>
      </c>
      <c r="B10" s="33" t="inlineStr">
        <is>
          <t>BSS-006</t>
        </is>
      </c>
      <c r="C10" s="15" t="inlineStr">
        <is>
          <t>이재용 (G6)</t>
        </is>
      </c>
      <c r="D10" s="8" t="inlineStr">
        <is>
          <t>경영전략실</t>
        </is>
      </c>
      <c r="E10" s="57">
        <f>COUNTIF(F10:X10,"O")</f>
        <v/>
      </c>
      <c r="F10" s="24" t="inlineStr">
        <is>
          <t>X</t>
        </is>
      </c>
      <c r="G10" s="24" t="inlineStr">
        <is>
          <t>X</t>
        </is>
      </c>
      <c r="H10" s="24" t="inlineStr">
        <is>
          <t>X</t>
        </is>
      </c>
      <c r="I10" s="24" t="inlineStr">
        <is>
          <t>X</t>
        </is>
      </c>
      <c r="J10" s="24" t="inlineStr">
        <is>
          <t>X</t>
        </is>
      </c>
      <c r="K10" s="24" t="inlineStr">
        <is>
          <t>X</t>
        </is>
      </c>
      <c r="L10" s="24" t="inlineStr">
        <is>
          <t>X</t>
        </is>
      </c>
      <c r="M10" s="24" t="inlineStr">
        <is>
          <t>X</t>
        </is>
      </c>
      <c r="N10" s="24" t="inlineStr">
        <is>
          <t>X</t>
        </is>
      </c>
      <c r="O10" s="24" t="inlineStr">
        <is>
          <t>X</t>
        </is>
      </c>
      <c r="P10" s="24" t="inlineStr">
        <is>
          <t>X</t>
        </is>
      </c>
      <c r="Q10" s="24" t="inlineStr">
        <is>
          <t>X</t>
        </is>
      </c>
      <c r="R10" s="24" t="inlineStr">
        <is>
          <t>X</t>
        </is>
      </c>
      <c r="S10" s="24" t="inlineStr">
        <is>
          <t>X</t>
        </is>
      </c>
      <c r="T10" s="24" t="inlineStr">
        <is>
          <t>X</t>
        </is>
      </c>
      <c r="U10" s="24" t="inlineStr">
        <is>
          <t>X</t>
        </is>
      </c>
      <c r="V10" s="24" t="inlineStr">
        <is>
          <t>X</t>
        </is>
      </c>
      <c r="W10" s="24" t="inlineStr">
        <is>
          <t>X</t>
        </is>
      </c>
      <c r="X10" s="24" t="inlineStr">
        <is>
          <t>X</t>
        </is>
      </c>
    </row>
    <row r="11" ht="22" customHeight="1">
      <c r="A11" s="17" t="n">
        <v>4</v>
      </c>
      <c r="B11" s="33" t="inlineStr">
        <is>
          <t>BSS-012</t>
        </is>
      </c>
      <c r="C11" s="15" t="inlineStr">
        <is>
          <t>하은주 (G5-M)</t>
        </is>
      </c>
      <c r="D11" s="8" t="inlineStr">
        <is>
          <t>마케팅팀</t>
        </is>
      </c>
      <c r="E11" s="57">
        <f>COUNTIF(F11:X11,"O")</f>
        <v/>
      </c>
      <c r="F11" s="24" t="inlineStr">
        <is>
          <t>X</t>
        </is>
      </c>
      <c r="G11" s="24" t="inlineStr">
        <is>
          <t>X</t>
        </is>
      </c>
      <c r="H11" s="24" t="inlineStr">
        <is>
          <t>X</t>
        </is>
      </c>
      <c r="I11" s="24" t="inlineStr">
        <is>
          <t>X</t>
        </is>
      </c>
      <c r="J11" s="24" t="inlineStr">
        <is>
          <t>X</t>
        </is>
      </c>
      <c r="K11" s="24" t="inlineStr">
        <is>
          <t>X</t>
        </is>
      </c>
      <c r="L11" s="24" t="inlineStr">
        <is>
          <t>X</t>
        </is>
      </c>
      <c r="M11" s="24" t="inlineStr">
        <is>
          <t>X</t>
        </is>
      </c>
      <c r="N11" s="24" t="inlineStr">
        <is>
          <t>X</t>
        </is>
      </c>
      <c r="O11" s="24" t="inlineStr">
        <is>
          <t>X</t>
        </is>
      </c>
      <c r="P11" s="24" t="inlineStr">
        <is>
          <t>X</t>
        </is>
      </c>
      <c r="Q11" s="24" t="inlineStr">
        <is>
          <t>X</t>
        </is>
      </c>
      <c r="R11" s="24" t="inlineStr">
        <is>
          <t>X</t>
        </is>
      </c>
      <c r="S11" s="24" t="inlineStr">
        <is>
          <t>X</t>
        </is>
      </c>
      <c r="T11" s="24" t="inlineStr">
        <is>
          <t>X</t>
        </is>
      </c>
      <c r="U11" s="24" t="inlineStr">
        <is>
          <t>X</t>
        </is>
      </c>
      <c r="V11" s="24" t="inlineStr">
        <is>
          <t>X</t>
        </is>
      </c>
      <c r="W11" s="24" t="inlineStr">
        <is>
          <t>X</t>
        </is>
      </c>
      <c r="X11" s="24" t="inlineStr">
        <is>
          <t>X</t>
        </is>
      </c>
    </row>
    <row r="12" ht="22" customHeight="1">
      <c r="A12" s="17" t="n">
        <v>5</v>
      </c>
      <c r="B12" s="33" t="inlineStr">
        <is>
          <t>BSS-026</t>
        </is>
      </c>
      <c r="C12" s="15" t="inlineStr">
        <is>
          <t>박진희 (G1)</t>
        </is>
      </c>
      <c r="D12" s="8" t="inlineStr">
        <is>
          <t>마케팅팀</t>
        </is>
      </c>
      <c r="E12" s="57">
        <f>COUNTIF(F12:X12,"O")</f>
        <v/>
      </c>
      <c r="F12" s="24" t="inlineStr">
        <is>
          <t>X</t>
        </is>
      </c>
      <c r="G12" s="24" t="inlineStr">
        <is>
          <t>X</t>
        </is>
      </c>
      <c r="H12" s="24" t="inlineStr">
        <is>
          <t>X</t>
        </is>
      </c>
      <c r="I12" s="24" t="inlineStr">
        <is>
          <t>X</t>
        </is>
      </c>
      <c r="J12" s="24" t="inlineStr">
        <is>
          <t>X</t>
        </is>
      </c>
      <c r="K12" s="24" t="inlineStr">
        <is>
          <t>X</t>
        </is>
      </c>
      <c r="L12" s="24" t="inlineStr">
        <is>
          <t>X</t>
        </is>
      </c>
      <c r="M12" s="24" t="inlineStr">
        <is>
          <t>X</t>
        </is>
      </c>
      <c r="N12" s="24" t="inlineStr">
        <is>
          <t>X</t>
        </is>
      </c>
      <c r="O12" s="24" t="inlineStr">
        <is>
          <t>X</t>
        </is>
      </c>
      <c r="P12" s="24" t="inlineStr">
        <is>
          <t>X</t>
        </is>
      </c>
      <c r="Q12" s="24" t="inlineStr">
        <is>
          <t>X</t>
        </is>
      </c>
      <c r="R12" s="24" t="inlineStr">
        <is>
          <t>X</t>
        </is>
      </c>
      <c r="S12" s="24" t="inlineStr">
        <is>
          <t>X</t>
        </is>
      </c>
      <c r="T12" s="24" t="inlineStr">
        <is>
          <t>X</t>
        </is>
      </c>
      <c r="U12" s="24" t="inlineStr">
        <is>
          <t>X</t>
        </is>
      </c>
      <c r="V12" s="24" t="inlineStr">
        <is>
          <t>X</t>
        </is>
      </c>
      <c r="W12" s="24" t="inlineStr">
        <is>
          <t>X</t>
        </is>
      </c>
      <c r="X12" s="24" t="inlineStr">
        <is>
          <t>X</t>
        </is>
      </c>
    </row>
    <row r="13"/>
    <row r="14"/>
    <row r="15" ht="26" customHeight="1">
      <c r="A15" s="54" t="inlineStr">
        <is>
          <t>■ 직무: 프로젝트영업  (책무 7개)  |  해당 직원 1명</t>
        </is>
      </c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9" t="n"/>
    </row>
    <row r="16" ht="22" customHeight="1">
      <c r="A16" s="43" t="inlineStr">
        <is>
          <t>No.</t>
        </is>
      </c>
      <c r="B16" s="43" t="inlineStr">
        <is>
          <t>사번</t>
        </is>
      </c>
      <c r="C16" s="43" t="inlineStr">
        <is>
          <t>성명</t>
        </is>
      </c>
      <c r="D16" s="43" t="inlineStr">
        <is>
          <t>부서</t>
        </is>
      </c>
      <c r="E16" s="43" t="inlineStr">
        <is>
          <t>메인 책무 수</t>
        </is>
      </c>
      <c r="F16" s="34" t="inlineStr">
        <is>
          <t>영업기획</t>
        </is>
      </c>
      <c r="G16" s="18" t="n"/>
      <c r="H16" s="19" t="n"/>
      <c r="I16" s="34" t="inlineStr">
        <is>
          <t>고객관리</t>
        </is>
      </c>
      <c r="J16" s="19" t="n"/>
      <c r="K16" s="34" t="inlineStr">
        <is>
          <t>프로젝트 영업</t>
        </is>
      </c>
      <c r="L16" s="19" t="n"/>
    </row>
    <row r="17" ht="60" customHeight="1">
      <c r="A17" s="75" t="n"/>
      <c r="B17" s="75" t="n"/>
      <c r="C17" s="75" t="n"/>
      <c r="D17" s="75" t="n"/>
      <c r="E17" s="75" t="n"/>
      <c r="F17" s="59" t="inlineStr">
        <is>
          <t>시장조사 및 고객 발굴</t>
        </is>
      </c>
      <c r="G17" s="59" t="inlineStr">
        <is>
          <t>제안 및 입찰 준비</t>
        </is>
      </c>
      <c r="H17" s="59" t="inlineStr">
        <is>
          <t>계약 협상</t>
        </is>
      </c>
      <c r="I17" s="59" t="inlineStr">
        <is>
          <t>기존 고객 관리</t>
        </is>
      </c>
      <c r="J17" s="59" t="inlineStr">
        <is>
          <t>신규 고객 개발</t>
        </is>
      </c>
      <c r="K17" s="59" t="inlineStr">
        <is>
          <t>프로젝트 발굴 및 수주</t>
        </is>
      </c>
      <c r="L17" s="59" t="inlineStr">
        <is>
          <t>계약 후 사후관리</t>
        </is>
      </c>
    </row>
    <row r="18" ht="22" customHeight="1">
      <c r="A18" s="17" t="n">
        <v>1</v>
      </c>
      <c r="B18" s="33" t="inlineStr">
        <is>
          <t>BSS-001</t>
        </is>
      </c>
      <c r="C18" s="15" t="inlineStr">
        <is>
          <t>이화형 (G6)</t>
        </is>
      </c>
      <c r="D18" s="8" t="inlineStr">
        <is>
          <t>스마트사업부</t>
        </is>
      </c>
      <c r="E18" s="57">
        <f>COUNTIF(F18:L18,"O")</f>
        <v/>
      </c>
      <c r="F18" s="24" t="inlineStr">
        <is>
          <t>X</t>
        </is>
      </c>
      <c r="G18" s="24" t="inlineStr">
        <is>
          <t>X</t>
        </is>
      </c>
      <c r="H18" s="24" t="inlineStr">
        <is>
          <t>X</t>
        </is>
      </c>
      <c r="I18" s="24" t="inlineStr">
        <is>
          <t>X</t>
        </is>
      </c>
      <c r="J18" s="24" t="inlineStr">
        <is>
          <t>X</t>
        </is>
      </c>
      <c r="K18" s="24" t="inlineStr">
        <is>
          <t>X</t>
        </is>
      </c>
      <c r="L18" s="24" t="inlineStr">
        <is>
          <t>X</t>
        </is>
      </c>
    </row>
    <row r="19"/>
    <row r="20"/>
    <row r="21" ht="26" customHeight="1">
      <c r="A21" s="54" t="inlineStr">
        <is>
          <t>■ 직무: SW판매영업  (책무 4개)  |  해당 직원 0명</t>
        </is>
      </c>
      <c r="B21" s="18" t="n"/>
      <c r="C21" s="18" t="n"/>
      <c r="D21" s="18" t="n"/>
      <c r="E21" s="18" t="n"/>
      <c r="F21" s="18" t="n"/>
      <c r="G21" s="18" t="n"/>
      <c r="H21" s="18" t="n"/>
      <c r="I21" s="19" t="n"/>
    </row>
    <row r="22" ht="22" customHeight="1">
      <c r="A22" s="43" t="inlineStr">
        <is>
          <t>No.</t>
        </is>
      </c>
      <c r="B22" s="43" t="inlineStr">
        <is>
          <t>사번</t>
        </is>
      </c>
      <c r="C22" s="43" t="inlineStr">
        <is>
          <t>성명</t>
        </is>
      </c>
      <c r="D22" s="43" t="inlineStr">
        <is>
          <t>부서</t>
        </is>
      </c>
      <c r="E22" s="43" t="inlineStr">
        <is>
          <t>메인 책무 수</t>
        </is>
      </c>
      <c r="F22" s="34" t="inlineStr">
        <is>
          <t>SW 영업</t>
        </is>
      </c>
      <c r="G22" s="19" t="n"/>
      <c r="H22" s="34" t="inlineStr">
        <is>
          <t>파트너십</t>
        </is>
      </c>
      <c r="I22" s="34" t="inlineStr">
        <is>
          <t>고객지원</t>
        </is>
      </c>
    </row>
    <row r="23" ht="60" customHeight="1">
      <c r="A23" s="75" t="n"/>
      <c r="B23" s="75" t="n"/>
      <c r="C23" s="75" t="n"/>
      <c r="D23" s="75" t="n"/>
      <c r="E23" s="75" t="n"/>
      <c r="F23" s="59" t="inlineStr">
        <is>
          <t>SW 패키지 영업</t>
        </is>
      </c>
      <c r="G23" s="59" t="inlineStr">
        <is>
          <t>라이선스 관리·갱신</t>
        </is>
      </c>
      <c r="H23" s="59" t="inlineStr">
        <is>
          <t>파트너사 관리</t>
        </is>
      </c>
      <c r="I23" s="59" t="inlineStr">
        <is>
          <t>고객 기술 지원</t>
        </is>
      </c>
    </row>
    <row r="24"/>
    <row r="25"/>
    <row r="26" ht="26" customHeight="1">
      <c r="A26" s="54" t="inlineStr">
        <is>
          <t>■ 직무: BIM컨설팅  (책무 15개)  |  해당 직원 21명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9" t="n"/>
    </row>
    <row r="27" ht="22" customHeight="1">
      <c r="A27" s="43" t="inlineStr">
        <is>
          <t>No.</t>
        </is>
      </c>
      <c r="B27" s="43" t="inlineStr">
        <is>
          <t>사번</t>
        </is>
      </c>
      <c r="C27" s="43" t="inlineStr">
        <is>
          <t>성명</t>
        </is>
      </c>
      <c r="D27" s="43" t="inlineStr">
        <is>
          <t>부서</t>
        </is>
      </c>
      <c r="E27" s="43" t="inlineStr">
        <is>
          <t>메인 책무 수</t>
        </is>
      </c>
      <c r="F27" s="34" t="inlineStr">
        <is>
          <t>계획모델링</t>
        </is>
      </c>
      <c r="G27" s="18" t="n"/>
      <c r="H27" s="19" t="n"/>
      <c r="I27" s="34" t="inlineStr">
        <is>
          <t>드론응용모델링</t>
        </is>
      </c>
      <c r="J27" s="19" t="n"/>
      <c r="K27" s="34" t="inlineStr">
        <is>
          <t>구조모델링</t>
        </is>
      </c>
      <c r="L27" s="34" t="inlineStr">
        <is>
          <t>상하수도모델링</t>
        </is>
      </c>
      <c r="M27" s="34" t="inlineStr">
        <is>
          <t>컨설팅</t>
        </is>
      </c>
      <c r="N27" s="18" t="n"/>
      <c r="O27" s="19" t="n"/>
      <c r="P27" s="34" t="inlineStr">
        <is>
          <t>프로젝트관리</t>
        </is>
      </c>
      <c r="Q27" s="18" t="n"/>
      <c r="R27" s="19" t="n"/>
      <c r="S27" s="34" t="inlineStr">
        <is>
          <t>기술개발</t>
        </is>
      </c>
      <c r="T27" s="19" t="n"/>
    </row>
    <row r="28" ht="60" customHeight="1">
      <c r="A28" s="75" t="n"/>
      <c r="B28" s="75" t="n"/>
      <c r="C28" s="75" t="n"/>
      <c r="D28" s="75" t="n"/>
      <c r="E28" s="75" t="n"/>
      <c r="F28" s="59" t="inlineStr">
        <is>
          <t>BIM 기반 설계 계획수립</t>
        </is>
      </c>
      <c r="G28" s="59" t="inlineStr">
        <is>
          <t>설계 모델링 수행</t>
        </is>
      </c>
      <c r="H28" s="59" t="inlineStr">
        <is>
          <t>품질 검토 및 협업</t>
        </is>
      </c>
      <c r="I28" s="59" t="inlineStr">
        <is>
          <t>드론 측량 및 데이터 수집</t>
        </is>
      </c>
      <c r="J28" s="59" t="inlineStr">
        <is>
          <t>3D 메쉬·포인트클라우드 생성</t>
        </is>
      </c>
      <c r="K28" s="59" t="inlineStr">
        <is>
          <t>구조 BIM 모델링</t>
        </is>
      </c>
      <c r="L28" s="59" t="inlineStr">
        <is>
          <t>상하수도 BIM 모델링</t>
        </is>
      </c>
      <c r="M28" s="59" t="inlineStr">
        <is>
          <t>클라이언트 요구분석</t>
        </is>
      </c>
      <c r="N28" s="59" t="inlineStr">
        <is>
          <t>BIM 도입 컨설팅</t>
        </is>
      </c>
      <c r="O28" s="59" t="inlineStr">
        <is>
          <t>보고서 작성 및 발표</t>
        </is>
      </c>
      <c r="P28" s="59" t="inlineStr">
        <is>
          <t>일정 및 자원 관리</t>
        </is>
      </c>
      <c r="Q28" s="59" t="inlineStr">
        <is>
          <t>품질 관리</t>
        </is>
      </c>
      <c r="R28" s="59" t="inlineStr">
        <is>
          <t>리스크 관리</t>
        </is>
      </c>
      <c r="S28" s="59" t="inlineStr">
        <is>
          <t>BIM 라이브러리 구축</t>
        </is>
      </c>
      <c r="T28" s="59" t="inlineStr">
        <is>
          <t>내부 가이드라인 작성</t>
        </is>
      </c>
    </row>
    <row r="29" ht="22" customHeight="1">
      <c r="A29" s="17" t="n">
        <v>1</v>
      </c>
      <c r="B29" s="33" t="inlineStr">
        <is>
          <t>BSS-003</t>
        </is>
      </c>
      <c r="C29" s="15" t="inlineStr">
        <is>
          <t>김현민 (G6)</t>
        </is>
      </c>
      <c r="D29" s="8" t="inlineStr">
        <is>
          <t>컨설팅본부</t>
        </is>
      </c>
      <c r="E29" s="57">
        <f>COUNTIF(F29:T29,"O")</f>
        <v/>
      </c>
      <c r="F29" s="24" t="inlineStr">
        <is>
          <t>X</t>
        </is>
      </c>
      <c r="G29" s="24" t="inlineStr">
        <is>
          <t>X</t>
        </is>
      </c>
      <c r="H29" s="24" t="inlineStr">
        <is>
          <t>X</t>
        </is>
      </c>
      <c r="I29" s="24" t="inlineStr">
        <is>
          <t>X</t>
        </is>
      </c>
      <c r="J29" s="24" t="inlineStr">
        <is>
          <t>X</t>
        </is>
      </c>
      <c r="K29" s="24" t="inlineStr">
        <is>
          <t>X</t>
        </is>
      </c>
      <c r="L29" s="24" t="inlineStr">
        <is>
          <t>X</t>
        </is>
      </c>
      <c r="M29" s="24" t="inlineStr">
        <is>
          <t>X</t>
        </is>
      </c>
      <c r="N29" s="24" t="inlineStr">
        <is>
          <t>X</t>
        </is>
      </c>
      <c r="O29" s="24" t="inlineStr">
        <is>
          <t>X</t>
        </is>
      </c>
      <c r="P29" s="24" t="inlineStr">
        <is>
          <t>X</t>
        </is>
      </c>
      <c r="Q29" s="24" t="inlineStr">
        <is>
          <t>X</t>
        </is>
      </c>
      <c r="R29" s="24" t="inlineStr">
        <is>
          <t>X</t>
        </is>
      </c>
      <c r="S29" s="24" t="inlineStr">
        <is>
          <t>X</t>
        </is>
      </c>
      <c r="T29" s="24" t="inlineStr">
        <is>
          <t>X</t>
        </is>
      </c>
    </row>
    <row r="30" ht="22" customHeight="1">
      <c r="A30" s="17" t="n">
        <v>2</v>
      </c>
      <c r="B30" s="33" t="inlineStr">
        <is>
          <t>BSS-009</t>
        </is>
      </c>
      <c r="C30" s="15" t="inlineStr">
        <is>
          <t>박남식 (G5-M)</t>
        </is>
      </c>
      <c r="D30" s="8" t="inlineStr">
        <is>
          <t>컨설팅본부</t>
        </is>
      </c>
      <c r="E30" s="57">
        <f>COUNTIF(F30:T30,"O")</f>
        <v/>
      </c>
      <c r="F30" s="24" t="inlineStr">
        <is>
          <t>X</t>
        </is>
      </c>
      <c r="G30" s="24" t="inlineStr">
        <is>
          <t>X</t>
        </is>
      </c>
      <c r="H30" s="24" t="inlineStr">
        <is>
          <t>X</t>
        </is>
      </c>
      <c r="I30" s="24" t="inlineStr">
        <is>
          <t>X</t>
        </is>
      </c>
      <c r="J30" s="24" t="inlineStr">
        <is>
          <t>X</t>
        </is>
      </c>
      <c r="K30" s="24" t="inlineStr">
        <is>
          <t>X</t>
        </is>
      </c>
      <c r="L30" s="24" t="inlineStr">
        <is>
          <t>X</t>
        </is>
      </c>
      <c r="M30" s="24" t="inlineStr">
        <is>
          <t>X</t>
        </is>
      </c>
      <c r="N30" s="24" t="inlineStr">
        <is>
          <t>X</t>
        </is>
      </c>
      <c r="O30" s="24" t="inlineStr">
        <is>
          <t>X</t>
        </is>
      </c>
      <c r="P30" s="24" t="inlineStr">
        <is>
          <t>X</t>
        </is>
      </c>
      <c r="Q30" s="24" t="inlineStr">
        <is>
          <t>X</t>
        </is>
      </c>
      <c r="R30" s="24" t="inlineStr">
        <is>
          <t>X</t>
        </is>
      </c>
      <c r="S30" s="24" t="inlineStr">
        <is>
          <t>X</t>
        </is>
      </c>
      <c r="T30" s="24" t="inlineStr">
        <is>
          <t>X</t>
        </is>
      </c>
    </row>
    <row r="31" ht="22" customHeight="1">
      <c r="A31" s="17" t="n">
        <v>3</v>
      </c>
      <c r="B31" s="33" t="inlineStr">
        <is>
          <t>BSS-010</t>
        </is>
      </c>
      <c r="C31" s="15" t="inlineStr">
        <is>
          <t>신재민 (G5-S)</t>
        </is>
      </c>
      <c r="D31" s="8" t="inlineStr">
        <is>
          <t>컨설팅본부</t>
        </is>
      </c>
      <c r="E31" s="57">
        <f>COUNTIF(F31:T31,"O")</f>
        <v/>
      </c>
      <c r="F31" s="24" t="inlineStr">
        <is>
          <t>X</t>
        </is>
      </c>
      <c r="G31" s="24" t="inlineStr">
        <is>
          <t>X</t>
        </is>
      </c>
      <c r="H31" s="24" t="inlineStr">
        <is>
          <t>X</t>
        </is>
      </c>
      <c r="I31" s="24" t="inlineStr">
        <is>
          <t>X</t>
        </is>
      </c>
      <c r="J31" s="24" t="inlineStr">
        <is>
          <t>X</t>
        </is>
      </c>
      <c r="K31" s="24" t="inlineStr">
        <is>
          <t>X</t>
        </is>
      </c>
      <c r="L31" s="24" t="inlineStr">
        <is>
          <t>X</t>
        </is>
      </c>
      <c r="M31" s="24" t="inlineStr">
        <is>
          <t>X</t>
        </is>
      </c>
      <c r="N31" s="24" t="inlineStr">
        <is>
          <t>X</t>
        </is>
      </c>
      <c r="O31" s="24" t="inlineStr">
        <is>
          <t>X</t>
        </is>
      </c>
      <c r="P31" s="24" t="inlineStr">
        <is>
          <t>X</t>
        </is>
      </c>
      <c r="Q31" s="24" t="inlineStr">
        <is>
          <t>X</t>
        </is>
      </c>
      <c r="R31" s="24" t="inlineStr">
        <is>
          <t>X</t>
        </is>
      </c>
      <c r="S31" s="24" t="inlineStr">
        <is>
          <t>X</t>
        </is>
      </c>
      <c r="T31" s="24" t="inlineStr">
        <is>
          <t>X</t>
        </is>
      </c>
    </row>
    <row r="32" ht="22" customHeight="1">
      <c r="A32" s="17" t="n">
        <v>4</v>
      </c>
      <c r="B32" s="33" t="inlineStr">
        <is>
          <t>BSS-011</t>
        </is>
      </c>
      <c r="C32" s="15" t="inlineStr">
        <is>
          <t>마장엽 (G5-S)</t>
        </is>
      </c>
      <c r="D32" s="8" t="inlineStr">
        <is>
          <t>컨설팅본부</t>
        </is>
      </c>
      <c r="E32" s="57">
        <f>COUNTIF(F32:T32,"O")</f>
        <v/>
      </c>
      <c r="F32" s="24" t="inlineStr">
        <is>
          <t>X</t>
        </is>
      </c>
      <c r="G32" s="24" t="inlineStr">
        <is>
          <t>X</t>
        </is>
      </c>
      <c r="H32" s="24" t="inlineStr">
        <is>
          <t>X</t>
        </is>
      </c>
      <c r="I32" s="24" t="inlineStr">
        <is>
          <t>X</t>
        </is>
      </c>
      <c r="J32" s="24" t="inlineStr">
        <is>
          <t>X</t>
        </is>
      </c>
      <c r="K32" s="24" t="inlineStr">
        <is>
          <t>X</t>
        </is>
      </c>
      <c r="L32" s="24" t="inlineStr">
        <is>
          <t>X</t>
        </is>
      </c>
      <c r="M32" s="24" t="inlineStr">
        <is>
          <t>X</t>
        </is>
      </c>
      <c r="N32" s="24" t="inlineStr">
        <is>
          <t>X</t>
        </is>
      </c>
      <c r="O32" s="24" t="inlineStr">
        <is>
          <t>X</t>
        </is>
      </c>
      <c r="P32" s="24" t="inlineStr">
        <is>
          <t>X</t>
        </is>
      </c>
      <c r="Q32" s="24" t="inlineStr">
        <is>
          <t>X</t>
        </is>
      </c>
      <c r="R32" s="24" t="inlineStr">
        <is>
          <t>X</t>
        </is>
      </c>
      <c r="S32" s="24" t="inlineStr">
        <is>
          <t>X</t>
        </is>
      </c>
      <c r="T32" s="24" t="inlineStr">
        <is>
          <t>X</t>
        </is>
      </c>
    </row>
    <row r="33" ht="22" customHeight="1">
      <c r="A33" s="17" t="n">
        <v>5</v>
      </c>
      <c r="B33" s="33" t="inlineStr">
        <is>
          <t>BSS-013</t>
        </is>
      </c>
      <c r="C33" s="15" t="inlineStr">
        <is>
          <t>홍사훈 (G5-S)</t>
        </is>
      </c>
      <c r="D33" s="8" t="inlineStr">
        <is>
          <t>컨설팅본부</t>
        </is>
      </c>
      <c r="E33" s="57">
        <f>COUNTIF(F33:T33,"O")</f>
        <v/>
      </c>
      <c r="F33" s="24" t="inlineStr">
        <is>
          <t>X</t>
        </is>
      </c>
      <c r="G33" s="24" t="inlineStr">
        <is>
          <t>X</t>
        </is>
      </c>
      <c r="H33" s="24" t="inlineStr">
        <is>
          <t>X</t>
        </is>
      </c>
      <c r="I33" s="24" t="inlineStr">
        <is>
          <t>X</t>
        </is>
      </c>
      <c r="J33" s="24" t="inlineStr">
        <is>
          <t>X</t>
        </is>
      </c>
      <c r="K33" s="24" t="inlineStr">
        <is>
          <t>X</t>
        </is>
      </c>
      <c r="L33" s="24" t="inlineStr">
        <is>
          <t>X</t>
        </is>
      </c>
      <c r="M33" s="24" t="inlineStr">
        <is>
          <t>X</t>
        </is>
      </c>
      <c r="N33" s="24" t="inlineStr">
        <is>
          <t>X</t>
        </is>
      </c>
      <c r="O33" s="24" t="inlineStr">
        <is>
          <t>X</t>
        </is>
      </c>
      <c r="P33" s="24" t="inlineStr">
        <is>
          <t>X</t>
        </is>
      </c>
      <c r="Q33" s="24" t="inlineStr">
        <is>
          <t>X</t>
        </is>
      </c>
      <c r="R33" s="24" t="inlineStr">
        <is>
          <t>X</t>
        </is>
      </c>
      <c r="S33" s="24" t="inlineStr">
        <is>
          <t>X</t>
        </is>
      </c>
      <c r="T33" s="24" t="inlineStr">
        <is>
          <t>X</t>
        </is>
      </c>
    </row>
    <row r="34" ht="22" customHeight="1">
      <c r="A34" s="17" t="n">
        <v>6</v>
      </c>
      <c r="B34" s="33" t="inlineStr">
        <is>
          <t>BSS-014</t>
        </is>
      </c>
      <c r="C34" s="15" t="inlineStr">
        <is>
          <t>유자영 (G5-S)</t>
        </is>
      </c>
      <c r="D34" s="8" t="inlineStr">
        <is>
          <t>컨설팅본부</t>
        </is>
      </c>
      <c r="E34" s="57">
        <f>COUNTIF(F34:T34,"O")</f>
        <v/>
      </c>
      <c r="F34" s="24" t="inlineStr">
        <is>
          <t>X</t>
        </is>
      </c>
      <c r="G34" s="24" t="inlineStr">
        <is>
          <t>X</t>
        </is>
      </c>
      <c r="H34" s="24" t="inlineStr">
        <is>
          <t>X</t>
        </is>
      </c>
      <c r="I34" s="24" t="inlineStr">
        <is>
          <t>X</t>
        </is>
      </c>
      <c r="J34" s="24" t="inlineStr">
        <is>
          <t>X</t>
        </is>
      </c>
      <c r="K34" s="24" t="inlineStr">
        <is>
          <t>X</t>
        </is>
      </c>
      <c r="L34" s="24" t="inlineStr">
        <is>
          <t>X</t>
        </is>
      </c>
      <c r="M34" s="24" t="inlineStr">
        <is>
          <t>X</t>
        </is>
      </c>
      <c r="N34" s="24" t="inlineStr">
        <is>
          <t>X</t>
        </is>
      </c>
      <c r="O34" s="24" t="inlineStr">
        <is>
          <t>X</t>
        </is>
      </c>
      <c r="P34" s="24" t="inlineStr">
        <is>
          <t>X</t>
        </is>
      </c>
      <c r="Q34" s="24" t="inlineStr">
        <is>
          <t>X</t>
        </is>
      </c>
      <c r="R34" s="24" t="inlineStr">
        <is>
          <t>X</t>
        </is>
      </c>
      <c r="S34" s="24" t="inlineStr">
        <is>
          <t>X</t>
        </is>
      </c>
      <c r="T34" s="24" t="inlineStr">
        <is>
          <t>X</t>
        </is>
      </c>
    </row>
    <row r="35" ht="22" customHeight="1">
      <c r="A35" s="17" t="n">
        <v>7</v>
      </c>
      <c r="B35" s="33" t="inlineStr">
        <is>
          <t>BSS-015</t>
        </is>
      </c>
      <c r="C35" s="15" t="inlineStr">
        <is>
          <t>민지선 (G5-S)</t>
        </is>
      </c>
      <c r="D35" s="8" t="inlineStr">
        <is>
          <t>컨설팅본부</t>
        </is>
      </c>
      <c r="E35" s="57">
        <f>COUNTIF(F35:T35,"O")</f>
        <v/>
      </c>
      <c r="F35" s="24" t="inlineStr">
        <is>
          <t>X</t>
        </is>
      </c>
      <c r="G35" s="24" t="inlineStr">
        <is>
          <t>X</t>
        </is>
      </c>
      <c r="H35" s="24" t="inlineStr">
        <is>
          <t>X</t>
        </is>
      </c>
      <c r="I35" s="24" t="inlineStr">
        <is>
          <t>X</t>
        </is>
      </c>
      <c r="J35" s="24" t="inlineStr">
        <is>
          <t>X</t>
        </is>
      </c>
      <c r="K35" s="24" t="inlineStr">
        <is>
          <t>X</t>
        </is>
      </c>
      <c r="L35" s="24" t="inlineStr">
        <is>
          <t>X</t>
        </is>
      </c>
      <c r="M35" s="24" t="inlineStr">
        <is>
          <t>X</t>
        </is>
      </c>
      <c r="N35" s="24" t="inlineStr">
        <is>
          <t>X</t>
        </is>
      </c>
      <c r="O35" s="24" t="inlineStr">
        <is>
          <t>X</t>
        </is>
      </c>
      <c r="P35" s="24" t="inlineStr">
        <is>
          <t>X</t>
        </is>
      </c>
      <c r="Q35" s="24" t="inlineStr">
        <is>
          <t>X</t>
        </is>
      </c>
      <c r="R35" s="24" t="inlineStr">
        <is>
          <t>X</t>
        </is>
      </c>
      <c r="S35" s="24" t="inlineStr">
        <is>
          <t>X</t>
        </is>
      </c>
      <c r="T35" s="24" t="inlineStr">
        <is>
          <t>X</t>
        </is>
      </c>
    </row>
    <row r="36" ht="22" customHeight="1">
      <c r="A36" s="17" t="n">
        <v>8</v>
      </c>
      <c r="B36" s="33" t="inlineStr">
        <is>
          <t>BSS-016</t>
        </is>
      </c>
      <c r="C36" s="15" t="inlineStr">
        <is>
          <t>장훈 (G5-S)</t>
        </is>
      </c>
      <c r="D36" s="8" t="inlineStr">
        <is>
          <t>컨설팅본부</t>
        </is>
      </c>
      <c r="E36" s="57">
        <f>COUNTIF(F36:T36,"O")</f>
        <v/>
      </c>
      <c r="F36" s="24" t="inlineStr">
        <is>
          <t>X</t>
        </is>
      </c>
      <c r="G36" s="24" t="inlineStr">
        <is>
          <t>X</t>
        </is>
      </c>
      <c r="H36" s="24" t="inlineStr">
        <is>
          <t>X</t>
        </is>
      </c>
      <c r="I36" s="24" t="inlineStr">
        <is>
          <t>X</t>
        </is>
      </c>
      <c r="J36" s="24" t="inlineStr">
        <is>
          <t>X</t>
        </is>
      </c>
      <c r="K36" s="24" t="inlineStr">
        <is>
          <t>X</t>
        </is>
      </c>
      <c r="L36" s="24" t="inlineStr">
        <is>
          <t>X</t>
        </is>
      </c>
      <c r="M36" s="24" t="inlineStr">
        <is>
          <t>X</t>
        </is>
      </c>
      <c r="N36" s="24" t="inlineStr">
        <is>
          <t>X</t>
        </is>
      </c>
      <c r="O36" s="24" t="inlineStr">
        <is>
          <t>X</t>
        </is>
      </c>
      <c r="P36" s="24" t="inlineStr">
        <is>
          <t>X</t>
        </is>
      </c>
      <c r="Q36" s="24" t="inlineStr">
        <is>
          <t>X</t>
        </is>
      </c>
      <c r="R36" s="24" t="inlineStr">
        <is>
          <t>X</t>
        </is>
      </c>
      <c r="S36" s="24" t="inlineStr">
        <is>
          <t>X</t>
        </is>
      </c>
      <c r="T36" s="24" t="inlineStr">
        <is>
          <t>X</t>
        </is>
      </c>
    </row>
    <row r="37" ht="22" customHeight="1">
      <c r="A37" s="17" t="n">
        <v>9</v>
      </c>
      <c r="B37" s="33" t="inlineStr">
        <is>
          <t>BSS-018</t>
        </is>
      </c>
      <c r="C37" s="15" t="inlineStr">
        <is>
          <t>조성준 (G4)</t>
        </is>
      </c>
      <c r="D37" s="8" t="inlineStr">
        <is>
          <t>컨설팅본부</t>
        </is>
      </c>
      <c r="E37" s="57">
        <f>COUNTIF(F37:T37,"O")</f>
        <v/>
      </c>
      <c r="F37" s="24" t="inlineStr">
        <is>
          <t>X</t>
        </is>
      </c>
      <c r="G37" s="24" t="inlineStr">
        <is>
          <t>X</t>
        </is>
      </c>
      <c r="H37" s="24" t="inlineStr">
        <is>
          <t>X</t>
        </is>
      </c>
      <c r="I37" s="24" t="inlineStr">
        <is>
          <t>X</t>
        </is>
      </c>
      <c r="J37" s="24" t="inlineStr">
        <is>
          <t>X</t>
        </is>
      </c>
      <c r="K37" s="24" t="inlineStr">
        <is>
          <t>X</t>
        </is>
      </c>
      <c r="L37" s="24" t="inlineStr">
        <is>
          <t>X</t>
        </is>
      </c>
      <c r="M37" s="24" t="inlineStr">
        <is>
          <t>X</t>
        </is>
      </c>
      <c r="N37" s="24" t="inlineStr">
        <is>
          <t>X</t>
        </is>
      </c>
      <c r="O37" s="24" t="inlineStr">
        <is>
          <t>X</t>
        </is>
      </c>
      <c r="P37" s="24" t="inlineStr">
        <is>
          <t>X</t>
        </is>
      </c>
      <c r="Q37" s="24" t="inlineStr">
        <is>
          <t>X</t>
        </is>
      </c>
      <c r="R37" s="24" t="inlineStr">
        <is>
          <t>X</t>
        </is>
      </c>
      <c r="S37" s="24" t="inlineStr">
        <is>
          <t>X</t>
        </is>
      </c>
      <c r="T37" s="24" t="inlineStr">
        <is>
          <t>X</t>
        </is>
      </c>
    </row>
    <row r="38" ht="22" customHeight="1">
      <c r="A38" s="17" t="n">
        <v>10</v>
      </c>
      <c r="B38" s="33" t="inlineStr">
        <is>
          <t>BSS-019</t>
        </is>
      </c>
      <c r="C38" s="15" t="inlineStr">
        <is>
          <t>구서현 (G3)</t>
        </is>
      </c>
      <c r="D38" s="8" t="inlineStr">
        <is>
          <t>컨설팅본부</t>
        </is>
      </c>
      <c r="E38" s="57">
        <f>COUNTIF(F38:T38,"O")</f>
        <v/>
      </c>
      <c r="F38" s="24" t="inlineStr">
        <is>
          <t>X</t>
        </is>
      </c>
      <c r="G38" s="24" t="inlineStr">
        <is>
          <t>X</t>
        </is>
      </c>
      <c r="H38" s="24" t="inlineStr">
        <is>
          <t>X</t>
        </is>
      </c>
      <c r="I38" s="24" t="inlineStr">
        <is>
          <t>X</t>
        </is>
      </c>
      <c r="J38" s="24" t="inlineStr">
        <is>
          <t>X</t>
        </is>
      </c>
      <c r="K38" s="24" t="inlineStr">
        <is>
          <t>X</t>
        </is>
      </c>
      <c r="L38" s="24" t="inlineStr">
        <is>
          <t>X</t>
        </is>
      </c>
      <c r="M38" s="24" t="inlineStr">
        <is>
          <t>X</t>
        </is>
      </c>
      <c r="N38" s="24" t="inlineStr">
        <is>
          <t>X</t>
        </is>
      </c>
      <c r="O38" s="24" t="inlineStr">
        <is>
          <t>X</t>
        </is>
      </c>
      <c r="P38" s="24" t="inlineStr">
        <is>
          <t>X</t>
        </is>
      </c>
      <c r="Q38" s="24" t="inlineStr">
        <is>
          <t>X</t>
        </is>
      </c>
      <c r="R38" s="24" t="inlineStr">
        <is>
          <t>X</t>
        </is>
      </c>
      <c r="S38" s="24" t="inlineStr">
        <is>
          <t>X</t>
        </is>
      </c>
      <c r="T38" s="24" t="inlineStr">
        <is>
          <t>X</t>
        </is>
      </c>
    </row>
    <row r="39" ht="22" customHeight="1">
      <c r="A39" s="17" t="n">
        <v>11</v>
      </c>
      <c r="B39" s="33" t="inlineStr">
        <is>
          <t>BSS-021</t>
        </is>
      </c>
      <c r="C39" s="15" t="inlineStr">
        <is>
          <t>김가연 (G2)</t>
        </is>
      </c>
      <c r="D39" s="8" t="inlineStr">
        <is>
          <t>컨설팅본부</t>
        </is>
      </c>
      <c r="E39" s="57">
        <f>COUNTIF(F39:T39,"O")</f>
        <v/>
      </c>
      <c r="F39" s="24" t="inlineStr">
        <is>
          <t>X</t>
        </is>
      </c>
      <c r="G39" s="24" t="inlineStr">
        <is>
          <t>X</t>
        </is>
      </c>
      <c r="H39" s="24" t="inlineStr">
        <is>
          <t>X</t>
        </is>
      </c>
      <c r="I39" s="24" t="inlineStr">
        <is>
          <t>X</t>
        </is>
      </c>
      <c r="J39" s="24" t="inlineStr">
        <is>
          <t>X</t>
        </is>
      </c>
      <c r="K39" s="24" t="inlineStr">
        <is>
          <t>X</t>
        </is>
      </c>
      <c r="L39" s="24" t="inlineStr">
        <is>
          <t>X</t>
        </is>
      </c>
      <c r="M39" s="24" t="inlineStr">
        <is>
          <t>X</t>
        </is>
      </c>
      <c r="N39" s="24" t="inlineStr">
        <is>
          <t>X</t>
        </is>
      </c>
      <c r="O39" s="24" t="inlineStr">
        <is>
          <t>X</t>
        </is>
      </c>
      <c r="P39" s="24" t="inlineStr">
        <is>
          <t>X</t>
        </is>
      </c>
      <c r="Q39" s="24" t="inlineStr">
        <is>
          <t>X</t>
        </is>
      </c>
      <c r="R39" s="24" t="inlineStr">
        <is>
          <t>X</t>
        </is>
      </c>
      <c r="S39" s="24" t="inlineStr">
        <is>
          <t>X</t>
        </is>
      </c>
      <c r="T39" s="24" t="inlineStr">
        <is>
          <t>X</t>
        </is>
      </c>
    </row>
    <row r="40" ht="22" customHeight="1">
      <c r="A40" s="17" t="n">
        <v>12</v>
      </c>
      <c r="B40" s="33" t="inlineStr">
        <is>
          <t>BSS-022</t>
        </is>
      </c>
      <c r="C40" s="15" t="inlineStr">
        <is>
          <t>한근수 (G2)</t>
        </is>
      </c>
      <c r="D40" s="8" t="inlineStr">
        <is>
          <t>컨설팅본부</t>
        </is>
      </c>
      <c r="E40" s="57">
        <f>COUNTIF(F40:T40,"O")</f>
        <v/>
      </c>
      <c r="F40" s="24" t="inlineStr">
        <is>
          <t>X</t>
        </is>
      </c>
      <c r="G40" s="24" t="inlineStr">
        <is>
          <t>X</t>
        </is>
      </c>
      <c r="H40" s="24" t="inlineStr">
        <is>
          <t>X</t>
        </is>
      </c>
      <c r="I40" s="24" t="inlineStr">
        <is>
          <t>X</t>
        </is>
      </c>
      <c r="J40" s="24" t="inlineStr">
        <is>
          <t>X</t>
        </is>
      </c>
      <c r="K40" s="24" t="inlineStr">
        <is>
          <t>X</t>
        </is>
      </c>
      <c r="L40" s="24" t="inlineStr">
        <is>
          <t>X</t>
        </is>
      </c>
      <c r="M40" s="24" t="inlineStr">
        <is>
          <t>X</t>
        </is>
      </c>
      <c r="N40" s="24" t="inlineStr">
        <is>
          <t>X</t>
        </is>
      </c>
      <c r="O40" s="24" t="inlineStr">
        <is>
          <t>X</t>
        </is>
      </c>
      <c r="P40" s="24" t="inlineStr">
        <is>
          <t>X</t>
        </is>
      </c>
      <c r="Q40" s="24" t="inlineStr">
        <is>
          <t>X</t>
        </is>
      </c>
      <c r="R40" s="24" t="inlineStr">
        <is>
          <t>X</t>
        </is>
      </c>
      <c r="S40" s="24" t="inlineStr">
        <is>
          <t>X</t>
        </is>
      </c>
      <c r="T40" s="24" t="inlineStr">
        <is>
          <t>X</t>
        </is>
      </c>
    </row>
    <row r="41" ht="22" customHeight="1">
      <c r="A41" s="17" t="n">
        <v>13</v>
      </c>
      <c r="B41" s="33" t="inlineStr">
        <is>
          <t>BSS-023</t>
        </is>
      </c>
      <c r="C41" s="15" t="inlineStr">
        <is>
          <t>김성민 (G2)</t>
        </is>
      </c>
      <c r="D41" s="8" t="inlineStr">
        <is>
          <t>컨설팅본부</t>
        </is>
      </c>
      <c r="E41" s="57">
        <f>COUNTIF(F41:T41,"O")</f>
        <v/>
      </c>
      <c r="F41" s="24" t="inlineStr">
        <is>
          <t>X</t>
        </is>
      </c>
      <c r="G41" s="24" t="inlineStr">
        <is>
          <t>X</t>
        </is>
      </c>
      <c r="H41" s="24" t="inlineStr">
        <is>
          <t>X</t>
        </is>
      </c>
      <c r="I41" s="24" t="inlineStr">
        <is>
          <t>X</t>
        </is>
      </c>
      <c r="J41" s="24" t="inlineStr">
        <is>
          <t>X</t>
        </is>
      </c>
      <c r="K41" s="24" t="inlineStr">
        <is>
          <t>X</t>
        </is>
      </c>
      <c r="L41" s="24" t="inlineStr">
        <is>
          <t>X</t>
        </is>
      </c>
      <c r="M41" s="24" t="inlineStr">
        <is>
          <t>X</t>
        </is>
      </c>
      <c r="N41" s="24" t="inlineStr">
        <is>
          <t>X</t>
        </is>
      </c>
      <c r="O41" s="24" t="inlineStr">
        <is>
          <t>X</t>
        </is>
      </c>
      <c r="P41" s="24" t="inlineStr">
        <is>
          <t>X</t>
        </is>
      </c>
      <c r="Q41" s="24" t="inlineStr">
        <is>
          <t>X</t>
        </is>
      </c>
      <c r="R41" s="24" t="inlineStr">
        <is>
          <t>X</t>
        </is>
      </c>
      <c r="S41" s="24" t="inlineStr">
        <is>
          <t>X</t>
        </is>
      </c>
      <c r="T41" s="24" t="inlineStr">
        <is>
          <t>X</t>
        </is>
      </c>
    </row>
    <row r="42" ht="22" customHeight="1">
      <c r="A42" s="17" t="n">
        <v>14</v>
      </c>
      <c r="B42" s="33" t="inlineStr">
        <is>
          <t>BSS-024</t>
        </is>
      </c>
      <c r="C42" s="15" t="inlineStr">
        <is>
          <t>고광우 (G2)</t>
        </is>
      </c>
      <c r="D42" s="8" t="inlineStr">
        <is>
          <t>컨설팅본부</t>
        </is>
      </c>
      <c r="E42" s="57">
        <f>COUNTIF(F42:T42,"O")</f>
        <v/>
      </c>
      <c r="F42" s="24" t="inlineStr">
        <is>
          <t>X</t>
        </is>
      </c>
      <c r="G42" s="24" t="inlineStr">
        <is>
          <t>X</t>
        </is>
      </c>
      <c r="H42" s="24" t="inlineStr">
        <is>
          <t>X</t>
        </is>
      </c>
      <c r="I42" s="24" t="inlineStr">
        <is>
          <t>X</t>
        </is>
      </c>
      <c r="J42" s="24" t="inlineStr">
        <is>
          <t>X</t>
        </is>
      </c>
      <c r="K42" s="24" t="inlineStr">
        <is>
          <t>X</t>
        </is>
      </c>
      <c r="L42" s="24" t="inlineStr">
        <is>
          <t>X</t>
        </is>
      </c>
      <c r="M42" s="24" t="inlineStr">
        <is>
          <t>X</t>
        </is>
      </c>
      <c r="N42" s="24" t="inlineStr">
        <is>
          <t>X</t>
        </is>
      </c>
      <c r="O42" s="24" t="inlineStr">
        <is>
          <t>X</t>
        </is>
      </c>
      <c r="P42" s="24" t="inlineStr">
        <is>
          <t>X</t>
        </is>
      </c>
      <c r="Q42" s="24" t="inlineStr">
        <is>
          <t>X</t>
        </is>
      </c>
      <c r="R42" s="24" t="inlineStr">
        <is>
          <t>X</t>
        </is>
      </c>
      <c r="S42" s="24" t="inlineStr">
        <is>
          <t>X</t>
        </is>
      </c>
      <c r="T42" s="24" t="inlineStr">
        <is>
          <t>X</t>
        </is>
      </c>
    </row>
    <row r="43" ht="22" customHeight="1">
      <c r="A43" s="17" t="n">
        <v>15</v>
      </c>
      <c r="B43" s="33" t="inlineStr">
        <is>
          <t>BSS-028</t>
        </is>
      </c>
      <c r="C43" s="15" t="inlineStr">
        <is>
          <t>김현수 (G1)</t>
        </is>
      </c>
      <c r="D43" s="8" t="inlineStr">
        <is>
          <t>컨설팅본부</t>
        </is>
      </c>
      <c r="E43" s="57">
        <f>COUNTIF(F43:T43,"O")</f>
        <v/>
      </c>
      <c r="F43" s="24" t="inlineStr">
        <is>
          <t>X</t>
        </is>
      </c>
      <c r="G43" s="24" t="inlineStr">
        <is>
          <t>X</t>
        </is>
      </c>
      <c r="H43" s="24" t="inlineStr">
        <is>
          <t>X</t>
        </is>
      </c>
      <c r="I43" s="24" t="inlineStr">
        <is>
          <t>X</t>
        </is>
      </c>
      <c r="J43" s="24" t="inlineStr">
        <is>
          <t>X</t>
        </is>
      </c>
      <c r="K43" s="24" t="inlineStr">
        <is>
          <t>X</t>
        </is>
      </c>
      <c r="L43" s="24" t="inlineStr">
        <is>
          <t>X</t>
        </is>
      </c>
      <c r="M43" s="24" t="inlineStr">
        <is>
          <t>X</t>
        </is>
      </c>
      <c r="N43" s="24" t="inlineStr">
        <is>
          <t>X</t>
        </is>
      </c>
      <c r="O43" s="24" t="inlineStr">
        <is>
          <t>X</t>
        </is>
      </c>
      <c r="P43" s="24" t="inlineStr">
        <is>
          <t>X</t>
        </is>
      </c>
      <c r="Q43" s="24" t="inlineStr">
        <is>
          <t>X</t>
        </is>
      </c>
      <c r="R43" s="24" t="inlineStr">
        <is>
          <t>X</t>
        </is>
      </c>
      <c r="S43" s="24" t="inlineStr">
        <is>
          <t>X</t>
        </is>
      </c>
      <c r="T43" s="24" t="inlineStr">
        <is>
          <t>X</t>
        </is>
      </c>
    </row>
    <row r="44" ht="22" customHeight="1">
      <c r="A44" s="17" t="n">
        <v>16</v>
      </c>
      <c r="B44" s="33" t="inlineStr">
        <is>
          <t>BSS-029</t>
        </is>
      </c>
      <c r="C44" s="15" t="inlineStr">
        <is>
          <t>콜셍홍 (G1)</t>
        </is>
      </c>
      <c r="D44" s="8" t="inlineStr">
        <is>
          <t>컨설팅본부</t>
        </is>
      </c>
      <c r="E44" s="57">
        <f>COUNTIF(F44:T44,"O")</f>
        <v/>
      </c>
      <c r="F44" s="24" t="inlineStr">
        <is>
          <t>X</t>
        </is>
      </c>
      <c r="G44" s="24" t="inlineStr">
        <is>
          <t>X</t>
        </is>
      </c>
      <c r="H44" s="24" t="inlineStr">
        <is>
          <t>X</t>
        </is>
      </c>
      <c r="I44" s="24" t="inlineStr">
        <is>
          <t>X</t>
        </is>
      </c>
      <c r="J44" s="24" t="inlineStr">
        <is>
          <t>X</t>
        </is>
      </c>
      <c r="K44" s="24" t="inlineStr">
        <is>
          <t>X</t>
        </is>
      </c>
      <c r="L44" s="24" t="inlineStr">
        <is>
          <t>X</t>
        </is>
      </c>
      <c r="M44" s="24" t="inlineStr">
        <is>
          <t>X</t>
        </is>
      </c>
      <c r="N44" s="24" t="inlineStr">
        <is>
          <t>X</t>
        </is>
      </c>
      <c r="O44" s="24" t="inlineStr">
        <is>
          <t>X</t>
        </is>
      </c>
      <c r="P44" s="24" t="inlineStr">
        <is>
          <t>X</t>
        </is>
      </c>
      <c r="Q44" s="24" t="inlineStr">
        <is>
          <t>X</t>
        </is>
      </c>
      <c r="R44" s="24" t="inlineStr">
        <is>
          <t>X</t>
        </is>
      </c>
      <c r="S44" s="24" t="inlineStr">
        <is>
          <t>X</t>
        </is>
      </c>
      <c r="T44" s="24" t="inlineStr">
        <is>
          <t>X</t>
        </is>
      </c>
    </row>
    <row r="45" ht="22" customHeight="1">
      <c r="A45" s="17" t="n">
        <v>17</v>
      </c>
      <c r="B45" s="33" t="inlineStr">
        <is>
          <t>BSS-030</t>
        </is>
      </c>
      <c r="C45" s="15" t="inlineStr">
        <is>
          <t>안성진 (G1)</t>
        </is>
      </c>
      <c r="D45" s="8" t="inlineStr">
        <is>
          <t>컨설팅본부</t>
        </is>
      </c>
      <c r="E45" s="57">
        <f>COUNTIF(F45:T45,"O")</f>
        <v/>
      </c>
      <c r="F45" s="24" t="inlineStr">
        <is>
          <t>X</t>
        </is>
      </c>
      <c r="G45" s="24" t="inlineStr">
        <is>
          <t>X</t>
        </is>
      </c>
      <c r="H45" s="24" t="inlineStr">
        <is>
          <t>X</t>
        </is>
      </c>
      <c r="I45" s="24" t="inlineStr">
        <is>
          <t>X</t>
        </is>
      </c>
      <c r="J45" s="24" t="inlineStr">
        <is>
          <t>X</t>
        </is>
      </c>
      <c r="K45" s="24" t="inlineStr">
        <is>
          <t>X</t>
        </is>
      </c>
      <c r="L45" s="24" t="inlineStr">
        <is>
          <t>X</t>
        </is>
      </c>
      <c r="M45" s="24" t="inlineStr">
        <is>
          <t>X</t>
        </is>
      </c>
      <c r="N45" s="24" t="inlineStr">
        <is>
          <t>X</t>
        </is>
      </c>
      <c r="O45" s="24" t="inlineStr">
        <is>
          <t>X</t>
        </is>
      </c>
      <c r="P45" s="24" t="inlineStr">
        <is>
          <t>X</t>
        </is>
      </c>
      <c r="Q45" s="24" t="inlineStr">
        <is>
          <t>X</t>
        </is>
      </c>
      <c r="R45" s="24" t="inlineStr">
        <is>
          <t>X</t>
        </is>
      </c>
      <c r="S45" s="24" t="inlineStr">
        <is>
          <t>X</t>
        </is>
      </c>
      <c r="T45" s="24" t="inlineStr">
        <is>
          <t>X</t>
        </is>
      </c>
    </row>
    <row r="46" ht="22" customHeight="1">
      <c r="A46" s="17" t="n">
        <v>18</v>
      </c>
      <c r="B46" s="33" t="inlineStr">
        <is>
          <t>BSS-031</t>
        </is>
      </c>
      <c r="C46" s="15" t="inlineStr">
        <is>
          <t>이정일 (G1)</t>
        </is>
      </c>
      <c r="D46" s="8" t="inlineStr">
        <is>
          <t>컨설팅본부</t>
        </is>
      </c>
      <c r="E46" s="57">
        <f>COUNTIF(F46:T46,"O")</f>
        <v/>
      </c>
      <c r="F46" s="24" t="inlineStr">
        <is>
          <t>X</t>
        </is>
      </c>
      <c r="G46" s="24" t="inlineStr">
        <is>
          <t>X</t>
        </is>
      </c>
      <c r="H46" s="24" t="inlineStr">
        <is>
          <t>X</t>
        </is>
      </c>
      <c r="I46" s="24" t="inlineStr">
        <is>
          <t>X</t>
        </is>
      </c>
      <c r="J46" s="24" t="inlineStr">
        <is>
          <t>X</t>
        </is>
      </c>
      <c r="K46" s="24" t="inlineStr">
        <is>
          <t>X</t>
        </is>
      </c>
      <c r="L46" s="24" t="inlineStr">
        <is>
          <t>X</t>
        </is>
      </c>
      <c r="M46" s="24" t="inlineStr">
        <is>
          <t>X</t>
        </is>
      </c>
      <c r="N46" s="24" t="inlineStr">
        <is>
          <t>X</t>
        </is>
      </c>
      <c r="O46" s="24" t="inlineStr">
        <is>
          <t>X</t>
        </is>
      </c>
      <c r="P46" s="24" t="inlineStr">
        <is>
          <t>X</t>
        </is>
      </c>
      <c r="Q46" s="24" t="inlineStr">
        <is>
          <t>X</t>
        </is>
      </c>
      <c r="R46" s="24" t="inlineStr">
        <is>
          <t>X</t>
        </is>
      </c>
      <c r="S46" s="24" t="inlineStr">
        <is>
          <t>X</t>
        </is>
      </c>
      <c r="T46" s="24" t="inlineStr">
        <is>
          <t>X</t>
        </is>
      </c>
    </row>
    <row r="47" ht="22" customHeight="1">
      <c r="A47" s="17" t="n">
        <v>19</v>
      </c>
      <c r="B47" s="33" t="inlineStr">
        <is>
          <t>BSS-032</t>
        </is>
      </c>
      <c r="C47" s="15" t="inlineStr">
        <is>
          <t>안재성 (G1)</t>
        </is>
      </c>
      <c r="D47" s="8" t="inlineStr">
        <is>
          <t>컨설팅본부</t>
        </is>
      </c>
      <c r="E47" s="57">
        <f>COUNTIF(F47:T47,"O")</f>
        <v/>
      </c>
      <c r="F47" s="24" t="inlineStr">
        <is>
          <t>X</t>
        </is>
      </c>
      <c r="G47" s="24" t="inlineStr">
        <is>
          <t>X</t>
        </is>
      </c>
      <c r="H47" s="24" t="inlineStr">
        <is>
          <t>X</t>
        </is>
      </c>
      <c r="I47" s="24" t="inlineStr">
        <is>
          <t>X</t>
        </is>
      </c>
      <c r="J47" s="24" t="inlineStr">
        <is>
          <t>X</t>
        </is>
      </c>
      <c r="K47" s="24" t="inlineStr">
        <is>
          <t>X</t>
        </is>
      </c>
      <c r="L47" s="24" t="inlineStr">
        <is>
          <t>X</t>
        </is>
      </c>
      <c r="M47" s="24" t="inlineStr">
        <is>
          <t>X</t>
        </is>
      </c>
      <c r="N47" s="24" t="inlineStr">
        <is>
          <t>X</t>
        </is>
      </c>
      <c r="O47" s="24" t="inlineStr">
        <is>
          <t>X</t>
        </is>
      </c>
      <c r="P47" s="24" t="inlineStr">
        <is>
          <t>X</t>
        </is>
      </c>
      <c r="Q47" s="24" t="inlineStr">
        <is>
          <t>X</t>
        </is>
      </c>
      <c r="R47" s="24" t="inlineStr">
        <is>
          <t>X</t>
        </is>
      </c>
      <c r="S47" s="24" t="inlineStr">
        <is>
          <t>X</t>
        </is>
      </c>
      <c r="T47" s="24" t="inlineStr">
        <is>
          <t>X</t>
        </is>
      </c>
    </row>
    <row r="48" ht="22" customHeight="1">
      <c r="A48" s="17" t="n">
        <v>20</v>
      </c>
      <c r="B48" s="33" t="inlineStr">
        <is>
          <t>BSS-033</t>
        </is>
      </c>
      <c r="C48" s="15" t="inlineStr">
        <is>
          <t>유태석 (G1)</t>
        </is>
      </c>
      <c r="D48" s="8" t="inlineStr">
        <is>
          <t>컨설팅본부</t>
        </is>
      </c>
      <c r="E48" s="57">
        <f>COUNTIF(F48:T48,"O")</f>
        <v/>
      </c>
      <c r="F48" s="24" t="inlineStr">
        <is>
          <t>X</t>
        </is>
      </c>
      <c r="G48" s="24" t="inlineStr">
        <is>
          <t>X</t>
        </is>
      </c>
      <c r="H48" s="24" t="inlineStr">
        <is>
          <t>X</t>
        </is>
      </c>
      <c r="I48" s="24" t="inlineStr">
        <is>
          <t>X</t>
        </is>
      </c>
      <c r="J48" s="24" t="inlineStr">
        <is>
          <t>X</t>
        </is>
      </c>
      <c r="K48" s="24" t="inlineStr">
        <is>
          <t>X</t>
        </is>
      </c>
      <c r="L48" s="24" t="inlineStr">
        <is>
          <t>X</t>
        </is>
      </c>
      <c r="M48" s="24" t="inlineStr">
        <is>
          <t>X</t>
        </is>
      </c>
      <c r="N48" s="24" t="inlineStr">
        <is>
          <t>X</t>
        </is>
      </c>
      <c r="O48" s="24" t="inlineStr">
        <is>
          <t>X</t>
        </is>
      </c>
      <c r="P48" s="24" t="inlineStr">
        <is>
          <t>X</t>
        </is>
      </c>
      <c r="Q48" s="24" t="inlineStr">
        <is>
          <t>X</t>
        </is>
      </c>
      <c r="R48" s="24" t="inlineStr">
        <is>
          <t>X</t>
        </is>
      </c>
      <c r="S48" s="24" t="inlineStr">
        <is>
          <t>X</t>
        </is>
      </c>
      <c r="T48" s="24" t="inlineStr">
        <is>
          <t>X</t>
        </is>
      </c>
    </row>
    <row r="49" ht="22" customHeight="1">
      <c r="A49" s="17" t="n">
        <v>21</v>
      </c>
      <c r="B49" s="33" t="inlineStr">
        <is>
          <t>BSS-034</t>
        </is>
      </c>
      <c r="C49" s="15" t="inlineStr">
        <is>
          <t>엄보근 (G1)</t>
        </is>
      </c>
      <c r="D49" s="8" t="inlineStr">
        <is>
          <t>컨설팅본부</t>
        </is>
      </c>
      <c r="E49" s="57">
        <f>COUNTIF(F49:T49,"O")</f>
        <v/>
      </c>
      <c r="F49" s="24" t="inlineStr">
        <is>
          <t>X</t>
        </is>
      </c>
      <c r="G49" s="24" t="inlineStr">
        <is>
          <t>X</t>
        </is>
      </c>
      <c r="H49" s="24" t="inlineStr">
        <is>
          <t>X</t>
        </is>
      </c>
      <c r="I49" s="24" t="inlineStr">
        <is>
          <t>X</t>
        </is>
      </c>
      <c r="J49" s="24" t="inlineStr">
        <is>
          <t>X</t>
        </is>
      </c>
      <c r="K49" s="24" t="inlineStr">
        <is>
          <t>X</t>
        </is>
      </c>
      <c r="L49" s="24" t="inlineStr">
        <is>
          <t>X</t>
        </is>
      </c>
      <c r="M49" s="24" t="inlineStr">
        <is>
          <t>X</t>
        </is>
      </c>
      <c r="N49" s="24" t="inlineStr">
        <is>
          <t>X</t>
        </is>
      </c>
      <c r="O49" s="24" t="inlineStr">
        <is>
          <t>X</t>
        </is>
      </c>
      <c r="P49" s="24" t="inlineStr">
        <is>
          <t>X</t>
        </is>
      </c>
      <c r="Q49" s="24" t="inlineStr">
        <is>
          <t>X</t>
        </is>
      </c>
      <c r="R49" s="24" t="inlineStr">
        <is>
          <t>X</t>
        </is>
      </c>
      <c r="S49" s="24" t="inlineStr">
        <is>
          <t>X</t>
        </is>
      </c>
      <c r="T49" s="24" t="inlineStr">
        <is>
          <t>X</t>
        </is>
      </c>
    </row>
    <row r="50"/>
    <row r="51"/>
    <row r="52" ht="26" customHeight="1">
      <c r="A52" s="54" t="inlineStr">
        <is>
          <t>■ 직무: 교육  (책무 6개)  |  해당 직원 3명</t>
        </is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9" t="n"/>
    </row>
    <row r="53" ht="22" customHeight="1">
      <c r="A53" s="43" t="inlineStr">
        <is>
          <t>No.</t>
        </is>
      </c>
      <c r="B53" s="43" t="inlineStr">
        <is>
          <t>사번</t>
        </is>
      </c>
      <c r="C53" s="43" t="inlineStr">
        <is>
          <t>성명</t>
        </is>
      </c>
      <c r="D53" s="43" t="inlineStr">
        <is>
          <t>부서</t>
        </is>
      </c>
      <c r="E53" s="43" t="inlineStr">
        <is>
          <t>메인 책무 수</t>
        </is>
      </c>
      <c r="F53" s="34" t="inlineStr">
        <is>
          <t>교육 기획</t>
        </is>
      </c>
      <c r="G53" s="19" t="n"/>
      <c r="H53" s="34" t="inlineStr">
        <is>
          <t>교육 운영</t>
        </is>
      </c>
      <c r="I53" s="18" t="n"/>
      <c r="J53" s="19" t="n"/>
      <c r="K53" s="34" t="inlineStr">
        <is>
          <t>수료/인증</t>
        </is>
      </c>
    </row>
    <row r="54" ht="60" customHeight="1">
      <c r="A54" s="75" t="n"/>
      <c r="B54" s="75" t="n"/>
      <c r="C54" s="75" t="n"/>
      <c r="D54" s="75" t="n"/>
      <c r="E54" s="75" t="n"/>
      <c r="F54" s="59" t="inlineStr">
        <is>
          <t>교육과정 기획</t>
        </is>
      </c>
      <c r="G54" s="59" t="inlineStr">
        <is>
          <t>교재 개발</t>
        </is>
      </c>
      <c r="H54" s="59" t="inlineStr">
        <is>
          <t>교육 진행 및 강의</t>
        </is>
      </c>
      <c r="I54" s="59" t="inlineStr">
        <is>
          <t>실습 지원</t>
        </is>
      </c>
      <c r="J54" s="59" t="inlineStr">
        <is>
          <t>평가 및 피드백</t>
        </is>
      </c>
      <c r="K54" s="59" t="inlineStr">
        <is>
          <t>수료 관리·인증 발급</t>
        </is>
      </c>
    </row>
    <row r="55" ht="22" customHeight="1">
      <c r="A55" s="17" t="n">
        <v>1</v>
      </c>
      <c r="B55" s="33" t="inlineStr">
        <is>
          <t>BSS-007</t>
        </is>
      </c>
      <c r="C55" s="15" t="inlineStr">
        <is>
          <t>이진행 (G5-M)</t>
        </is>
      </c>
      <c r="D55" s="8" t="inlineStr">
        <is>
          <t>솔루션본부</t>
        </is>
      </c>
      <c r="E55" s="57">
        <f>COUNTIF(F55:K55,"O")</f>
        <v/>
      </c>
      <c r="F55" s="24" t="inlineStr">
        <is>
          <t>X</t>
        </is>
      </c>
      <c r="G55" s="24" t="inlineStr">
        <is>
          <t>X</t>
        </is>
      </c>
      <c r="H55" s="24" t="inlineStr">
        <is>
          <t>X</t>
        </is>
      </c>
      <c r="I55" s="24" t="inlineStr">
        <is>
          <t>X</t>
        </is>
      </c>
      <c r="J55" s="24" t="inlineStr">
        <is>
          <t>X</t>
        </is>
      </c>
      <c r="K55" s="24" t="inlineStr">
        <is>
          <t>X</t>
        </is>
      </c>
    </row>
    <row r="56" ht="22" customHeight="1">
      <c r="A56" s="17" t="n">
        <v>2</v>
      </c>
      <c r="B56" s="33" t="inlineStr">
        <is>
          <t>BSS-017</t>
        </is>
      </c>
      <c r="C56" s="15" t="inlineStr">
        <is>
          <t>김우람 (G4)</t>
        </is>
      </c>
      <c r="D56" s="8" t="inlineStr">
        <is>
          <t>솔루션본부</t>
        </is>
      </c>
      <c r="E56" s="57">
        <f>COUNTIF(F56:K56,"O")</f>
        <v/>
      </c>
      <c r="F56" s="24" t="inlineStr">
        <is>
          <t>X</t>
        </is>
      </c>
      <c r="G56" s="24" t="inlineStr">
        <is>
          <t>X</t>
        </is>
      </c>
      <c r="H56" s="24" t="inlineStr">
        <is>
          <t>X</t>
        </is>
      </c>
      <c r="I56" s="24" t="inlineStr">
        <is>
          <t>X</t>
        </is>
      </c>
      <c r="J56" s="24" t="inlineStr">
        <is>
          <t>X</t>
        </is>
      </c>
      <c r="K56" s="24" t="inlineStr">
        <is>
          <t>X</t>
        </is>
      </c>
    </row>
    <row r="57" ht="22" customHeight="1">
      <c r="A57" s="17" t="n">
        <v>3</v>
      </c>
      <c r="B57" s="33" t="inlineStr">
        <is>
          <t>BSS-027</t>
        </is>
      </c>
      <c r="C57" s="15" t="inlineStr">
        <is>
          <t>장은한 (G2)</t>
        </is>
      </c>
      <c r="D57" s="8" t="inlineStr">
        <is>
          <t>솔루션본부</t>
        </is>
      </c>
      <c r="E57" s="57">
        <f>COUNTIF(F57:K57,"O")</f>
        <v/>
      </c>
      <c r="F57" s="24" t="inlineStr">
        <is>
          <t>X</t>
        </is>
      </c>
      <c r="G57" s="24" t="inlineStr">
        <is>
          <t>X</t>
        </is>
      </c>
      <c r="H57" s="24" t="inlineStr">
        <is>
          <t>X</t>
        </is>
      </c>
      <c r="I57" s="24" t="inlineStr">
        <is>
          <t>X</t>
        </is>
      </c>
      <c r="J57" s="24" t="inlineStr">
        <is>
          <t>X</t>
        </is>
      </c>
      <c r="K57" s="24" t="inlineStr">
        <is>
          <t>X</t>
        </is>
      </c>
    </row>
    <row r="58"/>
    <row r="59"/>
    <row r="60" ht="26" customHeight="1">
      <c r="A60" s="54" t="inlineStr">
        <is>
          <t>■ 직무: 기술지원  (책무 5개)  |  해당 직원 2명</t>
        </is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19" t="n"/>
    </row>
    <row r="61" ht="22" customHeight="1">
      <c r="A61" s="43" t="inlineStr">
        <is>
          <t>No.</t>
        </is>
      </c>
      <c r="B61" s="43" t="inlineStr">
        <is>
          <t>사번</t>
        </is>
      </c>
      <c r="C61" s="43" t="inlineStr">
        <is>
          <t>성명</t>
        </is>
      </c>
      <c r="D61" s="43" t="inlineStr">
        <is>
          <t>부서</t>
        </is>
      </c>
      <c r="E61" s="43" t="inlineStr">
        <is>
          <t>메인 책무 수</t>
        </is>
      </c>
      <c r="F61" s="34" t="inlineStr">
        <is>
          <t>기술지원</t>
        </is>
      </c>
      <c r="G61" s="18" t="n"/>
      <c r="H61" s="19" t="n"/>
      <c r="I61" s="34" t="inlineStr">
        <is>
          <t>품질개선</t>
        </is>
      </c>
      <c r="J61" s="19" t="n"/>
    </row>
    <row r="62" ht="60" customHeight="1">
      <c r="A62" s="75" t="n"/>
      <c r="B62" s="75" t="n"/>
      <c r="C62" s="75" t="n"/>
      <c r="D62" s="75" t="n"/>
      <c r="E62" s="75" t="n"/>
      <c r="F62" s="59" t="inlineStr">
        <is>
          <t>고객 문의 대응</t>
        </is>
      </c>
      <c r="G62" s="59" t="inlineStr">
        <is>
          <t>원격·현장 지원</t>
        </is>
      </c>
      <c r="H62" s="59" t="inlineStr">
        <is>
          <t>기술 문서 작성</t>
        </is>
      </c>
      <c r="I62" s="59" t="inlineStr">
        <is>
          <t>버그 리포트 및 피드백</t>
        </is>
      </c>
      <c r="J62" s="59" t="inlineStr">
        <is>
          <t>품질 모니터링</t>
        </is>
      </c>
    </row>
    <row r="63" ht="22" customHeight="1">
      <c r="A63" s="17" t="n">
        <v>1</v>
      </c>
      <c r="B63" s="33" t="inlineStr">
        <is>
          <t>BSS-008</t>
        </is>
      </c>
      <c r="C63" s="15" t="inlineStr">
        <is>
          <t>김민수 (G5-M)</t>
        </is>
      </c>
      <c r="D63" s="8" t="inlineStr">
        <is>
          <t>솔루션본부</t>
        </is>
      </c>
      <c r="E63" s="57">
        <f>COUNTIF(F63:J63,"O")</f>
        <v/>
      </c>
      <c r="F63" s="24" t="inlineStr">
        <is>
          <t>X</t>
        </is>
      </c>
      <c r="G63" s="24" t="inlineStr">
        <is>
          <t>X</t>
        </is>
      </c>
      <c r="H63" s="24" t="inlineStr">
        <is>
          <t>X</t>
        </is>
      </c>
      <c r="I63" s="24" t="inlineStr">
        <is>
          <t>X</t>
        </is>
      </c>
      <c r="J63" s="24" t="inlineStr">
        <is>
          <t>X</t>
        </is>
      </c>
    </row>
    <row r="64" ht="22" customHeight="1">
      <c r="A64" s="17" t="n">
        <v>2</v>
      </c>
      <c r="B64" s="33" t="inlineStr">
        <is>
          <t>BSS-020</t>
        </is>
      </c>
      <c r="C64" s="15" t="inlineStr">
        <is>
          <t>박진용 (G3)</t>
        </is>
      </c>
      <c r="D64" s="8" t="inlineStr">
        <is>
          <t>솔루션본부</t>
        </is>
      </c>
      <c r="E64" s="57">
        <f>COUNTIF(F64:J64,"O")</f>
        <v/>
      </c>
      <c r="F64" s="24" t="inlineStr">
        <is>
          <t>X</t>
        </is>
      </c>
      <c r="G64" s="24" t="inlineStr">
        <is>
          <t>X</t>
        </is>
      </c>
      <c r="H64" s="24" t="inlineStr">
        <is>
          <t>X</t>
        </is>
      </c>
      <c r="I64" s="24" t="inlineStr">
        <is>
          <t>X</t>
        </is>
      </c>
      <c r="J64" s="24" t="inlineStr">
        <is>
          <t>X</t>
        </is>
      </c>
    </row>
    <row r="65"/>
    <row r="66"/>
    <row r="67" ht="26" customHeight="1">
      <c r="A67" s="54" t="inlineStr">
        <is>
          <t>■ 직무: 연구개발(R&amp;D)  (책무 7개)  |  해당 직원 2명</t>
        </is>
      </c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9" t="n"/>
    </row>
    <row r="68" ht="22" customHeight="1">
      <c r="A68" s="43" t="inlineStr">
        <is>
          <t>No.</t>
        </is>
      </c>
      <c r="B68" s="43" t="inlineStr">
        <is>
          <t>사번</t>
        </is>
      </c>
      <c r="C68" s="43" t="inlineStr">
        <is>
          <t>성명</t>
        </is>
      </c>
      <c r="D68" s="43" t="inlineStr">
        <is>
          <t>부서</t>
        </is>
      </c>
      <c r="E68" s="43" t="inlineStr">
        <is>
          <t>메인 책무 수</t>
        </is>
      </c>
      <c r="F68" s="34" t="inlineStr">
        <is>
          <t>건설SW개발</t>
        </is>
      </c>
      <c r="G68" s="18" t="n"/>
      <c r="H68" s="19" t="n"/>
      <c r="I68" s="34" t="inlineStr">
        <is>
          <t>국책연구과제</t>
        </is>
      </c>
      <c r="J68" s="18" t="n"/>
      <c r="K68" s="19" t="n"/>
      <c r="L68" s="34" t="inlineStr">
        <is>
          <t>품질관리</t>
        </is>
      </c>
    </row>
    <row r="69" ht="60" customHeight="1">
      <c r="A69" s="75" t="n"/>
      <c r="B69" s="75" t="n"/>
      <c r="C69" s="75" t="n"/>
      <c r="D69" s="75" t="n"/>
      <c r="E69" s="75" t="n"/>
      <c r="F69" s="59" t="inlineStr">
        <is>
          <t>요구사항 분석·설계</t>
        </is>
      </c>
      <c r="G69" s="59" t="inlineStr">
        <is>
          <t>코딩 및 단위 테스트</t>
        </is>
      </c>
      <c r="H69" s="59" t="inlineStr">
        <is>
          <t>통합 및 배포</t>
        </is>
      </c>
      <c r="I69" s="59" t="inlineStr">
        <is>
          <t>과제 기획·제안</t>
        </is>
      </c>
      <c r="J69" s="59" t="inlineStr">
        <is>
          <t>연구 수행 및 보고</t>
        </is>
      </c>
      <c r="K69" s="59" t="inlineStr">
        <is>
          <t>특허·논문</t>
        </is>
      </c>
      <c r="L69" s="59" t="inlineStr">
        <is>
          <t>코드 리뷰·품질 표준</t>
        </is>
      </c>
    </row>
    <row r="70" ht="22" customHeight="1">
      <c r="A70" s="17" t="n">
        <v>1</v>
      </c>
      <c r="B70" s="33" t="inlineStr">
        <is>
          <t>BSS-002</t>
        </is>
      </c>
      <c r="C70" s="15" t="inlineStr">
        <is>
          <t>강전용 (G6)</t>
        </is>
      </c>
      <c r="D70" s="8" t="inlineStr">
        <is>
          <t>R&amp;D본부</t>
        </is>
      </c>
      <c r="E70" s="57">
        <f>COUNTIF(F70:L70,"O")</f>
        <v/>
      </c>
      <c r="F70" s="24" t="inlineStr">
        <is>
          <t>X</t>
        </is>
      </c>
      <c r="G70" s="24" t="inlineStr">
        <is>
          <t>X</t>
        </is>
      </c>
      <c r="H70" s="24" t="inlineStr">
        <is>
          <t>X</t>
        </is>
      </c>
      <c r="I70" s="24" t="inlineStr">
        <is>
          <t>X</t>
        </is>
      </c>
      <c r="J70" s="24" t="inlineStr">
        <is>
          <t>X</t>
        </is>
      </c>
      <c r="K70" s="24" t="inlineStr">
        <is>
          <t>X</t>
        </is>
      </c>
      <c r="L70" s="24" t="inlineStr">
        <is>
          <t>X</t>
        </is>
      </c>
    </row>
    <row r="71" ht="22" customHeight="1">
      <c r="A71" s="17" t="n">
        <v>2</v>
      </c>
      <c r="B71" s="33" t="inlineStr">
        <is>
          <t>BSS-025</t>
        </is>
      </c>
      <c r="C71" s="15" t="inlineStr">
        <is>
          <t>김성수 (G2)</t>
        </is>
      </c>
      <c r="D71" s="8" t="inlineStr">
        <is>
          <t>컨설팅본부</t>
        </is>
      </c>
      <c r="E71" s="57">
        <f>COUNTIF(F71:L71,"O")</f>
        <v/>
      </c>
      <c r="F71" s="24" t="inlineStr">
        <is>
          <t>X</t>
        </is>
      </c>
      <c r="G71" s="24" t="inlineStr">
        <is>
          <t>X</t>
        </is>
      </c>
      <c r="H71" s="24" t="inlineStr">
        <is>
          <t>X</t>
        </is>
      </c>
      <c r="I71" s="24" t="inlineStr">
        <is>
          <t>X</t>
        </is>
      </c>
      <c r="J71" s="24" t="inlineStr">
        <is>
          <t>X</t>
        </is>
      </c>
      <c r="K71" s="24" t="inlineStr">
        <is>
          <t>X</t>
        </is>
      </c>
      <c r="L71" s="24" t="inlineStr">
        <is>
          <t>X</t>
        </is>
      </c>
    </row>
    <row r="72"/>
    <row r="73"/>
    <row r="74"/>
    <row r="75"/>
    <row r="76"/>
    <row r="77"/>
    <row r="78"/>
    <row r="79"/>
  </sheetData>
  <mergeCells count="64">
    <mergeCell ref="K16:L16"/>
    <mergeCell ref="B27:B28"/>
    <mergeCell ref="D27:D28"/>
    <mergeCell ref="A61:A62"/>
    <mergeCell ref="P27:R27"/>
    <mergeCell ref="B61:B62"/>
    <mergeCell ref="I27:J27"/>
    <mergeCell ref="D61:D62"/>
    <mergeCell ref="A16:A17"/>
    <mergeCell ref="A6:A7"/>
    <mergeCell ref="C16:C17"/>
    <mergeCell ref="S27:T27"/>
    <mergeCell ref="I61:J61"/>
    <mergeCell ref="A21:I21"/>
    <mergeCell ref="V6:X6"/>
    <mergeCell ref="I68:K68"/>
    <mergeCell ref="C22:C23"/>
    <mergeCell ref="A27:A28"/>
    <mergeCell ref="M27:O27"/>
    <mergeCell ref="A1:Z1"/>
    <mergeCell ref="I16:J16"/>
    <mergeCell ref="F27:H27"/>
    <mergeCell ref="D16:D17"/>
    <mergeCell ref="E6:E7"/>
    <mergeCell ref="A5:X5"/>
    <mergeCell ref="F61:H61"/>
    <mergeCell ref="B6:B7"/>
    <mergeCell ref="B68:B69"/>
    <mergeCell ref="A60:J60"/>
    <mergeCell ref="B53:B54"/>
    <mergeCell ref="D68:D69"/>
    <mergeCell ref="E27:E28"/>
    <mergeCell ref="D53:D54"/>
    <mergeCell ref="C61:C62"/>
    <mergeCell ref="A22:A23"/>
    <mergeCell ref="E61:E62"/>
    <mergeCell ref="A26:T26"/>
    <mergeCell ref="A3:Z3"/>
    <mergeCell ref="C27:C28"/>
    <mergeCell ref="Q6:U6"/>
    <mergeCell ref="F22:G22"/>
    <mergeCell ref="A2:Z2"/>
    <mergeCell ref="E16:E17"/>
    <mergeCell ref="A67:L67"/>
    <mergeCell ref="H53:J53"/>
    <mergeCell ref="A68:A69"/>
    <mergeCell ref="A53:A54"/>
    <mergeCell ref="C53:C54"/>
    <mergeCell ref="F16:H16"/>
    <mergeCell ref="A15:L15"/>
    <mergeCell ref="E53:E54"/>
    <mergeCell ref="F68:H68"/>
    <mergeCell ref="F6:K6"/>
    <mergeCell ref="B22:B23"/>
    <mergeCell ref="L6:P6"/>
    <mergeCell ref="E22:E23"/>
    <mergeCell ref="C68:C69"/>
    <mergeCell ref="A52:K52"/>
    <mergeCell ref="E68:E69"/>
    <mergeCell ref="B16:B17"/>
    <mergeCell ref="C6:C7"/>
    <mergeCell ref="D6:D7"/>
    <mergeCell ref="F53:G53"/>
    <mergeCell ref="D22:D23"/>
  </mergeCells>
  <conditionalFormatting sqref="F8:F12">
    <cfRule type="cellIs" priority="1" operator="equal" dxfId="2">
      <formula>"O"</formula>
    </cfRule>
    <cfRule type="cellIs" priority="2" operator="equal" dxfId="4">
      <formula>"X"</formula>
    </cfRule>
  </conditionalFormatting>
  <conditionalFormatting sqref="G8:G12">
    <cfRule type="cellIs" priority="3" operator="equal" dxfId="2">
      <formula>"O"</formula>
    </cfRule>
    <cfRule type="cellIs" priority="4" operator="equal" dxfId="4">
      <formula>"X"</formula>
    </cfRule>
  </conditionalFormatting>
  <conditionalFormatting sqref="H8:H12">
    <cfRule type="cellIs" priority="5" operator="equal" dxfId="2">
      <formula>"O"</formula>
    </cfRule>
    <cfRule type="cellIs" priority="6" operator="equal" dxfId="4">
      <formula>"X"</formula>
    </cfRule>
  </conditionalFormatting>
  <conditionalFormatting sqref="I8:I12">
    <cfRule type="cellIs" priority="7" operator="equal" dxfId="2">
      <formula>"O"</formula>
    </cfRule>
    <cfRule type="cellIs" priority="8" operator="equal" dxfId="4">
      <formula>"X"</formula>
    </cfRule>
  </conditionalFormatting>
  <conditionalFormatting sqref="J8:J12">
    <cfRule type="cellIs" priority="9" operator="equal" dxfId="2">
      <formula>"O"</formula>
    </cfRule>
    <cfRule type="cellIs" priority="10" operator="equal" dxfId="4">
      <formula>"X"</formula>
    </cfRule>
  </conditionalFormatting>
  <conditionalFormatting sqref="K8:K12">
    <cfRule type="cellIs" priority="11" operator="equal" dxfId="2">
      <formula>"O"</formula>
    </cfRule>
    <cfRule type="cellIs" priority="12" operator="equal" dxfId="4">
      <formula>"X"</formula>
    </cfRule>
  </conditionalFormatting>
  <conditionalFormatting sqref="L8:L12">
    <cfRule type="cellIs" priority="13" operator="equal" dxfId="2">
      <formula>"O"</formula>
    </cfRule>
    <cfRule type="cellIs" priority="14" operator="equal" dxfId="4">
      <formula>"X"</formula>
    </cfRule>
  </conditionalFormatting>
  <conditionalFormatting sqref="M8:M12">
    <cfRule type="cellIs" priority="15" operator="equal" dxfId="2">
      <formula>"O"</formula>
    </cfRule>
    <cfRule type="cellIs" priority="16" operator="equal" dxfId="4">
      <formula>"X"</formula>
    </cfRule>
  </conditionalFormatting>
  <conditionalFormatting sqref="N8:N12">
    <cfRule type="cellIs" priority="17" operator="equal" dxfId="2">
      <formula>"O"</formula>
    </cfRule>
    <cfRule type="cellIs" priority="18" operator="equal" dxfId="4">
      <formula>"X"</formula>
    </cfRule>
  </conditionalFormatting>
  <conditionalFormatting sqref="O8:O12">
    <cfRule type="cellIs" priority="19" operator="equal" dxfId="2">
      <formula>"O"</formula>
    </cfRule>
    <cfRule type="cellIs" priority="20" operator="equal" dxfId="4">
      <formula>"X"</formula>
    </cfRule>
  </conditionalFormatting>
  <conditionalFormatting sqref="P8:P12">
    <cfRule type="cellIs" priority="21" operator="equal" dxfId="2">
      <formula>"O"</formula>
    </cfRule>
    <cfRule type="cellIs" priority="22" operator="equal" dxfId="4">
      <formula>"X"</formula>
    </cfRule>
  </conditionalFormatting>
  <conditionalFormatting sqref="Q8:Q12">
    <cfRule type="cellIs" priority="23" operator="equal" dxfId="2">
      <formula>"O"</formula>
    </cfRule>
    <cfRule type="cellIs" priority="24" operator="equal" dxfId="4">
      <formula>"X"</formula>
    </cfRule>
  </conditionalFormatting>
  <conditionalFormatting sqref="R8:R12">
    <cfRule type="cellIs" priority="25" operator="equal" dxfId="2">
      <formula>"O"</formula>
    </cfRule>
    <cfRule type="cellIs" priority="26" operator="equal" dxfId="4">
      <formula>"X"</formula>
    </cfRule>
  </conditionalFormatting>
  <conditionalFormatting sqref="S8:S12">
    <cfRule type="cellIs" priority="27" operator="equal" dxfId="2">
      <formula>"O"</formula>
    </cfRule>
    <cfRule type="cellIs" priority="28" operator="equal" dxfId="4">
      <formula>"X"</formula>
    </cfRule>
  </conditionalFormatting>
  <conditionalFormatting sqref="T8:T12">
    <cfRule type="cellIs" priority="29" operator="equal" dxfId="2">
      <formula>"O"</formula>
    </cfRule>
    <cfRule type="cellIs" priority="30" operator="equal" dxfId="4">
      <formula>"X"</formula>
    </cfRule>
  </conditionalFormatting>
  <conditionalFormatting sqref="U8:U12">
    <cfRule type="cellIs" priority="31" operator="equal" dxfId="2">
      <formula>"O"</formula>
    </cfRule>
    <cfRule type="cellIs" priority="32" operator="equal" dxfId="4">
      <formula>"X"</formula>
    </cfRule>
  </conditionalFormatting>
  <conditionalFormatting sqref="V8:V12">
    <cfRule type="cellIs" priority="33" operator="equal" dxfId="2">
      <formula>"O"</formula>
    </cfRule>
    <cfRule type="cellIs" priority="34" operator="equal" dxfId="4">
      <formula>"X"</formula>
    </cfRule>
  </conditionalFormatting>
  <conditionalFormatting sqref="W8:W12">
    <cfRule type="cellIs" priority="35" operator="equal" dxfId="2">
      <formula>"O"</formula>
    </cfRule>
    <cfRule type="cellIs" priority="36" operator="equal" dxfId="4">
      <formula>"X"</formula>
    </cfRule>
  </conditionalFormatting>
  <conditionalFormatting sqref="X8:X12">
    <cfRule type="cellIs" priority="37" operator="equal" dxfId="2">
      <formula>"O"</formula>
    </cfRule>
    <cfRule type="cellIs" priority="38" operator="equal" dxfId="4">
      <formula>"X"</formula>
    </cfRule>
  </conditionalFormatting>
  <conditionalFormatting sqref="F18">
    <cfRule type="cellIs" priority="39" operator="equal" dxfId="2">
      <formula>"O"</formula>
    </cfRule>
    <cfRule type="cellIs" priority="40" operator="equal" dxfId="4">
      <formula>"X"</formula>
    </cfRule>
  </conditionalFormatting>
  <conditionalFormatting sqref="G18">
    <cfRule type="cellIs" priority="41" operator="equal" dxfId="2">
      <formula>"O"</formula>
    </cfRule>
    <cfRule type="cellIs" priority="42" operator="equal" dxfId="4">
      <formula>"X"</formula>
    </cfRule>
  </conditionalFormatting>
  <conditionalFormatting sqref="H18">
    <cfRule type="cellIs" priority="43" operator="equal" dxfId="2">
      <formula>"O"</formula>
    </cfRule>
    <cfRule type="cellIs" priority="44" operator="equal" dxfId="4">
      <formula>"X"</formula>
    </cfRule>
  </conditionalFormatting>
  <conditionalFormatting sqref="I18">
    <cfRule type="cellIs" priority="45" operator="equal" dxfId="2">
      <formula>"O"</formula>
    </cfRule>
    <cfRule type="cellIs" priority="46" operator="equal" dxfId="4">
      <formula>"X"</formula>
    </cfRule>
  </conditionalFormatting>
  <conditionalFormatting sqref="J18">
    <cfRule type="cellIs" priority="47" operator="equal" dxfId="2">
      <formula>"O"</formula>
    </cfRule>
    <cfRule type="cellIs" priority="48" operator="equal" dxfId="4">
      <formula>"X"</formula>
    </cfRule>
  </conditionalFormatting>
  <conditionalFormatting sqref="K18">
    <cfRule type="cellIs" priority="49" operator="equal" dxfId="2">
      <formula>"O"</formula>
    </cfRule>
    <cfRule type="cellIs" priority="50" operator="equal" dxfId="4">
      <formula>"X"</formula>
    </cfRule>
  </conditionalFormatting>
  <conditionalFormatting sqref="L18">
    <cfRule type="cellIs" priority="51" operator="equal" dxfId="2">
      <formula>"O"</formula>
    </cfRule>
    <cfRule type="cellIs" priority="52" operator="equal" dxfId="4">
      <formula>"X"</formula>
    </cfRule>
  </conditionalFormatting>
  <conditionalFormatting sqref="F29:F49">
    <cfRule type="cellIs" priority="53" operator="equal" dxfId="2">
      <formula>"O"</formula>
    </cfRule>
    <cfRule type="cellIs" priority="54" operator="equal" dxfId="4">
      <formula>"X"</formula>
    </cfRule>
  </conditionalFormatting>
  <conditionalFormatting sqref="G29:G49">
    <cfRule type="cellIs" priority="55" operator="equal" dxfId="2">
      <formula>"O"</formula>
    </cfRule>
    <cfRule type="cellIs" priority="56" operator="equal" dxfId="4">
      <formula>"X"</formula>
    </cfRule>
  </conditionalFormatting>
  <conditionalFormatting sqref="H29:H49">
    <cfRule type="cellIs" priority="57" operator="equal" dxfId="2">
      <formula>"O"</formula>
    </cfRule>
    <cfRule type="cellIs" priority="58" operator="equal" dxfId="4">
      <formula>"X"</formula>
    </cfRule>
  </conditionalFormatting>
  <conditionalFormatting sqref="I29:I49">
    <cfRule type="cellIs" priority="59" operator="equal" dxfId="2">
      <formula>"O"</formula>
    </cfRule>
    <cfRule type="cellIs" priority="60" operator="equal" dxfId="4">
      <formula>"X"</formula>
    </cfRule>
  </conditionalFormatting>
  <conditionalFormatting sqref="J29:J49">
    <cfRule type="cellIs" priority="61" operator="equal" dxfId="2">
      <formula>"O"</formula>
    </cfRule>
    <cfRule type="cellIs" priority="62" operator="equal" dxfId="4">
      <formula>"X"</formula>
    </cfRule>
  </conditionalFormatting>
  <conditionalFormatting sqref="K29:K49">
    <cfRule type="cellIs" priority="63" operator="equal" dxfId="2">
      <formula>"O"</formula>
    </cfRule>
    <cfRule type="cellIs" priority="64" operator="equal" dxfId="4">
      <formula>"X"</formula>
    </cfRule>
  </conditionalFormatting>
  <conditionalFormatting sqref="L29:L49">
    <cfRule type="cellIs" priority="65" operator="equal" dxfId="2">
      <formula>"O"</formula>
    </cfRule>
    <cfRule type="cellIs" priority="66" operator="equal" dxfId="4">
      <formula>"X"</formula>
    </cfRule>
  </conditionalFormatting>
  <conditionalFormatting sqref="M29:M49">
    <cfRule type="cellIs" priority="67" operator="equal" dxfId="2">
      <formula>"O"</formula>
    </cfRule>
    <cfRule type="cellIs" priority="68" operator="equal" dxfId="4">
      <formula>"X"</formula>
    </cfRule>
  </conditionalFormatting>
  <conditionalFormatting sqref="N29:N49">
    <cfRule type="cellIs" priority="69" operator="equal" dxfId="2">
      <formula>"O"</formula>
    </cfRule>
    <cfRule type="cellIs" priority="70" operator="equal" dxfId="4">
      <formula>"X"</formula>
    </cfRule>
  </conditionalFormatting>
  <conditionalFormatting sqref="O29:O49">
    <cfRule type="cellIs" priority="71" operator="equal" dxfId="2">
      <formula>"O"</formula>
    </cfRule>
    <cfRule type="cellIs" priority="72" operator="equal" dxfId="4">
      <formula>"X"</formula>
    </cfRule>
  </conditionalFormatting>
  <conditionalFormatting sqref="P29:P49">
    <cfRule type="cellIs" priority="73" operator="equal" dxfId="2">
      <formula>"O"</formula>
    </cfRule>
    <cfRule type="cellIs" priority="74" operator="equal" dxfId="4">
      <formula>"X"</formula>
    </cfRule>
  </conditionalFormatting>
  <conditionalFormatting sqref="Q29:Q49">
    <cfRule type="cellIs" priority="75" operator="equal" dxfId="2">
      <formula>"O"</formula>
    </cfRule>
    <cfRule type="cellIs" priority="76" operator="equal" dxfId="4">
      <formula>"X"</formula>
    </cfRule>
  </conditionalFormatting>
  <conditionalFormatting sqref="R29:R49">
    <cfRule type="cellIs" priority="77" operator="equal" dxfId="2">
      <formula>"O"</formula>
    </cfRule>
    <cfRule type="cellIs" priority="78" operator="equal" dxfId="4">
      <formula>"X"</formula>
    </cfRule>
  </conditionalFormatting>
  <conditionalFormatting sqref="S29:S49">
    <cfRule type="cellIs" priority="79" operator="equal" dxfId="2">
      <formula>"O"</formula>
    </cfRule>
    <cfRule type="cellIs" priority="80" operator="equal" dxfId="4">
      <formula>"X"</formula>
    </cfRule>
  </conditionalFormatting>
  <conditionalFormatting sqref="T29:T49">
    <cfRule type="cellIs" priority="81" operator="equal" dxfId="2">
      <formula>"O"</formula>
    </cfRule>
    <cfRule type="cellIs" priority="82" operator="equal" dxfId="4">
      <formula>"X"</formula>
    </cfRule>
  </conditionalFormatting>
  <conditionalFormatting sqref="F55:F57">
    <cfRule type="cellIs" priority="83" operator="equal" dxfId="2">
      <formula>"O"</formula>
    </cfRule>
    <cfRule type="cellIs" priority="84" operator="equal" dxfId="4">
      <formula>"X"</formula>
    </cfRule>
  </conditionalFormatting>
  <conditionalFormatting sqref="G55:G57">
    <cfRule type="cellIs" priority="85" operator="equal" dxfId="2">
      <formula>"O"</formula>
    </cfRule>
    <cfRule type="cellIs" priority="86" operator="equal" dxfId="4">
      <formula>"X"</formula>
    </cfRule>
  </conditionalFormatting>
  <conditionalFormatting sqref="H55:H57">
    <cfRule type="cellIs" priority="87" operator="equal" dxfId="2">
      <formula>"O"</formula>
    </cfRule>
    <cfRule type="cellIs" priority="88" operator="equal" dxfId="4">
      <formula>"X"</formula>
    </cfRule>
  </conditionalFormatting>
  <conditionalFormatting sqref="I55:I57">
    <cfRule type="cellIs" priority="89" operator="equal" dxfId="2">
      <formula>"O"</formula>
    </cfRule>
    <cfRule type="cellIs" priority="90" operator="equal" dxfId="4">
      <formula>"X"</formula>
    </cfRule>
  </conditionalFormatting>
  <conditionalFormatting sqref="J55:J57">
    <cfRule type="cellIs" priority="91" operator="equal" dxfId="2">
      <formula>"O"</formula>
    </cfRule>
    <cfRule type="cellIs" priority="92" operator="equal" dxfId="4">
      <formula>"X"</formula>
    </cfRule>
  </conditionalFormatting>
  <conditionalFormatting sqref="K55:K57">
    <cfRule type="cellIs" priority="93" operator="equal" dxfId="2">
      <formula>"O"</formula>
    </cfRule>
    <cfRule type="cellIs" priority="94" operator="equal" dxfId="4">
      <formula>"X"</formula>
    </cfRule>
  </conditionalFormatting>
  <conditionalFormatting sqref="F63:F64">
    <cfRule type="cellIs" priority="95" operator="equal" dxfId="2">
      <formula>"O"</formula>
    </cfRule>
    <cfRule type="cellIs" priority="96" operator="equal" dxfId="4">
      <formula>"X"</formula>
    </cfRule>
  </conditionalFormatting>
  <conditionalFormatting sqref="G63:G64">
    <cfRule type="cellIs" priority="97" operator="equal" dxfId="2">
      <formula>"O"</formula>
    </cfRule>
    <cfRule type="cellIs" priority="98" operator="equal" dxfId="4">
      <formula>"X"</formula>
    </cfRule>
  </conditionalFormatting>
  <conditionalFormatting sqref="H63:H64">
    <cfRule type="cellIs" priority="99" operator="equal" dxfId="2">
      <formula>"O"</formula>
    </cfRule>
    <cfRule type="cellIs" priority="100" operator="equal" dxfId="4">
      <formula>"X"</formula>
    </cfRule>
  </conditionalFormatting>
  <conditionalFormatting sqref="I63:I64">
    <cfRule type="cellIs" priority="101" operator="equal" dxfId="2">
      <formula>"O"</formula>
    </cfRule>
    <cfRule type="cellIs" priority="102" operator="equal" dxfId="4">
      <formula>"X"</formula>
    </cfRule>
  </conditionalFormatting>
  <conditionalFormatting sqref="J63:J64">
    <cfRule type="cellIs" priority="103" operator="equal" dxfId="2">
      <formula>"O"</formula>
    </cfRule>
    <cfRule type="cellIs" priority="104" operator="equal" dxfId="4">
      <formula>"X"</formula>
    </cfRule>
  </conditionalFormatting>
  <conditionalFormatting sqref="F70:F71">
    <cfRule type="cellIs" priority="105" operator="equal" dxfId="2">
      <formula>"O"</formula>
    </cfRule>
    <cfRule type="cellIs" priority="106" operator="equal" dxfId="4">
      <formula>"X"</formula>
    </cfRule>
  </conditionalFormatting>
  <conditionalFormatting sqref="G70:G71">
    <cfRule type="cellIs" priority="107" operator="equal" dxfId="2">
      <formula>"O"</formula>
    </cfRule>
    <cfRule type="cellIs" priority="108" operator="equal" dxfId="4">
      <formula>"X"</formula>
    </cfRule>
  </conditionalFormatting>
  <conditionalFormatting sqref="H70:H71">
    <cfRule type="cellIs" priority="109" operator="equal" dxfId="2">
      <formula>"O"</formula>
    </cfRule>
    <cfRule type="cellIs" priority="110" operator="equal" dxfId="4">
      <formula>"X"</formula>
    </cfRule>
  </conditionalFormatting>
  <conditionalFormatting sqref="I70:I71">
    <cfRule type="cellIs" priority="111" operator="equal" dxfId="2">
      <formula>"O"</formula>
    </cfRule>
    <cfRule type="cellIs" priority="112" operator="equal" dxfId="4">
      <formula>"X"</formula>
    </cfRule>
  </conditionalFormatting>
  <conditionalFormatting sqref="J70:J71">
    <cfRule type="cellIs" priority="113" operator="equal" dxfId="2">
      <formula>"O"</formula>
    </cfRule>
    <cfRule type="cellIs" priority="114" operator="equal" dxfId="4">
      <formula>"X"</formula>
    </cfRule>
  </conditionalFormatting>
  <conditionalFormatting sqref="K70:K71">
    <cfRule type="cellIs" priority="115" operator="equal" dxfId="2">
      <formula>"O"</formula>
    </cfRule>
    <cfRule type="cellIs" priority="116" operator="equal" dxfId="4">
      <formula>"X"</formula>
    </cfRule>
  </conditionalFormatting>
  <conditionalFormatting sqref="L70:L71">
    <cfRule type="cellIs" priority="117" operator="equal" dxfId="2">
      <formula>"O"</formula>
    </cfRule>
    <cfRule type="cellIs" priority="118" operator="equal" dxfId="4">
      <formula>"X"</formula>
    </cfRule>
  </conditionalFormatting>
  <dataValidations count="6">
    <dataValidation sqref="F8:X12" showDropDown="0" showInputMessage="0" showErrorMessage="0" allowBlank="0" type="list">
      <formula1>"O,X"</formula1>
    </dataValidation>
    <dataValidation sqref="F18:L18" showDropDown="0" showInputMessage="0" showErrorMessage="0" allowBlank="0" type="list">
      <formula1>"O,X"</formula1>
    </dataValidation>
    <dataValidation sqref="F29:T49" showDropDown="0" showInputMessage="0" showErrorMessage="0" allowBlank="0" type="list">
      <formula1>"O,X"</formula1>
    </dataValidation>
    <dataValidation sqref="F55:K57" showDropDown="0" showInputMessage="0" showErrorMessage="0" allowBlank="0" type="list">
      <formula1>"O,X"</formula1>
    </dataValidation>
    <dataValidation sqref="F63:J64" showDropDown="0" showInputMessage="0" showErrorMessage="0" allowBlank="0" type="list">
      <formula1>"O,X"</formula1>
    </dataValidation>
    <dataValidation sqref="F70:L71" showDropDown="0" showInputMessage="0" showErrorMessage="0" allowBlank="0" type="list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2026-05-13T02:51:18Z</dcterms:created>
  <dcterms:modified xmlns:dcterms="http://purl.org/dc/terms/" xmlns:xsi="http://www.w3.org/2001/XMLSchema-instance" xsi:type="dcterms:W3CDTF">2026-05-13T04:13:46Z</dcterms:modified>
</cp:coreProperties>
</file>