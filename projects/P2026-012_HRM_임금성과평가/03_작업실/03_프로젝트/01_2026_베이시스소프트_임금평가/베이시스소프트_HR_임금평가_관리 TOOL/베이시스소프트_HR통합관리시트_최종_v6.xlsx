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베이시스소프트_HR_임금평가_관리 TOOL/"/>
    </mc:Choice>
  </mc:AlternateContent>
  <xr:revisionPtr revIDLastSave="11" documentId="11_0B17C2AF7799EE2E29421C58FE74ABA7DD8BA7B5" xr6:coauthVersionLast="47" xr6:coauthVersionMax="47" xr10:uidLastSave="{309939CA-7F5F-4088-9B4A-B3E570A099C8}"/>
  <bookViews>
    <workbookView xWindow="-38520" yWindow="-16350" windowWidth="38640" windowHeight="21120" activeTab="3" xr2:uid="{00000000-000D-0000-FFFF-FFFF00000000}"/>
  </bookViews>
  <sheets>
    <sheet name="00_운영가이드" sheetId="1" r:id="rId1"/>
    <sheet name="00_운영현황판" sheetId="2" r:id="rId2"/>
    <sheet name="01_인적정보" sheetId="3" r:id="rId3"/>
    <sheet name="02_의사결정·종합결과" sheetId="4" r:id="rId4"/>
    <sheet name="03_전사업적평가" sheetId="5" r:id="rId5"/>
    <sheet name="04_역할평가" sheetId="6" r:id="rId6"/>
    <sheet name="05_공통역량평가" sheetId="7" r:id="rId7"/>
    <sheet name="06_직무역량평가" sheetId="8" r:id="rId8"/>
    <sheet name="07a_상반기입력" sheetId="9" r:id="rId9"/>
    <sheet name="07b_하반기입력" sheetId="10" r:id="rId10"/>
    <sheet name="08_종합평가" sheetId="11" r:id="rId11"/>
    <sheet name="09_보상연계" sheetId="12" r:id="rId12"/>
    <sheet name="10_성과급관리" sheetId="13" r:id="rId13"/>
    <sheet name="11_페이밴드검증" sheetId="14" r:id="rId14"/>
    <sheet name="12_시뮬레이션" sheetId="15" r:id="rId15"/>
    <sheet name="13_직무역할DB" sheetId="16" r:id="rId16"/>
    <sheet name="14_직무책무DB" sheetId="17" r:id="rId17"/>
    <sheet name="15_직원별책무매핑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8" l="1"/>
  <c r="F46" i="6"/>
  <c r="E71" i="18"/>
  <c r="E70" i="18"/>
  <c r="E64" i="18"/>
  <c r="E63" i="18"/>
  <c r="E57" i="18"/>
  <c r="E56" i="18"/>
  <c r="E55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18" i="18"/>
  <c r="E12" i="18"/>
  <c r="E11" i="18"/>
  <c r="E10" i="18"/>
  <c r="E9" i="18"/>
  <c r="E8" i="18"/>
  <c r="B25" i="15"/>
  <c r="B5" i="15"/>
  <c r="D49" i="14"/>
  <c r="C48" i="14"/>
  <c r="C47" i="14"/>
  <c r="A47" i="14"/>
  <c r="D45" i="14"/>
  <c r="C45" i="14"/>
  <c r="D42" i="14"/>
  <c r="B42" i="14"/>
  <c r="A42" i="14"/>
  <c r="C41" i="14"/>
  <c r="B41" i="14"/>
  <c r="D40" i="14"/>
  <c r="D38" i="14"/>
  <c r="C37" i="14"/>
  <c r="B37" i="14"/>
  <c r="A37" i="14"/>
  <c r="C36" i="14"/>
  <c r="A36" i="14"/>
  <c r="C35" i="14"/>
  <c r="A35" i="14"/>
  <c r="B33" i="14"/>
  <c r="A33" i="14"/>
  <c r="D32" i="14"/>
  <c r="C32" i="14"/>
  <c r="D31" i="14"/>
  <c r="B31" i="14"/>
  <c r="A31" i="14"/>
  <c r="G30" i="14"/>
  <c r="F30" i="14"/>
  <c r="B30" i="14"/>
  <c r="A30" i="14"/>
  <c r="G27" i="14"/>
  <c r="D27" i="14"/>
  <c r="C26" i="14"/>
  <c r="C25" i="14"/>
  <c r="A25" i="14"/>
  <c r="D23" i="14"/>
  <c r="C23" i="14"/>
  <c r="D20" i="14"/>
  <c r="B20" i="14"/>
  <c r="A20" i="14"/>
  <c r="C19" i="14"/>
  <c r="B19" i="14"/>
  <c r="D18" i="14"/>
  <c r="D16" i="14"/>
  <c r="D12" i="14"/>
  <c r="C12" i="14"/>
  <c r="B12" i="14"/>
  <c r="D11" i="14"/>
  <c r="C11" i="14"/>
  <c r="B11" i="14"/>
  <c r="D10" i="14"/>
  <c r="C10" i="14"/>
  <c r="B10" i="14"/>
  <c r="D9" i="14"/>
  <c r="C9" i="14"/>
  <c r="B9" i="14"/>
  <c r="E9" i="14" s="1"/>
  <c r="D8" i="14"/>
  <c r="C8" i="14"/>
  <c r="B8" i="14"/>
  <c r="D7" i="14"/>
  <c r="C7" i="14"/>
  <c r="B7" i="14"/>
  <c r="D6" i="14"/>
  <c r="E6" i="14" s="1"/>
  <c r="C6" i="14"/>
  <c r="B6" i="14"/>
  <c r="F42" i="13"/>
  <c r="H42" i="13" s="1"/>
  <c r="E42" i="13"/>
  <c r="D42" i="13"/>
  <c r="C42" i="13"/>
  <c r="B42" i="13"/>
  <c r="A42" i="13"/>
  <c r="H41" i="13"/>
  <c r="F41" i="13"/>
  <c r="E41" i="13"/>
  <c r="D41" i="13"/>
  <c r="C41" i="13"/>
  <c r="B41" i="13"/>
  <c r="A41" i="13"/>
  <c r="F40" i="13"/>
  <c r="H40" i="13" s="1"/>
  <c r="E40" i="13"/>
  <c r="D40" i="13"/>
  <c r="C40" i="13"/>
  <c r="B40" i="13"/>
  <c r="A40" i="13"/>
  <c r="F39" i="13"/>
  <c r="H39" i="13" s="1"/>
  <c r="E39" i="13"/>
  <c r="D39" i="13"/>
  <c r="C39" i="13"/>
  <c r="B39" i="13"/>
  <c r="A39" i="13"/>
  <c r="H38" i="13"/>
  <c r="F38" i="13"/>
  <c r="E38" i="13"/>
  <c r="D38" i="13"/>
  <c r="C38" i="13"/>
  <c r="B38" i="13"/>
  <c r="A38" i="13"/>
  <c r="H37" i="13"/>
  <c r="F37" i="13"/>
  <c r="E37" i="13"/>
  <c r="D37" i="13"/>
  <c r="C37" i="13"/>
  <c r="B37" i="13"/>
  <c r="A37" i="13"/>
  <c r="F36" i="13"/>
  <c r="H36" i="13" s="1"/>
  <c r="E36" i="13"/>
  <c r="D36" i="13"/>
  <c r="C36" i="13"/>
  <c r="B36" i="13"/>
  <c r="A36" i="13"/>
  <c r="H35" i="13"/>
  <c r="F35" i="13"/>
  <c r="E35" i="13"/>
  <c r="D35" i="13"/>
  <c r="C35" i="13"/>
  <c r="B35" i="13"/>
  <c r="A35" i="13"/>
  <c r="H34" i="13"/>
  <c r="F34" i="13"/>
  <c r="E34" i="13"/>
  <c r="D34" i="13"/>
  <c r="C34" i="13"/>
  <c r="B34" i="13"/>
  <c r="A34" i="13"/>
  <c r="H33" i="13"/>
  <c r="F33" i="13"/>
  <c r="E33" i="13"/>
  <c r="D33" i="13"/>
  <c r="C33" i="13"/>
  <c r="B33" i="13"/>
  <c r="A33" i="13"/>
  <c r="F32" i="13"/>
  <c r="H32" i="13" s="1"/>
  <c r="E32" i="13"/>
  <c r="D32" i="13"/>
  <c r="C32" i="13"/>
  <c r="B32" i="13"/>
  <c r="A32" i="13"/>
  <c r="H31" i="13"/>
  <c r="F31" i="13"/>
  <c r="E31" i="13"/>
  <c r="D31" i="13"/>
  <c r="C31" i="13"/>
  <c r="B31" i="13"/>
  <c r="A31" i="13"/>
  <c r="H30" i="13"/>
  <c r="F30" i="13"/>
  <c r="E30" i="13"/>
  <c r="D30" i="13"/>
  <c r="C30" i="13"/>
  <c r="B30" i="13"/>
  <c r="A30" i="13"/>
  <c r="F29" i="13"/>
  <c r="H29" i="13" s="1"/>
  <c r="E29" i="13"/>
  <c r="D29" i="13"/>
  <c r="C29" i="13"/>
  <c r="B29" i="13"/>
  <c r="A29" i="13"/>
  <c r="F28" i="13"/>
  <c r="H28" i="13" s="1"/>
  <c r="E28" i="13"/>
  <c r="D28" i="13"/>
  <c r="C28" i="13"/>
  <c r="B28" i="13"/>
  <c r="A28" i="13"/>
  <c r="H27" i="13"/>
  <c r="F27" i="13"/>
  <c r="E27" i="13"/>
  <c r="D27" i="13"/>
  <c r="C27" i="13"/>
  <c r="B27" i="13"/>
  <c r="A27" i="13"/>
  <c r="H26" i="13"/>
  <c r="F26" i="13"/>
  <c r="E26" i="13"/>
  <c r="D26" i="13"/>
  <c r="C26" i="13"/>
  <c r="B26" i="13"/>
  <c r="A26" i="13"/>
  <c r="F25" i="13"/>
  <c r="H25" i="13" s="1"/>
  <c r="E25" i="13"/>
  <c r="D25" i="13"/>
  <c r="C25" i="13"/>
  <c r="B25" i="13"/>
  <c r="A25" i="13"/>
  <c r="H24" i="13"/>
  <c r="F24" i="13"/>
  <c r="E24" i="13"/>
  <c r="D24" i="13"/>
  <c r="C24" i="13"/>
  <c r="B24" i="13"/>
  <c r="A24" i="13"/>
  <c r="H23" i="13"/>
  <c r="F23" i="13"/>
  <c r="E23" i="13"/>
  <c r="D23" i="13"/>
  <c r="C23" i="13"/>
  <c r="B23" i="13"/>
  <c r="A23" i="13"/>
  <c r="H22" i="13"/>
  <c r="F22" i="13"/>
  <c r="E22" i="13"/>
  <c r="D22" i="13"/>
  <c r="C22" i="13"/>
  <c r="B22" i="13"/>
  <c r="A22" i="13"/>
  <c r="F21" i="13"/>
  <c r="H21" i="13" s="1"/>
  <c r="E21" i="13"/>
  <c r="D21" i="13"/>
  <c r="C21" i="13"/>
  <c r="B21" i="13"/>
  <c r="A21" i="13"/>
  <c r="H20" i="13"/>
  <c r="F20" i="13"/>
  <c r="E20" i="13"/>
  <c r="D20" i="13"/>
  <c r="C20" i="13"/>
  <c r="B20" i="13"/>
  <c r="A20" i="13"/>
  <c r="H19" i="13"/>
  <c r="F19" i="13"/>
  <c r="E19" i="13"/>
  <c r="D19" i="13"/>
  <c r="C19" i="13"/>
  <c r="B19" i="13"/>
  <c r="A19" i="13"/>
  <c r="F18" i="13"/>
  <c r="H18" i="13" s="1"/>
  <c r="E18" i="13"/>
  <c r="D18" i="13"/>
  <c r="C18" i="13"/>
  <c r="B18" i="13"/>
  <c r="A18" i="13"/>
  <c r="F17" i="13"/>
  <c r="H17" i="13" s="1"/>
  <c r="E17" i="13"/>
  <c r="D17" i="13"/>
  <c r="C17" i="13"/>
  <c r="B17" i="13"/>
  <c r="A17" i="13"/>
  <c r="H16" i="13"/>
  <c r="F16" i="13"/>
  <c r="E16" i="13"/>
  <c r="D16" i="13"/>
  <c r="C16" i="13"/>
  <c r="B16" i="13"/>
  <c r="A16" i="13"/>
  <c r="H15" i="13"/>
  <c r="F15" i="13"/>
  <c r="E15" i="13"/>
  <c r="D15" i="13"/>
  <c r="C15" i="13"/>
  <c r="B15" i="13"/>
  <c r="A15" i="13"/>
  <c r="F14" i="13"/>
  <c r="H14" i="13" s="1"/>
  <c r="E14" i="13"/>
  <c r="D14" i="13"/>
  <c r="C14" i="13"/>
  <c r="B14" i="13"/>
  <c r="A14" i="13"/>
  <c r="H13" i="13"/>
  <c r="F13" i="13"/>
  <c r="E13" i="13"/>
  <c r="D13" i="13"/>
  <c r="C13" i="13"/>
  <c r="B13" i="13"/>
  <c r="A13" i="13"/>
  <c r="H12" i="13"/>
  <c r="F12" i="13"/>
  <c r="E12" i="13"/>
  <c r="D12" i="13"/>
  <c r="C12" i="13"/>
  <c r="B12" i="13"/>
  <c r="A12" i="13"/>
  <c r="H11" i="13"/>
  <c r="F11" i="13"/>
  <c r="E11" i="13"/>
  <c r="D11" i="13"/>
  <c r="C11" i="13"/>
  <c r="B11" i="13"/>
  <c r="A11" i="13"/>
  <c r="F10" i="13"/>
  <c r="H10" i="13" s="1"/>
  <c r="E10" i="13"/>
  <c r="D10" i="13"/>
  <c r="C10" i="13"/>
  <c r="B10" i="13"/>
  <c r="A10" i="13"/>
  <c r="H9" i="13"/>
  <c r="F9" i="13"/>
  <c r="E9" i="13"/>
  <c r="D9" i="13"/>
  <c r="C9" i="13"/>
  <c r="B9" i="13"/>
  <c r="A9" i="13"/>
  <c r="N39" i="12"/>
  <c r="G49" i="14" s="1"/>
  <c r="M39" i="12"/>
  <c r="F49" i="14" s="1"/>
  <c r="K39" i="12"/>
  <c r="G39" i="12"/>
  <c r="F39" i="12"/>
  <c r="E39" i="12"/>
  <c r="D39" i="12"/>
  <c r="C39" i="12"/>
  <c r="C49" i="14" s="1"/>
  <c r="B39" i="12"/>
  <c r="B49" i="14" s="1"/>
  <c r="A39" i="12"/>
  <c r="A49" i="14" s="1"/>
  <c r="K38" i="12"/>
  <c r="G38" i="12"/>
  <c r="F38" i="12"/>
  <c r="D48" i="14" s="1"/>
  <c r="E38" i="12"/>
  <c r="D38" i="12"/>
  <c r="C38" i="12"/>
  <c r="B38" i="12"/>
  <c r="B48" i="14" s="1"/>
  <c r="A38" i="12"/>
  <c r="A48" i="14" s="1"/>
  <c r="K37" i="12"/>
  <c r="G37" i="12"/>
  <c r="F37" i="12"/>
  <c r="E37" i="12"/>
  <c r="D37" i="12"/>
  <c r="C37" i="12"/>
  <c r="B37" i="12"/>
  <c r="B47" i="14" s="1"/>
  <c r="A37" i="12"/>
  <c r="M36" i="12"/>
  <c r="F46" i="14" s="1"/>
  <c r="K36" i="12"/>
  <c r="G36" i="12"/>
  <c r="F36" i="12"/>
  <c r="N36" i="12" s="1"/>
  <c r="G46" i="14" s="1"/>
  <c r="E36" i="12"/>
  <c r="D36" i="12"/>
  <c r="C36" i="12"/>
  <c r="C46" i="14" s="1"/>
  <c r="B36" i="12"/>
  <c r="B46" i="14" s="1"/>
  <c r="A36" i="12"/>
  <c r="A46" i="14" s="1"/>
  <c r="M35" i="12"/>
  <c r="F45" i="14" s="1"/>
  <c r="K35" i="12"/>
  <c r="G35" i="12"/>
  <c r="F35" i="12"/>
  <c r="N35" i="12" s="1"/>
  <c r="G45" i="14" s="1"/>
  <c r="E35" i="12"/>
  <c r="D35" i="12"/>
  <c r="C35" i="12"/>
  <c r="B35" i="12"/>
  <c r="B45" i="14" s="1"/>
  <c r="A35" i="12"/>
  <c r="A45" i="14" s="1"/>
  <c r="K34" i="12"/>
  <c r="G34" i="12"/>
  <c r="F34" i="12"/>
  <c r="E34" i="12"/>
  <c r="D34" i="12"/>
  <c r="C34" i="12"/>
  <c r="C44" i="14" s="1"/>
  <c r="B34" i="12"/>
  <c r="B44" i="14" s="1"/>
  <c r="A34" i="12"/>
  <c r="A44" i="14" s="1"/>
  <c r="K33" i="12"/>
  <c r="G33" i="12"/>
  <c r="F33" i="12"/>
  <c r="E33" i="12"/>
  <c r="D33" i="12"/>
  <c r="C33" i="12"/>
  <c r="C43" i="14" s="1"/>
  <c r="B33" i="12"/>
  <c r="B43" i="14" s="1"/>
  <c r="A33" i="12"/>
  <c r="A43" i="14" s="1"/>
  <c r="N32" i="12"/>
  <c r="G42" i="14" s="1"/>
  <c r="K32" i="12"/>
  <c r="G32" i="12"/>
  <c r="F32" i="12"/>
  <c r="M32" i="12" s="1"/>
  <c r="F42" i="14" s="1"/>
  <c r="E32" i="12"/>
  <c r="D32" i="12"/>
  <c r="C32" i="12"/>
  <c r="C42" i="14" s="1"/>
  <c r="B32" i="12"/>
  <c r="A32" i="12"/>
  <c r="N31" i="12"/>
  <c r="G41" i="14" s="1"/>
  <c r="M31" i="12"/>
  <c r="F41" i="14" s="1"/>
  <c r="K31" i="12"/>
  <c r="G31" i="12"/>
  <c r="F31" i="12"/>
  <c r="D41" i="14" s="1"/>
  <c r="E31" i="12"/>
  <c r="D31" i="12"/>
  <c r="C31" i="12"/>
  <c r="B31" i="12"/>
  <c r="A31" i="12"/>
  <c r="A41" i="14" s="1"/>
  <c r="N30" i="12"/>
  <c r="G40" i="14" s="1"/>
  <c r="K30" i="12"/>
  <c r="G30" i="12"/>
  <c r="F30" i="12"/>
  <c r="M30" i="12" s="1"/>
  <c r="F40" i="14" s="1"/>
  <c r="E30" i="12"/>
  <c r="D30" i="12"/>
  <c r="C30" i="12"/>
  <c r="C40" i="14" s="1"/>
  <c r="B30" i="12"/>
  <c r="B40" i="14" s="1"/>
  <c r="A30" i="12"/>
  <c r="A40" i="14" s="1"/>
  <c r="K29" i="12"/>
  <c r="G29" i="12"/>
  <c r="F29" i="12"/>
  <c r="D39" i="14" s="1"/>
  <c r="E29" i="12"/>
  <c r="D29" i="12"/>
  <c r="C29" i="12"/>
  <c r="C39" i="14" s="1"/>
  <c r="B29" i="12"/>
  <c r="B39" i="14" s="1"/>
  <c r="A29" i="12"/>
  <c r="A39" i="14" s="1"/>
  <c r="N28" i="12"/>
  <c r="G38" i="14" s="1"/>
  <c r="M28" i="12"/>
  <c r="F38" i="14" s="1"/>
  <c r="K28" i="12"/>
  <c r="G28" i="12"/>
  <c r="F28" i="12"/>
  <c r="E28" i="12"/>
  <c r="D28" i="12"/>
  <c r="C28" i="12"/>
  <c r="C38" i="14" s="1"/>
  <c r="B28" i="12"/>
  <c r="B38" i="14" s="1"/>
  <c r="A28" i="12"/>
  <c r="A38" i="14" s="1"/>
  <c r="N27" i="12"/>
  <c r="G37" i="14" s="1"/>
  <c r="M27" i="12"/>
  <c r="F37" i="14" s="1"/>
  <c r="K27" i="12"/>
  <c r="G27" i="12"/>
  <c r="F27" i="12"/>
  <c r="D37" i="14" s="1"/>
  <c r="E27" i="12"/>
  <c r="D27" i="12"/>
  <c r="C27" i="12"/>
  <c r="B27" i="12"/>
  <c r="A27" i="12"/>
  <c r="K26" i="12"/>
  <c r="G26" i="12"/>
  <c r="F26" i="12"/>
  <c r="E26" i="12"/>
  <c r="D26" i="12"/>
  <c r="C26" i="12"/>
  <c r="B26" i="12"/>
  <c r="B36" i="14" s="1"/>
  <c r="A26" i="12"/>
  <c r="M25" i="12"/>
  <c r="F35" i="14" s="1"/>
  <c r="K25" i="12"/>
  <c r="G25" i="12"/>
  <c r="F25" i="12"/>
  <c r="D35" i="14" s="1"/>
  <c r="E25" i="12"/>
  <c r="D25" i="12"/>
  <c r="C25" i="12"/>
  <c r="B25" i="12"/>
  <c r="B35" i="14" s="1"/>
  <c r="A25" i="12"/>
  <c r="M24" i="12"/>
  <c r="F34" i="14" s="1"/>
  <c r="K24" i="12"/>
  <c r="G24" i="12"/>
  <c r="F24" i="12"/>
  <c r="N24" i="12" s="1"/>
  <c r="G34" i="14" s="1"/>
  <c r="E24" i="12"/>
  <c r="D24" i="12"/>
  <c r="C24" i="12"/>
  <c r="C34" i="14" s="1"/>
  <c r="B24" i="12"/>
  <c r="B34" i="14" s="1"/>
  <c r="A24" i="12"/>
  <c r="A34" i="14" s="1"/>
  <c r="M23" i="12"/>
  <c r="F33" i="14" s="1"/>
  <c r="K23" i="12"/>
  <c r="G23" i="12"/>
  <c r="F23" i="12"/>
  <c r="E23" i="12"/>
  <c r="D23" i="12"/>
  <c r="C23" i="12"/>
  <c r="C33" i="14" s="1"/>
  <c r="B23" i="12"/>
  <c r="A23" i="12"/>
  <c r="K22" i="12"/>
  <c r="G22" i="12"/>
  <c r="F22" i="12"/>
  <c r="E22" i="12"/>
  <c r="D22" i="12"/>
  <c r="C22" i="12"/>
  <c r="B22" i="12"/>
  <c r="B32" i="14" s="1"/>
  <c r="A22" i="12"/>
  <c r="A32" i="14" s="1"/>
  <c r="N21" i="12"/>
  <c r="G31" i="14" s="1"/>
  <c r="K21" i="12"/>
  <c r="G21" i="12"/>
  <c r="F21" i="12"/>
  <c r="M21" i="12" s="1"/>
  <c r="F31" i="14" s="1"/>
  <c r="E21" i="12"/>
  <c r="D21" i="12"/>
  <c r="C21" i="12"/>
  <c r="C31" i="14" s="1"/>
  <c r="B21" i="12"/>
  <c r="A21" i="12"/>
  <c r="N20" i="12"/>
  <c r="M20" i="12"/>
  <c r="K20" i="12"/>
  <c r="G20" i="12"/>
  <c r="F20" i="12"/>
  <c r="D30" i="14" s="1"/>
  <c r="E20" i="12"/>
  <c r="D20" i="12"/>
  <c r="C20" i="12"/>
  <c r="C30" i="14" s="1"/>
  <c r="B20" i="12"/>
  <c r="A20" i="12"/>
  <c r="N19" i="12"/>
  <c r="G29" i="14" s="1"/>
  <c r="K19" i="12"/>
  <c r="G19" i="12"/>
  <c r="F19" i="12"/>
  <c r="D29" i="14" s="1"/>
  <c r="E19" i="12"/>
  <c r="D19" i="12"/>
  <c r="C19" i="12"/>
  <c r="C29" i="14" s="1"/>
  <c r="B19" i="12"/>
  <c r="B29" i="14" s="1"/>
  <c r="A19" i="12"/>
  <c r="A29" i="14" s="1"/>
  <c r="K18" i="12"/>
  <c r="G18" i="12"/>
  <c r="F18" i="12"/>
  <c r="N18" i="12" s="1"/>
  <c r="G28" i="14" s="1"/>
  <c r="E18" i="12"/>
  <c r="D18" i="12"/>
  <c r="C18" i="12"/>
  <c r="C28" i="14" s="1"/>
  <c r="B18" i="12"/>
  <c r="B28" i="14" s="1"/>
  <c r="A18" i="12"/>
  <c r="A28" i="14" s="1"/>
  <c r="N17" i="12"/>
  <c r="M17" i="12"/>
  <c r="F27" i="14" s="1"/>
  <c r="K17" i="12"/>
  <c r="G17" i="12"/>
  <c r="F17" i="12"/>
  <c r="E17" i="12"/>
  <c r="D17" i="12"/>
  <c r="C17" i="12"/>
  <c r="C27" i="14" s="1"/>
  <c r="B17" i="12"/>
  <c r="B27" i="14" s="1"/>
  <c r="A17" i="12"/>
  <c r="A27" i="14" s="1"/>
  <c r="K16" i="12"/>
  <c r="G16" i="12"/>
  <c r="F16" i="12"/>
  <c r="D26" i="14" s="1"/>
  <c r="E16" i="12"/>
  <c r="D16" i="12"/>
  <c r="C16" i="12"/>
  <c r="B16" i="12"/>
  <c r="B26" i="14" s="1"/>
  <c r="A16" i="12"/>
  <c r="A26" i="14" s="1"/>
  <c r="N15" i="12"/>
  <c r="G25" i="14" s="1"/>
  <c r="K15" i="12"/>
  <c r="G15" i="12"/>
  <c r="F15" i="12"/>
  <c r="E15" i="12"/>
  <c r="D15" i="12"/>
  <c r="C15" i="12"/>
  <c r="B15" i="12"/>
  <c r="B25" i="14" s="1"/>
  <c r="A15" i="12"/>
  <c r="M14" i="12"/>
  <c r="F24" i="14" s="1"/>
  <c r="K14" i="12"/>
  <c r="G14" i="12"/>
  <c r="F14" i="12"/>
  <c r="N14" i="12" s="1"/>
  <c r="G24" i="14" s="1"/>
  <c r="E14" i="12"/>
  <c r="D14" i="12"/>
  <c r="C14" i="12"/>
  <c r="C24" i="14" s="1"/>
  <c r="B14" i="12"/>
  <c r="B24" i="14" s="1"/>
  <c r="A14" i="12"/>
  <c r="A24" i="14" s="1"/>
  <c r="M13" i="12"/>
  <c r="F23" i="14" s="1"/>
  <c r="K13" i="12"/>
  <c r="G13" i="12"/>
  <c r="F13" i="12"/>
  <c r="N13" i="12" s="1"/>
  <c r="G23" i="14" s="1"/>
  <c r="E13" i="12"/>
  <c r="D13" i="12"/>
  <c r="C13" i="12"/>
  <c r="B13" i="12"/>
  <c r="B23" i="14" s="1"/>
  <c r="A13" i="12"/>
  <c r="A23" i="14" s="1"/>
  <c r="K12" i="12"/>
  <c r="G12" i="12"/>
  <c r="F12" i="12"/>
  <c r="F7" i="14" s="1"/>
  <c r="E12" i="12"/>
  <c r="D12" i="12"/>
  <c r="C12" i="12"/>
  <c r="C22" i="14" s="1"/>
  <c r="B12" i="12"/>
  <c r="B22" i="14" s="1"/>
  <c r="A12" i="12"/>
  <c r="A22" i="14" s="1"/>
  <c r="K11" i="12"/>
  <c r="G11" i="12"/>
  <c r="F11" i="12"/>
  <c r="D21" i="14" s="1"/>
  <c r="E11" i="12"/>
  <c r="D11" i="12"/>
  <c r="C11" i="12"/>
  <c r="C21" i="14" s="1"/>
  <c r="B11" i="12"/>
  <c r="B21" i="14" s="1"/>
  <c r="A11" i="12"/>
  <c r="A21" i="14" s="1"/>
  <c r="N10" i="12"/>
  <c r="G20" i="14" s="1"/>
  <c r="K10" i="12"/>
  <c r="G10" i="12"/>
  <c r="F10" i="12"/>
  <c r="M10" i="12" s="1"/>
  <c r="F20" i="14" s="1"/>
  <c r="E10" i="12"/>
  <c r="D10" i="12"/>
  <c r="C10" i="12"/>
  <c r="C20" i="14" s="1"/>
  <c r="B10" i="12"/>
  <c r="A10" i="12"/>
  <c r="N9" i="12"/>
  <c r="G19" i="14" s="1"/>
  <c r="M9" i="12"/>
  <c r="F19" i="14" s="1"/>
  <c r="K9" i="12"/>
  <c r="G9" i="12"/>
  <c r="F9" i="12"/>
  <c r="D19" i="14" s="1"/>
  <c r="E9" i="12"/>
  <c r="D9" i="12"/>
  <c r="C9" i="12"/>
  <c r="B9" i="12"/>
  <c r="A9" i="12"/>
  <c r="A19" i="14" s="1"/>
  <c r="N8" i="12"/>
  <c r="G18" i="14" s="1"/>
  <c r="K8" i="12"/>
  <c r="G8" i="12"/>
  <c r="F8" i="12"/>
  <c r="F12" i="14" s="1"/>
  <c r="E8" i="12"/>
  <c r="D8" i="12"/>
  <c r="C8" i="12"/>
  <c r="C18" i="14" s="1"/>
  <c r="B8" i="12"/>
  <c r="B18" i="14" s="1"/>
  <c r="A8" i="12"/>
  <c r="A18" i="14" s="1"/>
  <c r="K7" i="12"/>
  <c r="G7" i="12"/>
  <c r="F7" i="12"/>
  <c r="E7" i="12"/>
  <c r="D7" i="12"/>
  <c r="C7" i="12"/>
  <c r="C17" i="14" s="1"/>
  <c r="B7" i="12"/>
  <c r="B17" i="14" s="1"/>
  <c r="A7" i="12"/>
  <c r="A17" i="14" s="1"/>
  <c r="N6" i="12"/>
  <c r="G16" i="14" s="1"/>
  <c r="M6" i="12"/>
  <c r="F16" i="14" s="1"/>
  <c r="K6" i="12"/>
  <c r="G6" i="12"/>
  <c r="F6" i="12"/>
  <c r="F11" i="14" s="1"/>
  <c r="E6" i="12"/>
  <c r="B26" i="15" s="1"/>
  <c r="D6" i="12"/>
  <c r="C6" i="12"/>
  <c r="C16" i="14" s="1"/>
  <c r="B6" i="12"/>
  <c r="B16" i="14" s="1"/>
  <c r="A6" i="12"/>
  <c r="A16" i="14" s="1"/>
  <c r="R39" i="11"/>
  <c r="Q39" i="11"/>
  <c r="P39" i="11"/>
  <c r="F39" i="11"/>
  <c r="E39" i="11"/>
  <c r="D39" i="11"/>
  <c r="C39" i="11"/>
  <c r="B39" i="11"/>
  <c r="A39" i="11"/>
  <c r="R38" i="11"/>
  <c r="Q38" i="11"/>
  <c r="P38" i="11"/>
  <c r="F38" i="11"/>
  <c r="E38" i="11"/>
  <c r="D38" i="11"/>
  <c r="C38" i="11"/>
  <c r="B38" i="11"/>
  <c r="A38" i="11"/>
  <c r="Q37" i="11"/>
  <c r="P37" i="11"/>
  <c r="F37" i="11"/>
  <c r="R37" i="11" s="1"/>
  <c r="E37" i="11"/>
  <c r="D37" i="11"/>
  <c r="C37" i="11"/>
  <c r="B37" i="11"/>
  <c r="A37" i="11"/>
  <c r="P36" i="11"/>
  <c r="F36" i="11"/>
  <c r="R36" i="11" s="1"/>
  <c r="E36" i="11"/>
  <c r="D36" i="11"/>
  <c r="C36" i="11"/>
  <c r="B36" i="11"/>
  <c r="A36" i="11"/>
  <c r="F35" i="11"/>
  <c r="E35" i="11"/>
  <c r="D35" i="11"/>
  <c r="C35" i="11"/>
  <c r="B35" i="11"/>
  <c r="A35" i="11"/>
  <c r="F34" i="11"/>
  <c r="E34" i="11"/>
  <c r="D34" i="11"/>
  <c r="C34" i="11"/>
  <c r="B34" i="11"/>
  <c r="A34" i="11"/>
  <c r="R33" i="11"/>
  <c r="P33" i="11"/>
  <c r="F33" i="11"/>
  <c r="Q33" i="11" s="1"/>
  <c r="E33" i="11"/>
  <c r="D33" i="11"/>
  <c r="C33" i="11"/>
  <c r="B33" i="11"/>
  <c r="A33" i="11"/>
  <c r="F32" i="11"/>
  <c r="E32" i="11"/>
  <c r="D32" i="11"/>
  <c r="C32" i="11"/>
  <c r="B32" i="11"/>
  <c r="A32" i="11"/>
  <c r="R31" i="11"/>
  <c r="Q31" i="11"/>
  <c r="P31" i="11"/>
  <c r="F31" i="11"/>
  <c r="E31" i="11"/>
  <c r="D31" i="11"/>
  <c r="C31" i="11"/>
  <c r="B31" i="11"/>
  <c r="A31" i="11"/>
  <c r="F30" i="11"/>
  <c r="R30" i="11" s="1"/>
  <c r="E30" i="11"/>
  <c r="D30" i="11"/>
  <c r="C30" i="11"/>
  <c r="B30" i="11"/>
  <c r="A30" i="11"/>
  <c r="F29" i="11"/>
  <c r="R29" i="11" s="1"/>
  <c r="E29" i="11"/>
  <c r="D29" i="11"/>
  <c r="C29" i="11"/>
  <c r="B29" i="11"/>
  <c r="A29" i="11"/>
  <c r="F28" i="11"/>
  <c r="E28" i="11"/>
  <c r="D28" i="11"/>
  <c r="C28" i="11"/>
  <c r="B28" i="11"/>
  <c r="A28" i="11"/>
  <c r="F27" i="11"/>
  <c r="E27" i="11"/>
  <c r="D27" i="11"/>
  <c r="C27" i="11"/>
  <c r="B27" i="11"/>
  <c r="A27" i="11"/>
  <c r="F26" i="11"/>
  <c r="E26" i="11"/>
  <c r="D26" i="11"/>
  <c r="C26" i="11"/>
  <c r="B26" i="11"/>
  <c r="A26" i="11"/>
  <c r="R25" i="11"/>
  <c r="Q25" i="11"/>
  <c r="P25" i="11"/>
  <c r="F25" i="11"/>
  <c r="E25" i="11"/>
  <c r="D25" i="11"/>
  <c r="C25" i="11"/>
  <c r="B25" i="11"/>
  <c r="A25" i="11"/>
  <c r="R24" i="11"/>
  <c r="Q24" i="11"/>
  <c r="P24" i="11"/>
  <c r="F24" i="11"/>
  <c r="E24" i="11"/>
  <c r="D24" i="11"/>
  <c r="C24" i="11"/>
  <c r="B24" i="11"/>
  <c r="A24" i="11"/>
  <c r="Q23" i="11"/>
  <c r="P23" i="11"/>
  <c r="F23" i="11"/>
  <c r="R23" i="11" s="1"/>
  <c r="E23" i="11"/>
  <c r="D23" i="11"/>
  <c r="C23" i="11"/>
  <c r="B23" i="11"/>
  <c r="A23" i="11"/>
  <c r="R22" i="11"/>
  <c r="Q22" i="11"/>
  <c r="P22" i="11"/>
  <c r="F22" i="11"/>
  <c r="E22" i="11"/>
  <c r="D22" i="11"/>
  <c r="C22" i="11"/>
  <c r="B22" i="11"/>
  <c r="A22" i="11"/>
  <c r="Q21" i="11"/>
  <c r="P21" i="11"/>
  <c r="F21" i="11"/>
  <c r="R21" i="11" s="1"/>
  <c r="E21" i="11"/>
  <c r="D21" i="11"/>
  <c r="C21" i="11"/>
  <c r="B21" i="11"/>
  <c r="A21" i="11"/>
  <c r="R20" i="11"/>
  <c r="P20" i="11"/>
  <c r="F20" i="11"/>
  <c r="Q20" i="11" s="1"/>
  <c r="E20" i="11"/>
  <c r="D20" i="11"/>
  <c r="C20" i="11"/>
  <c r="B20" i="11"/>
  <c r="A20" i="11"/>
  <c r="R19" i="11"/>
  <c r="Q19" i="11"/>
  <c r="F19" i="11"/>
  <c r="P19" i="11" s="1"/>
  <c r="E19" i="11"/>
  <c r="D19" i="11"/>
  <c r="C19" i="11"/>
  <c r="B19" i="11"/>
  <c r="A19" i="11"/>
  <c r="R18" i="11"/>
  <c r="Q18" i="11"/>
  <c r="P18" i="11"/>
  <c r="F18" i="11"/>
  <c r="E18" i="11"/>
  <c r="D18" i="11"/>
  <c r="C18" i="11"/>
  <c r="B18" i="11"/>
  <c r="A18" i="11"/>
  <c r="R17" i="11"/>
  <c r="Q17" i="11"/>
  <c r="P17" i="11"/>
  <c r="F17" i="11"/>
  <c r="E17" i="11"/>
  <c r="D17" i="11"/>
  <c r="C17" i="11"/>
  <c r="B17" i="11"/>
  <c r="A17" i="11"/>
  <c r="R16" i="11"/>
  <c r="Q16" i="11"/>
  <c r="P16" i="11"/>
  <c r="F16" i="11"/>
  <c r="E16" i="11"/>
  <c r="D16" i="11"/>
  <c r="C16" i="11"/>
  <c r="B16" i="11"/>
  <c r="A16" i="11"/>
  <c r="Q15" i="11"/>
  <c r="P15" i="11"/>
  <c r="F15" i="11"/>
  <c r="R15" i="11" s="1"/>
  <c r="E15" i="11"/>
  <c r="D15" i="11"/>
  <c r="C15" i="11"/>
  <c r="B15" i="11"/>
  <c r="A15" i="11"/>
  <c r="P14" i="11"/>
  <c r="F14" i="11"/>
  <c r="R14" i="11" s="1"/>
  <c r="E14" i="11"/>
  <c r="D14" i="11"/>
  <c r="C14" i="11"/>
  <c r="B14" i="11"/>
  <c r="A14" i="11"/>
  <c r="F13" i="11"/>
  <c r="E13" i="11"/>
  <c r="D13" i="11"/>
  <c r="C13" i="11"/>
  <c r="B13" i="11"/>
  <c r="A13" i="11"/>
  <c r="Q12" i="11"/>
  <c r="F12" i="11"/>
  <c r="E12" i="11"/>
  <c r="D12" i="11"/>
  <c r="C12" i="11"/>
  <c r="B12" i="11"/>
  <c r="A12" i="11"/>
  <c r="R11" i="11"/>
  <c r="P11" i="11"/>
  <c r="F11" i="11"/>
  <c r="Q11" i="11" s="1"/>
  <c r="E11" i="11"/>
  <c r="D11" i="11"/>
  <c r="C11" i="11"/>
  <c r="B11" i="11"/>
  <c r="A11" i="11"/>
  <c r="F10" i="11"/>
  <c r="P10" i="11" s="1"/>
  <c r="E10" i="11"/>
  <c r="D10" i="11"/>
  <c r="C10" i="11"/>
  <c r="B10" i="11"/>
  <c r="A10" i="11"/>
  <c r="R9" i="11"/>
  <c r="Q9" i="11"/>
  <c r="P9" i="11"/>
  <c r="F9" i="11"/>
  <c r="E9" i="11"/>
  <c r="D9" i="11"/>
  <c r="C9" i="11"/>
  <c r="B9" i="11"/>
  <c r="A9" i="11"/>
  <c r="F8" i="11"/>
  <c r="E8" i="11"/>
  <c r="D8" i="11"/>
  <c r="C8" i="11"/>
  <c r="B8" i="11"/>
  <c r="A8" i="11"/>
  <c r="F7" i="11"/>
  <c r="R7" i="11" s="1"/>
  <c r="E7" i="11"/>
  <c r="D7" i="11"/>
  <c r="C7" i="11"/>
  <c r="B7" i="11"/>
  <c r="A7" i="11"/>
  <c r="F6" i="11"/>
  <c r="E6" i="11"/>
  <c r="D6" i="11"/>
  <c r="C6" i="11"/>
  <c r="B6" i="11"/>
  <c r="A6" i="11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F16" i="10"/>
  <c r="E16" i="10"/>
  <c r="D16" i="10"/>
  <c r="C16" i="10"/>
  <c r="B16" i="10"/>
  <c r="A16" i="10"/>
  <c r="F15" i="10"/>
  <c r="E15" i="10"/>
  <c r="D15" i="10"/>
  <c r="C15" i="10"/>
  <c r="B15" i="10"/>
  <c r="A15" i="10"/>
  <c r="F14" i="10"/>
  <c r="E14" i="10"/>
  <c r="D14" i="10"/>
  <c r="C14" i="10"/>
  <c r="B14" i="10"/>
  <c r="A14" i="10"/>
  <c r="F13" i="10"/>
  <c r="E13" i="10"/>
  <c r="D13" i="10"/>
  <c r="C13" i="10"/>
  <c r="B13" i="10"/>
  <c r="A13" i="10"/>
  <c r="F12" i="10"/>
  <c r="E12" i="10"/>
  <c r="D12" i="10"/>
  <c r="C12" i="10"/>
  <c r="B12" i="10"/>
  <c r="A12" i="10"/>
  <c r="F11" i="10"/>
  <c r="E11" i="10"/>
  <c r="D11" i="10"/>
  <c r="C11" i="10"/>
  <c r="B11" i="10"/>
  <c r="A11" i="10"/>
  <c r="F10" i="10"/>
  <c r="E10" i="10"/>
  <c r="D10" i="10"/>
  <c r="C10" i="10"/>
  <c r="B10" i="10"/>
  <c r="A10" i="10"/>
  <c r="F9" i="10"/>
  <c r="E9" i="10"/>
  <c r="D9" i="10"/>
  <c r="C9" i="10"/>
  <c r="B9" i="10"/>
  <c r="A9" i="10"/>
  <c r="F8" i="10"/>
  <c r="E8" i="10"/>
  <c r="D8" i="10"/>
  <c r="C8" i="10"/>
  <c r="B8" i="10"/>
  <c r="A8" i="10"/>
  <c r="F7" i="10"/>
  <c r="E7" i="10"/>
  <c r="D7" i="10"/>
  <c r="C7" i="10"/>
  <c r="B7" i="10"/>
  <c r="A7" i="10"/>
  <c r="F6" i="10"/>
  <c r="E6" i="10"/>
  <c r="D6" i="10"/>
  <c r="C6" i="10"/>
  <c r="B6" i="10"/>
  <c r="A6" i="10"/>
  <c r="F39" i="9"/>
  <c r="E39" i="9"/>
  <c r="D39" i="9"/>
  <c r="C39" i="9"/>
  <c r="B39" i="9"/>
  <c r="A39" i="9"/>
  <c r="F38" i="9"/>
  <c r="E38" i="9"/>
  <c r="D38" i="9"/>
  <c r="C38" i="9"/>
  <c r="B38" i="9"/>
  <c r="A38" i="9"/>
  <c r="F37" i="9"/>
  <c r="E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F34" i="9"/>
  <c r="E34" i="9"/>
  <c r="D34" i="9"/>
  <c r="C34" i="9"/>
  <c r="B34" i="9"/>
  <c r="A34" i="9"/>
  <c r="F33" i="9"/>
  <c r="E33" i="9"/>
  <c r="D33" i="9"/>
  <c r="C33" i="9"/>
  <c r="B33" i="9"/>
  <c r="A33" i="9"/>
  <c r="F32" i="9"/>
  <c r="E32" i="9"/>
  <c r="D32" i="9"/>
  <c r="C32" i="9"/>
  <c r="B32" i="9"/>
  <c r="A32" i="9"/>
  <c r="F31" i="9"/>
  <c r="E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F27" i="9"/>
  <c r="E27" i="9"/>
  <c r="D27" i="9"/>
  <c r="C27" i="9"/>
  <c r="B27" i="9"/>
  <c r="A27" i="9"/>
  <c r="F26" i="9"/>
  <c r="E26" i="9"/>
  <c r="D26" i="9"/>
  <c r="C26" i="9"/>
  <c r="B26" i="9"/>
  <c r="A26" i="9"/>
  <c r="F25" i="9"/>
  <c r="E25" i="9"/>
  <c r="D25" i="9"/>
  <c r="C25" i="9"/>
  <c r="B25" i="9"/>
  <c r="A25" i="9"/>
  <c r="F24" i="9"/>
  <c r="E24" i="9"/>
  <c r="D24" i="9"/>
  <c r="C24" i="9"/>
  <c r="B24" i="9"/>
  <c r="A24" i="9"/>
  <c r="F23" i="9"/>
  <c r="E23" i="9"/>
  <c r="D23" i="9"/>
  <c r="C23" i="9"/>
  <c r="B23" i="9"/>
  <c r="A23" i="9"/>
  <c r="F22" i="9"/>
  <c r="E22" i="9"/>
  <c r="D22" i="9"/>
  <c r="C22" i="9"/>
  <c r="B22" i="9"/>
  <c r="A22" i="9"/>
  <c r="F21" i="9"/>
  <c r="E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F16" i="9"/>
  <c r="E16" i="9"/>
  <c r="D16" i="9"/>
  <c r="C16" i="9"/>
  <c r="B16" i="9"/>
  <c r="A16" i="9"/>
  <c r="F15" i="9"/>
  <c r="E15" i="9"/>
  <c r="D15" i="9"/>
  <c r="C15" i="9"/>
  <c r="B15" i="9"/>
  <c r="A15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1" i="9"/>
  <c r="E11" i="9"/>
  <c r="D11" i="9"/>
  <c r="C11" i="9"/>
  <c r="B11" i="9"/>
  <c r="A11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H79" i="8"/>
  <c r="G79" i="8"/>
  <c r="E79" i="8"/>
  <c r="D79" i="8"/>
  <c r="C79" i="8"/>
  <c r="B79" i="8"/>
  <c r="A79" i="8"/>
  <c r="H78" i="8"/>
  <c r="G78" i="8"/>
  <c r="E78" i="8"/>
  <c r="D78" i="8"/>
  <c r="C78" i="8"/>
  <c r="B78" i="8"/>
  <c r="A78" i="8"/>
  <c r="H77" i="8"/>
  <c r="G77" i="8"/>
  <c r="F77" i="8"/>
  <c r="E77" i="8"/>
  <c r="D77" i="8"/>
  <c r="C77" i="8"/>
  <c r="B77" i="8"/>
  <c r="A77" i="8"/>
  <c r="H76" i="8"/>
  <c r="G76" i="8"/>
  <c r="E76" i="8"/>
  <c r="D76" i="8"/>
  <c r="C76" i="8"/>
  <c r="B76" i="8"/>
  <c r="A76" i="8"/>
  <c r="H75" i="8"/>
  <c r="G75" i="8"/>
  <c r="E75" i="8"/>
  <c r="D75" i="8"/>
  <c r="C75" i="8"/>
  <c r="B75" i="8"/>
  <c r="A75" i="8"/>
  <c r="H74" i="8"/>
  <c r="G74" i="8"/>
  <c r="E74" i="8"/>
  <c r="D74" i="8"/>
  <c r="C74" i="8"/>
  <c r="B74" i="8"/>
  <c r="A74" i="8"/>
  <c r="H73" i="8"/>
  <c r="G73" i="8"/>
  <c r="E73" i="8"/>
  <c r="D73" i="8"/>
  <c r="C73" i="8"/>
  <c r="B73" i="8"/>
  <c r="A73" i="8"/>
  <c r="H72" i="8"/>
  <c r="G72" i="8"/>
  <c r="F72" i="8"/>
  <c r="E72" i="8"/>
  <c r="D72" i="8"/>
  <c r="C72" i="8"/>
  <c r="B72" i="8"/>
  <c r="A72" i="8"/>
  <c r="H71" i="8"/>
  <c r="G71" i="8"/>
  <c r="E71" i="8"/>
  <c r="D71" i="8"/>
  <c r="C71" i="8"/>
  <c r="B71" i="8"/>
  <c r="A71" i="8"/>
  <c r="H70" i="8"/>
  <c r="G70" i="8"/>
  <c r="F70" i="8"/>
  <c r="E70" i="8"/>
  <c r="D70" i="8"/>
  <c r="C70" i="8"/>
  <c r="B70" i="8"/>
  <c r="A70" i="8"/>
  <c r="H69" i="8"/>
  <c r="G69" i="8"/>
  <c r="E69" i="8"/>
  <c r="D69" i="8"/>
  <c r="C69" i="8"/>
  <c r="B69" i="8"/>
  <c r="A69" i="8"/>
  <c r="H68" i="8"/>
  <c r="G68" i="8"/>
  <c r="E68" i="8"/>
  <c r="D68" i="8"/>
  <c r="C68" i="8"/>
  <c r="B68" i="8"/>
  <c r="A68" i="8"/>
  <c r="H67" i="8"/>
  <c r="G67" i="8"/>
  <c r="E67" i="8"/>
  <c r="D67" i="8"/>
  <c r="C67" i="8"/>
  <c r="B67" i="8"/>
  <c r="A67" i="8"/>
  <c r="H66" i="8"/>
  <c r="G66" i="8"/>
  <c r="E66" i="8"/>
  <c r="D66" i="8"/>
  <c r="C66" i="8"/>
  <c r="B66" i="8"/>
  <c r="A66" i="8"/>
  <c r="H65" i="8"/>
  <c r="G65" i="8"/>
  <c r="F65" i="8"/>
  <c r="E65" i="8"/>
  <c r="D65" i="8"/>
  <c r="C65" i="8"/>
  <c r="B65" i="8"/>
  <c r="A65" i="8"/>
  <c r="H64" i="8"/>
  <c r="G64" i="8"/>
  <c r="E64" i="8"/>
  <c r="D64" i="8"/>
  <c r="C64" i="8"/>
  <c r="B64" i="8"/>
  <c r="A64" i="8"/>
  <c r="H63" i="8"/>
  <c r="G63" i="8"/>
  <c r="E63" i="8"/>
  <c r="D63" i="8"/>
  <c r="C63" i="8"/>
  <c r="B63" i="8"/>
  <c r="A63" i="8"/>
  <c r="H62" i="8"/>
  <c r="G62" i="8"/>
  <c r="E62" i="8"/>
  <c r="D62" i="8"/>
  <c r="C62" i="8"/>
  <c r="B62" i="8"/>
  <c r="A62" i="8"/>
  <c r="H61" i="8"/>
  <c r="G61" i="8"/>
  <c r="E61" i="8"/>
  <c r="D61" i="8"/>
  <c r="C61" i="8"/>
  <c r="B61" i="8"/>
  <c r="A61" i="8"/>
  <c r="H60" i="8"/>
  <c r="G60" i="8"/>
  <c r="E60" i="8"/>
  <c r="D60" i="8"/>
  <c r="C60" i="8"/>
  <c r="B60" i="8"/>
  <c r="A60" i="8"/>
  <c r="H59" i="8"/>
  <c r="G59" i="8"/>
  <c r="E59" i="8"/>
  <c r="D59" i="8"/>
  <c r="C59" i="8"/>
  <c r="B59" i="8"/>
  <c r="A59" i="8"/>
  <c r="H58" i="8"/>
  <c r="G58" i="8"/>
  <c r="E58" i="8"/>
  <c r="D58" i="8"/>
  <c r="C58" i="8"/>
  <c r="B58" i="8"/>
  <c r="A58" i="8"/>
  <c r="H57" i="8"/>
  <c r="G57" i="8"/>
  <c r="F57" i="8"/>
  <c r="E57" i="8"/>
  <c r="D57" i="8"/>
  <c r="C57" i="8"/>
  <c r="B57" i="8"/>
  <c r="A57" i="8"/>
  <c r="H56" i="8"/>
  <c r="G56" i="8"/>
  <c r="E56" i="8"/>
  <c r="D56" i="8"/>
  <c r="C56" i="8"/>
  <c r="B56" i="8"/>
  <c r="A56" i="8"/>
  <c r="H55" i="8"/>
  <c r="G55" i="8"/>
  <c r="E55" i="8"/>
  <c r="D55" i="8"/>
  <c r="C55" i="8"/>
  <c r="B55" i="8"/>
  <c r="A55" i="8"/>
  <c r="H54" i="8"/>
  <c r="G54" i="8"/>
  <c r="E54" i="8"/>
  <c r="D54" i="8"/>
  <c r="C54" i="8"/>
  <c r="B54" i="8"/>
  <c r="A54" i="8"/>
  <c r="G53" i="8"/>
  <c r="E53" i="8"/>
  <c r="D53" i="8"/>
  <c r="C53" i="8"/>
  <c r="B53" i="8"/>
  <c r="A53" i="8"/>
  <c r="H52" i="8"/>
  <c r="G52" i="8"/>
  <c r="E52" i="8"/>
  <c r="D52" i="8"/>
  <c r="C52" i="8"/>
  <c r="B52" i="8"/>
  <c r="A52" i="8"/>
  <c r="H51" i="8"/>
  <c r="G51" i="8"/>
  <c r="E51" i="8"/>
  <c r="D51" i="8"/>
  <c r="C51" i="8"/>
  <c r="B51" i="8"/>
  <c r="A51" i="8"/>
  <c r="H50" i="8"/>
  <c r="G50" i="8"/>
  <c r="E50" i="8"/>
  <c r="D50" i="8"/>
  <c r="C50" i="8"/>
  <c r="B50" i="8"/>
  <c r="A50" i="8"/>
  <c r="H49" i="8"/>
  <c r="G49" i="8"/>
  <c r="E49" i="8"/>
  <c r="D49" i="8"/>
  <c r="C49" i="8"/>
  <c r="B49" i="8"/>
  <c r="A49" i="8"/>
  <c r="H48" i="8"/>
  <c r="G48" i="8"/>
  <c r="F48" i="8"/>
  <c r="E48" i="8"/>
  <c r="D48" i="8"/>
  <c r="C48" i="8"/>
  <c r="B48" i="8"/>
  <c r="A48" i="8"/>
  <c r="H47" i="8"/>
  <c r="G47" i="8"/>
  <c r="E47" i="8"/>
  <c r="D47" i="8"/>
  <c r="C47" i="8"/>
  <c r="B47" i="8"/>
  <c r="A47" i="8"/>
  <c r="H46" i="8"/>
  <c r="G46" i="8"/>
  <c r="E46" i="8"/>
  <c r="D46" i="8"/>
  <c r="C46" i="8"/>
  <c r="B46" i="8"/>
  <c r="A46" i="8"/>
  <c r="H39" i="8"/>
  <c r="G39" i="8"/>
  <c r="F39" i="8"/>
  <c r="E39" i="8"/>
  <c r="D39" i="8"/>
  <c r="C39" i="8"/>
  <c r="B39" i="8"/>
  <c r="A39" i="8"/>
  <c r="I38" i="8"/>
  <c r="J38" i="8" s="1"/>
  <c r="M38" i="11" s="1"/>
  <c r="H38" i="8"/>
  <c r="G38" i="8"/>
  <c r="F38" i="8"/>
  <c r="E38" i="8"/>
  <c r="D38" i="8"/>
  <c r="C38" i="8"/>
  <c r="B38" i="8"/>
  <c r="A38" i="8"/>
  <c r="H37" i="8"/>
  <c r="G37" i="8"/>
  <c r="F37" i="8"/>
  <c r="E37" i="8"/>
  <c r="D37" i="8"/>
  <c r="C37" i="8"/>
  <c r="B37" i="8"/>
  <c r="A37" i="8"/>
  <c r="H36" i="8"/>
  <c r="G36" i="8"/>
  <c r="E36" i="8"/>
  <c r="D36" i="8"/>
  <c r="C36" i="8"/>
  <c r="B36" i="8"/>
  <c r="A36" i="8"/>
  <c r="H35" i="8"/>
  <c r="G35" i="8"/>
  <c r="F35" i="8"/>
  <c r="E35" i="8"/>
  <c r="D35" i="8"/>
  <c r="C35" i="8"/>
  <c r="B35" i="8"/>
  <c r="A35" i="8"/>
  <c r="H34" i="8"/>
  <c r="G34" i="8"/>
  <c r="E34" i="8"/>
  <c r="D34" i="8"/>
  <c r="C34" i="8"/>
  <c r="B34" i="8"/>
  <c r="A34" i="8"/>
  <c r="H33" i="8"/>
  <c r="G33" i="8"/>
  <c r="F33" i="8"/>
  <c r="E33" i="8"/>
  <c r="D33" i="8"/>
  <c r="C33" i="8"/>
  <c r="B33" i="8"/>
  <c r="A33" i="8"/>
  <c r="H32" i="8"/>
  <c r="G32" i="8"/>
  <c r="F32" i="8"/>
  <c r="E32" i="8"/>
  <c r="D32" i="8"/>
  <c r="C32" i="8"/>
  <c r="B32" i="8"/>
  <c r="A32" i="8"/>
  <c r="H31" i="8"/>
  <c r="G31" i="8"/>
  <c r="E31" i="8"/>
  <c r="D31" i="8"/>
  <c r="C31" i="8"/>
  <c r="B31" i="8"/>
  <c r="A31" i="8"/>
  <c r="H30" i="8"/>
  <c r="G30" i="8"/>
  <c r="E30" i="8"/>
  <c r="D30" i="8"/>
  <c r="C30" i="8"/>
  <c r="B30" i="8"/>
  <c r="A30" i="8"/>
  <c r="H29" i="8"/>
  <c r="G29" i="8"/>
  <c r="E29" i="8"/>
  <c r="D29" i="8"/>
  <c r="C29" i="8"/>
  <c r="B29" i="8"/>
  <c r="A29" i="8"/>
  <c r="H28" i="8"/>
  <c r="G28" i="8"/>
  <c r="E28" i="8"/>
  <c r="D28" i="8"/>
  <c r="C28" i="8"/>
  <c r="B28" i="8"/>
  <c r="A28" i="8"/>
  <c r="H27" i="8"/>
  <c r="G27" i="8"/>
  <c r="E27" i="8"/>
  <c r="D27" i="8"/>
  <c r="C27" i="8"/>
  <c r="B27" i="8"/>
  <c r="A27" i="8"/>
  <c r="H26" i="8"/>
  <c r="G26" i="8"/>
  <c r="F26" i="8"/>
  <c r="E26" i="8"/>
  <c r="D26" i="8"/>
  <c r="C26" i="8"/>
  <c r="B26" i="8"/>
  <c r="A26" i="8"/>
  <c r="H25" i="8"/>
  <c r="G25" i="8"/>
  <c r="E25" i="8"/>
  <c r="D25" i="8"/>
  <c r="C25" i="8"/>
  <c r="B25" i="8"/>
  <c r="A25" i="8"/>
  <c r="H24" i="8"/>
  <c r="G24" i="8"/>
  <c r="I24" i="8" s="1"/>
  <c r="J24" i="8" s="1"/>
  <c r="M24" i="11" s="1"/>
  <c r="E24" i="8"/>
  <c r="D24" i="8"/>
  <c r="C24" i="8"/>
  <c r="B24" i="8"/>
  <c r="A24" i="8"/>
  <c r="H23" i="8"/>
  <c r="G23" i="8"/>
  <c r="E23" i="8"/>
  <c r="D23" i="8"/>
  <c r="C23" i="8"/>
  <c r="B23" i="8"/>
  <c r="A23" i="8"/>
  <c r="H22" i="8"/>
  <c r="G22" i="8"/>
  <c r="E22" i="8"/>
  <c r="D22" i="8"/>
  <c r="C22" i="8"/>
  <c r="B22" i="8"/>
  <c r="A22" i="8"/>
  <c r="H21" i="8"/>
  <c r="G21" i="8"/>
  <c r="E21" i="8"/>
  <c r="D21" i="8"/>
  <c r="C21" i="8"/>
  <c r="B21" i="8"/>
  <c r="A21" i="8"/>
  <c r="H20" i="8"/>
  <c r="G20" i="8"/>
  <c r="E20" i="8"/>
  <c r="D20" i="8"/>
  <c r="C20" i="8"/>
  <c r="B20" i="8"/>
  <c r="A20" i="8"/>
  <c r="H19" i="8"/>
  <c r="G19" i="8"/>
  <c r="E19" i="8"/>
  <c r="D19" i="8"/>
  <c r="C19" i="8"/>
  <c r="B19" i="8"/>
  <c r="A19" i="8"/>
  <c r="H18" i="8"/>
  <c r="G18" i="8"/>
  <c r="F18" i="8"/>
  <c r="E18" i="8"/>
  <c r="D18" i="8"/>
  <c r="C18" i="8"/>
  <c r="B18" i="8"/>
  <c r="A18" i="8"/>
  <c r="H17" i="8"/>
  <c r="G17" i="8"/>
  <c r="E17" i="8"/>
  <c r="D17" i="8"/>
  <c r="C17" i="8"/>
  <c r="B17" i="8"/>
  <c r="A17" i="8"/>
  <c r="H16" i="8"/>
  <c r="G16" i="8"/>
  <c r="E16" i="8"/>
  <c r="D16" i="8"/>
  <c r="C16" i="8"/>
  <c r="B16" i="8"/>
  <c r="A16" i="8"/>
  <c r="H15" i="8"/>
  <c r="G15" i="8"/>
  <c r="E15" i="8"/>
  <c r="D15" i="8"/>
  <c r="C15" i="8"/>
  <c r="B15" i="8"/>
  <c r="A15" i="8"/>
  <c r="H14" i="8"/>
  <c r="G14" i="8"/>
  <c r="E14" i="8"/>
  <c r="D14" i="8"/>
  <c r="C14" i="8"/>
  <c r="B14" i="8"/>
  <c r="A14" i="8"/>
  <c r="H13" i="8"/>
  <c r="G13" i="8"/>
  <c r="F13" i="8"/>
  <c r="E13" i="8"/>
  <c r="D13" i="8"/>
  <c r="C13" i="8"/>
  <c r="B13" i="8"/>
  <c r="A13" i="8"/>
  <c r="H12" i="8"/>
  <c r="G12" i="8"/>
  <c r="E12" i="8"/>
  <c r="D12" i="8"/>
  <c r="C12" i="8"/>
  <c r="B12" i="8"/>
  <c r="A12" i="8"/>
  <c r="H11" i="8"/>
  <c r="G11" i="8"/>
  <c r="E11" i="8"/>
  <c r="D11" i="8"/>
  <c r="C11" i="8"/>
  <c r="B11" i="8"/>
  <c r="A11" i="8"/>
  <c r="H10" i="8"/>
  <c r="G10" i="8"/>
  <c r="F10" i="8"/>
  <c r="E10" i="8"/>
  <c r="D10" i="8"/>
  <c r="C10" i="8"/>
  <c r="B10" i="8"/>
  <c r="A10" i="8"/>
  <c r="H9" i="8"/>
  <c r="G9" i="8"/>
  <c r="E9" i="8"/>
  <c r="D9" i="8"/>
  <c r="C9" i="8"/>
  <c r="B9" i="8"/>
  <c r="A9" i="8"/>
  <c r="H8" i="8"/>
  <c r="G8" i="8"/>
  <c r="E8" i="8"/>
  <c r="D8" i="8"/>
  <c r="C8" i="8"/>
  <c r="B8" i="8"/>
  <c r="A8" i="8"/>
  <c r="H7" i="8"/>
  <c r="G7" i="8"/>
  <c r="E7" i="8"/>
  <c r="D7" i="8"/>
  <c r="C7" i="8"/>
  <c r="B7" i="8"/>
  <c r="A7" i="8"/>
  <c r="H6" i="8"/>
  <c r="G6" i="8"/>
  <c r="E6" i="8"/>
  <c r="D6" i="8"/>
  <c r="C6" i="8"/>
  <c r="B6" i="8"/>
  <c r="A6" i="8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O91" i="6"/>
  <c r="P91" i="6" s="1"/>
  <c r="N91" i="6"/>
  <c r="M91" i="6"/>
  <c r="K91" i="6"/>
  <c r="J91" i="6"/>
  <c r="I91" i="6"/>
  <c r="H91" i="6"/>
  <c r="G91" i="6"/>
  <c r="F91" i="6"/>
  <c r="E91" i="6"/>
  <c r="D91" i="6"/>
  <c r="C91" i="6"/>
  <c r="B91" i="6"/>
  <c r="A91" i="6"/>
  <c r="P90" i="6"/>
  <c r="O90" i="6"/>
  <c r="N90" i="6"/>
  <c r="M90" i="6"/>
  <c r="K90" i="6"/>
  <c r="J90" i="6"/>
  <c r="I90" i="6"/>
  <c r="H90" i="6"/>
  <c r="G90" i="6"/>
  <c r="L90" i="6" s="1"/>
  <c r="E90" i="6"/>
  <c r="D90" i="6"/>
  <c r="C90" i="6"/>
  <c r="B90" i="6"/>
  <c r="A90" i="6"/>
  <c r="G79" i="6"/>
  <c r="F79" i="6"/>
  <c r="E79" i="6"/>
  <c r="D79" i="6"/>
  <c r="C79" i="6"/>
  <c r="B79" i="6"/>
  <c r="A79" i="6"/>
  <c r="G78" i="6"/>
  <c r="F78" i="6"/>
  <c r="E78" i="6"/>
  <c r="D78" i="6"/>
  <c r="C78" i="6"/>
  <c r="B78" i="6"/>
  <c r="A78" i="6"/>
  <c r="G77" i="6"/>
  <c r="F77" i="6"/>
  <c r="E77" i="6"/>
  <c r="D77" i="6"/>
  <c r="C77" i="6"/>
  <c r="B77" i="6"/>
  <c r="A77" i="6"/>
  <c r="G76" i="6"/>
  <c r="F76" i="6"/>
  <c r="E76" i="6"/>
  <c r="D76" i="6"/>
  <c r="C76" i="6"/>
  <c r="B76" i="6"/>
  <c r="A76" i="6"/>
  <c r="G75" i="6"/>
  <c r="F75" i="6"/>
  <c r="E75" i="6"/>
  <c r="D75" i="6"/>
  <c r="C75" i="6"/>
  <c r="B75" i="6"/>
  <c r="A75" i="6"/>
  <c r="G74" i="6"/>
  <c r="F74" i="6"/>
  <c r="E74" i="6"/>
  <c r="D74" i="6"/>
  <c r="C74" i="6"/>
  <c r="B74" i="6"/>
  <c r="A74" i="6"/>
  <c r="G73" i="6"/>
  <c r="F73" i="6"/>
  <c r="E73" i="6"/>
  <c r="D73" i="6"/>
  <c r="C73" i="6"/>
  <c r="B73" i="6"/>
  <c r="A73" i="6"/>
  <c r="G72" i="6"/>
  <c r="F72" i="6"/>
  <c r="E72" i="6"/>
  <c r="D72" i="6"/>
  <c r="C72" i="6"/>
  <c r="B72" i="6"/>
  <c r="A72" i="6"/>
  <c r="G71" i="6"/>
  <c r="F71" i="6"/>
  <c r="E71" i="6"/>
  <c r="D71" i="6"/>
  <c r="C71" i="6"/>
  <c r="B71" i="6"/>
  <c r="A71" i="6"/>
  <c r="G70" i="6"/>
  <c r="F70" i="6"/>
  <c r="E70" i="6"/>
  <c r="D70" i="6"/>
  <c r="C70" i="6"/>
  <c r="B70" i="6"/>
  <c r="A70" i="6"/>
  <c r="G69" i="6"/>
  <c r="F69" i="6"/>
  <c r="E69" i="6"/>
  <c r="D69" i="6"/>
  <c r="C69" i="6"/>
  <c r="B69" i="6"/>
  <c r="A69" i="6"/>
  <c r="G68" i="6"/>
  <c r="F68" i="6"/>
  <c r="E68" i="6"/>
  <c r="D68" i="6"/>
  <c r="C68" i="6"/>
  <c r="B68" i="6"/>
  <c r="A68" i="6"/>
  <c r="G67" i="6"/>
  <c r="F67" i="6"/>
  <c r="E67" i="6"/>
  <c r="D67" i="6"/>
  <c r="C67" i="6"/>
  <c r="B67" i="6"/>
  <c r="A67" i="6"/>
  <c r="G66" i="6"/>
  <c r="F66" i="6"/>
  <c r="E66" i="6"/>
  <c r="D66" i="6"/>
  <c r="C66" i="6"/>
  <c r="B66" i="6"/>
  <c r="A66" i="6"/>
  <c r="G65" i="6"/>
  <c r="F65" i="6"/>
  <c r="E65" i="6"/>
  <c r="D65" i="6"/>
  <c r="C65" i="6"/>
  <c r="B65" i="6"/>
  <c r="A65" i="6"/>
  <c r="G64" i="6"/>
  <c r="F64" i="6"/>
  <c r="E64" i="6"/>
  <c r="D64" i="6"/>
  <c r="C64" i="6"/>
  <c r="B64" i="6"/>
  <c r="A64" i="6"/>
  <c r="G63" i="6"/>
  <c r="F63" i="6"/>
  <c r="E63" i="6"/>
  <c r="D63" i="6"/>
  <c r="C63" i="6"/>
  <c r="B63" i="6"/>
  <c r="A63" i="6"/>
  <c r="G62" i="6"/>
  <c r="F62" i="6"/>
  <c r="E62" i="6"/>
  <c r="D62" i="6"/>
  <c r="C62" i="6"/>
  <c r="B62" i="6"/>
  <c r="A62" i="6"/>
  <c r="G61" i="6"/>
  <c r="F61" i="6"/>
  <c r="E61" i="6"/>
  <c r="D61" i="6"/>
  <c r="C61" i="6"/>
  <c r="B61" i="6"/>
  <c r="A61" i="6"/>
  <c r="G60" i="6"/>
  <c r="F60" i="6"/>
  <c r="E60" i="6"/>
  <c r="D60" i="6"/>
  <c r="C60" i="6"/>
  <c r="B60" i="6"/>
  <c r="A60" i="6"/>
  <c r="G59" i="6"/>
  <c r="F59" i="6"/>
  <c r="E59" i="6"/>
  <c r="D59" i="6"/>
  <c r="C59" i="6"/>
  <c r="B59" i="6"/>
  <c r="A59" i="6"/>
  <c r="G58" i="6"/>
  <c r="F58" i="6"/>
  <c r="E58" i="6"/>
  <c r="D58" i="6"/>
  <c r="C58" i="6"/>
  <c r="B58" i="6"/>
  <c r="A58" i="6"/>
  <c r="G57" i="6"/>
  <c r="F57" i="6"/>
  <c r="E57" i="6"/>
  <c r="D57" i="6"/>
  <c r="C57" i="6"/>
  <c r="B57" i="6"/>
  <c r="A57" i="6"/>
  <c r="G56" i="6"/>
  <c r="F56" i="6"/>
  <c r="E56" i="6"/>
  <c r="D56" i="6"/>
  <c r="C56" i="6"/>
  <c r="B56" i="6"/>
  <c r="A56" i="6"/>
  <c r="G55" i="6"/>
  <c r="F55" i="6"/>
  <c r="E55" i="6"/>
  <c r="D55" i="6"/>
  <c r="C55" i="6"/>
  <c r="B55" i="6"/>
  <c r="A55" i="6"/>
  <c r="G54" i="6"/>
  <c r="F54" i="6"/>
  <c r="E54" i="6"/>
  <c r="D54" i="6"/>
  <c r="C54" i="6"/>
  <c r="B54" i="6"/>
  <c r="A54" i="6"/>
  <c r="G53" i="6"/>
  <c r="F53" i="6"/>
  <c r="E53" i="6"/>
  <c r="D53" i="6"/>
  <c r="C53" i="6"/>
  <c r="B53" i="6"/>
  <c r="A53" i="6"/>
  <c r="G52" i="6"/>
  <c r="F52" i="6"/>
  <c r="E52" i="6"/>
  <c r="D52" i="6"/>
  <c r="C52" i="6"/>
  <c r="B52" i="6"/>
  <c r="A52" i="6"/>
  <c r="G51" i="6"/>
  <c r="F51" i="6"/>
  <c r="E51" i="6"/>
  <c r="D51" i="6"/>
  <c r="C51" i="6"/>
  <c r="B51" i="6"/>
  <c r="A51" i="6"/>
  <c r="G50" i="6"/>
  <c r="F50" i="6"/>
  <c r="E50" i="6"/>
  <c r="D50" i="6"/>
  <c r="C50" i="6"/>
  <c r="B50" i="6"/>
  <c r="A50" i="6"/>
  <c r="G49" i="6"/>
  <c r="F49" i="6"/>
  <c r="E49" i="6"/>
  <c r="D49" i="6"/>
  <c r="C49" i="6"/>
  <c r="B49" i="6"/>
  <c r="A49" i="6"/>
  <c r="G48" i="6"/>
  <c r="F48" i="6"/>
  <c r="E48" i="6"/>
  <c r="D48" i="6"/>
  <c r="C48" i="6"/>
  <c r="B48" i="6"/>
  <c r="A48" i="6"/>
  <c r="G47" i="6"/>
  <c r="F47" i="6"/>
  <c r="E47" i="6"/>
  <c r="D47" i="6"/>
  <c r="C47" i="6"/>
  <c r="B47" i="6"/>
  <c r="A47" i="6"/>
  <c r="G46" i="6"/>
  <c r="E46" i="6"/>
  <c r="D46" i="6"/>
  <c r="C46" i="6"/>
  <c r="B46" i="6"/>
  <c r="A46" i="6"/>
  <c r="G39" i="6"/>
  <c r="F39" i="6"/>
  <c r="E39" i="6"/>
  <c r="D39" i="6"/>
  <c r="C39" i="6"/>
  <c r="B39" i="6"/>
  <c r="A39" i="6"/>
  <c r="G38" i="6"/>
  <c r="F38" i="6"/>
  <c r="E38" i="6"/>
  <c r="D38" i="6"/>
  <c r="C38" i="6"/>
  <c r="B38" i="6"/>
  <c r="A38" i="6"/>
  <c r="G37" i="6"/>
  <c r="F37" i="6"/>
  <c r="E37" i="6"/>
  <c r="D37" i="6"/>
  <c r="C37" i="6"/>
  <c r="B37" i="6"/>
  <c r="A37" i="6"/>
  <c r="G36" i="6"/>
  <c r="F36" i="6"/>
  <c r="E36" i="6"/>
  <c r="D36" i="6"/>
  <c r="C36" i="6"/>
  <c r="B36" i="6"/>
  <c r="A36" i="6"/>
  <c r="G35" i="6"/>
  <c r="F35" i="6"/>
  <c r="E35" i="6"/>
  <c r="D35" i="6"/>
  <c r="C35" i="6"/>
  <c r="B35" i="6"/>
  <c r="A35" i="6"/>
  <c r="G34" i="6"/>
  <c r="F34" i="6"/>
  <c r="E34" i="6"/>
  <c r="D34" i="6"/>
  <c r="C34" i="6"/>
  <c r="B34" i="6"/>
  <c r="A34" i="6"/>
  <c r="G33" i="6"/>
  <c r="F33" i="6"/>
  <c r="E33" i="6"/>
  <c r="D33" i="6"/>
  <c r="C33" i="6"/>
  <c r="B33" i="6"/>
  <c r="A33" i="6"/>
  <c r="G32" i="6"/>
  <c r="F32" i="6"/>
  <c r="E32" i="6"/>
  <c r="D32" i="6"/>
  <c r="C32" i="6"/>
  <c r="B32" i="6"/>
  <c r="A32" i="6"/>
  <c r="G31" i="6"/>
  <c r="F31" i="6"/>
  <c r="E31" i="6"/>
  <c r="D31" i="6"/>
  <c r="C31" i="6"/>
  <c r="B31" i="6"/>
  <c r="A31" i="6"/>
  <c r="G30" i="6"/>
  <c r="F30" i="6"/>
  <c r="E30" i="6"/>
  <c r="D30" i="6"/>
  <c r="C30" i="6"/>
  <c r="B30" i="6"/>
  <c r="A30" i="6"/>
  <c r="G29" i="6"/>
  <c r="F29" i="6"/>
  <c r="E29" i="6"/>
  <c r="D29" i="6"/>
  <c r="C29" i="6"/>
  <c r="B29" i="6"/>
  <c r="A29" i="6"/>
  <c r="G28" i="6"/>
  <c r="F28" i="6"/>
  <c r="E28" i="6"/>
  <c r="D28" i="6"/>
  <c r="C28" i="6"/>
  <c r="B28" i="6"/>
  <c r="A28" i="6"/>
  <c r="G27" i="6"/>
  <c r="F27" i="6"/>
  <c r="E27" i="6"/>
  <c r="D27" i="6"/>
  <c r="C27" i="6"/>
  <c r="B27" i="6"/>
  <c r="A27" i="6"/>
  <c r="G26" i="6"/>
  <c r="F26" i="6"/>
  <c r="E26" i="6"/>
  <c r="D26" i="6"/>
  <c r="C26" i="6"/>
  <c r="B26" i="6"/>
  <c r="A26" i="6"/>
  <c r="G25" i="6"/>
  <c r="F25" i="6"/>
  <c r="E25" i="6"/>
  <c r="D25" i="6"/>
  <c r="C25" i="6"/>
  <c r="B25" i="6"/>
  <c r="A25" i="6"/>
  <c r="G24" i="6"/>
  <c r="F24" i="6"/>
  <c r="E24" i="6"/>
  <c r="D24" i="6"/>
  <c r="C24" i="6"/>
  <c r="B24" i="6"/>
  <c r="A24" i="6"/>
  <c r="G23" i="6"/>
  <c r="F23" i="6"/>
  <c r="E23" i="6"/>
  <c r="D23" i="6"/>
  <c r="C23" i="6"/>
  <c r="B23" i="6"/>
  <c r="A23" i="6"/>
  <c r="G22" i="6"/>
  <c r="F22" i="6"/>
  <c r="E22" i="6"/>
  <c r="D22" i="6"/>
  <c r="C22" i="6"/>
  <c r="B22" i="6"/>
  <c r="A22" i="6"/>
  <c r="G21" i="6"/>
  <c r="F21" i="6"/>
  <c r="E21" i="6"/>
  <c r="D21" i="6"/>
  <c r="C21" i="6"/>
  <c r="B21" i="6"/>
  <c r="A21" i="6"/>
  <c r="G20" i="6"/>
  <c r="F20" i="6"/>
  <c r="E20" i="6"/>
  <c r="D20" i="6"/>
  <c r="C20" i="6"/>
  <c r="B20" i="6"/>
  <c r="A20" i="6"/>
  <c r="G19" i="6"/>
  <c r="F19" i="6"/>
  <c r="E19" i="6"/>
  <c r="D19" i="6"/>
  <c r="C19" i="6"/>
  <c r="B19" i="6"/>
  <c r="A19" i="6"/>
  <c r="G18" i="6"/>
  <c r="F18" i="6"/>
  <c r="E18" i="6"/>
  <c r="D18" i="6"/>
  <c r="C18" i="6"/>
  <c r="B18" i="6"/>
  <c r="A18" i="6"/>
  <c r="G17" i="6"/>
  <c r="F17" i="6"/>
  <c r="E17" i="6"/>
  <c r="D17" i="6"/>
  <c r="C17" i="6"/>
  <c r="B17" i="6"/>
  <c r="A17" i="6"/>
  <c r="G16" i="6"/>
  <c r="F16" i="6"/>
  <c r="H16" i="6" s="1"/>
  <c r="I16" i="6" s="1"/>
  <c r="G16" i="11" s="1"/>
  <c r="E16" i="6"/>
  <c r="D16" i="6"/>
  <c r="C16" i="6"/>
  <c r="B16" i="6"/>
  <c r="A16" i="6"/>
  <c r="G15" i="6"/>
  <c r="F15" i="6"/>
  <c r="E15" i="6"/>
  <c r="D15" i="6"/>
  <c r="C15" i="6"/>
  <c r="B15" i="6"/>
  <c r="A15" i="6"/>
  <c r="G14" i="6"/>
  <c r="F14" i="6"/>
  <c r="E14" i="6"/>
  <c r="D14" i="6"/>
  <c r="C14" i="6"/>
  <c r="B14" i="6"/>
  <c r="A14" i="6"/>
  <c r="H13" i="6"/>
  <c r="I13" i="6" s="1"/>
  <c r="G13" i="11" s="1"/>
  <c r="G13" i="6"/>
  <c r="F13" i="6"/>
  <c r="E13" i="6"/>
  <c r="D13" i="6"/>
  <c r="C13" i="6"/>
  <c r="B13" i="6"/>
  <c r="A13" i="6"/>
  <c r="G12" i="6"/>
  <c r="F12" i="6"/>
  <c r="E12" i="6"/>
  <c r="D12" i="6"/>
  <c r="C12" i="6"/>
  <c r="B12" i="6"/>
  <c r="A12" i="6"/>
  <c r="G11" i="6"/>
  <c r="F11" i="6"/>
  <c r="E11" i="6"/>
  <c r="D11" i="6"/>
  <c r="C11" i="6"/>
  <c r="B11" i="6"/>
  <c r="A11" i="6"/>
  <c r="H10" i="6"/>
  <c r="I10" i="6" s="1"/>
  <c r="G10" i="11" s="1"/>
  <c r="G10" i="6"/>
  <c r="F10" i="6"/>
  <c r="E10" i="6"/>
  <c r="D10" i="6"/>
  <c r="C10" i="6"/>
  <c r="B10" i="6"/>
  <c r="A10" i="6"/>
  <c r="G9" i="6"/>
  <c r="F9" i="6"/>
  <c r="E9" i="6"/>
  <c r="D9" i="6"/>
  <c r="C9" i="6"/>
  <c r="B9" i="6"/>
  <c r="A9" i="6"/>
  <c r="G8" i="6"/>
  <c r="F8" i="6"/>
  <c r="E8" i="6"/>
  <c r="D8" i="6"/>
  <c r="C8" i="6"/>
  <c r="B8" i="6"/>
  <c r="A8" i="6"/>
  <c r="G7" i="6"/>
  <c r="F7" i="6"/>
  <c r="E7" i="6"/>
  <c r="D7" i="6"/>
  <c r="C7" i="6"/>
  <c r="B7" i="6"/>
  <c r="A7" i="6"/>
  <c r="G6" i="6"/>
  <c r="F6" i="6"/>
  <c r="E6" i="6"/>
  <c r="D6" i="6"/>
  <c r="C6" i="6"/>
  <c r="B6" i="6"/>
  <c r="A6" i="6"/>
  <c r="B11" i="5"/>
  <c r="B5" i="13" s="1"/>
  <c r="D5" i="13" s="1"/>
  <c r="K32" i="13" s="1"/>
  <c r="B68" i="4"/>
  <c r="H53" i="7" s="1"/>
  <c r="I53" i="7" s="1"/>
  <c r="K13" i="11" s="1"/>
  <c r="E38" i="4"/>
  <c r="E37" i="4"/>
  <c r="E36" i="4"/>
  <c r="E35" i="4"/>
  <c r="E34" i="4"/>
  <c r="E33" i="4"/>
  <c r="E32" i="4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B8" i="4"/>
  <c r="B50" i="3"/>
  <c r="L49" i="3"/>
  <c r="B49" i="3"/>
  <c r="L48" i="3"/>
  <c r="B48" i="3"/>
  <c r="B47" i="3"/>
  <c r="L47" i="3" s="1"/>
  <c r="B46" i="3"/>
  <c r="L46" i="3" s="1"/>
  <c r="L45" i="3"/>
  <c r="B45" i="3"/>
  <c r="L44" i="3"/>
  <c r="B44" i="3"/>
  <c r="L43" i="3"/>
  <c r="M39" i="3"/>
  <c r="L39" i="3"/>
  <c r="F79" i="8" s="1"/>
  <c r="J39" i="3"/>
  <c r="M38" i="3"/>
  <c r="F90" i="6" s="1"/>
  <c r="L38" i="3"/>
  <c r="F78" i="8" s="1"/>
  <c r="J38" i="3"/>
  <c r="M37" i="3"/>
  <c r="L37" i="3"/>
  <c r="J37" i="3"/>
  <c r="M36" i="3"/>
  <c r="L36" i="3"/>
  <c r="F36" i="8" s="1"/>
  <c r="J36" i="3"/>
  <c r="M35" i="3"/>
  <c r="L35" i="3"/>
  <c r="F75" i="8" s="1"/>
  <c r="J35" i="3"/>
  <c r="M34" i="3"/>
  <c r="L34" i="3"/>
  <c r="F34" i="8" s="1"/>
  <c r="J34" i="3"/>
  <c r="M33" i="3"/>
  <c r="L33" i="3"/>
  <c r="F73" i="8" s="1"/>
  <c r="J33" i="3"/>
  <c r="M32" i="3"/>
  <c r="L32" i="3"/>
  <c r="J32" i="3"/>
  <c r="M31" i="3"/>
  <c r="L31" i="3"/>
  <c r="F71" i="8" s="1"/>
  <c r="J31" i="3"/>
  <c r="M30" i="3"/>
  <c r="L30" i="3"/>
  <c r="F30" i="8" s="1"/>
  <c r="J30" i="3"/>
  <c r="M29" i="3"/>
  <c r="L29" i="3"/>
  <c r="F69" i="8" s="1"/>
  <c r="J29" i="3"/>
  <c r="M28" i="3"/>
  <c r="L28" i="3"/>
  <c r="F68" i="8" s="1"/>
  <c r="J28" i="3"/>
  <c r="M27" i="3"/>
  <c r="L27" i="3"/>
  <c r="F67" i="8" s="1"/>
  <c r="J27" i="3"/>
  <c r="M26" i="3"/>
  <c r="L26" i="3"/>
  <c r="F66" i="8" s="1"/>
  <c r="J26" i="3"/>
  <c r="M25" i="3"/>
  <c r="L25" i="3"/>
  <c r="F25" i="8" s="1"/>
  <c r="J25" i="3"/>
  <c r="M24" i="3"/>
  <c r="L24" i="3"/>
  <c r="F64" i="8" s="1"/>
  <c r="J24" i="3"/>
  <c r="M23" i="3"/>
  <c r="L23" i="3"/>
  <c r="F23" i="8" s="1"/>
  <c r="J23" i="3"/>
  <c r="M22" i="3"/>
  <c r="L22" i="3"/>
  <c r="F62" i="8" s="1"/>
  <c r="J22" i="3"/>
  <c r="M21" i="3"/>
  <c r="L21" i="3"/>
  <c r="F21" i="8" s="1"/>
  <c r="J21" i="3"/>
  <c r="M20" i="3"/>
  <c r="L20" i="3"/>
  <c r="F60" i="8" s="1"/>
  <c r="J20" i="3"/>
  <c r="M19" i="3"/>
  <c r="L19" i="3"/>
  <c r="F19" i="8" s="1"/>
  <c r="J19" i="3"/>
  <c r="M18" i="3"/>
  <c r="L18" i="3"/>
  <c r="F58" i="8" s="1"/>
  <c r="J18" i="3"/>
  <c r="M17" i="3"/>
  <c r="L17" i="3"/>
  <c r="F17" i="8" s="1"/>
  <c r="J17" i="3"/>
  <c r="M16" i="3"/>
  <c r="L16" i="3"/>
  <c r="F56" i="8" s="1"/>
  <c r="J16" i="3"/>
  <c r="M15" i="3"/>
  <c r="L15" i="3"/>
  <c r="F55" i="8" s="1"/>
  <c r="J15" i="3"/>
  <c r="M14" i="3"/>
  <c r="L14" i="3"/>
  <c r="F14" i="8" s="1"/>
  <c r="J14" i="3"/>
  <c r="M13" i="3"/>
  <c r="L13" i="3"/>
  <c r="F53" i="8" s="1"/>
  <c r="J13" i="3"/>
  <c r="M12" i="3"/>
  <c r="L12" i="3"/>
  <c r="F12" i="8" s="1"/>
  <c r="J12" i="3"/>
  <c r="M11" i="3"/>
  <c r="L11" i="3"/>
  <c r="F51" i="8" s="1"/>
  <c r="J11" i="3"/>
  <c r="M10" i="3"/>
  <c r="L10" i="3"/>
  <c r="F50" i="8" s="1"/>
  <c r="J10" i="3"/>
  <c r="M9" i="3"/>
  <c r="L9" i="3"/>
  <c r="F9" i="8" s="1"/>
  <c r="J9" i="3"/>
  <c r="M8" i="3"/>
  <c r="L8" i="3"/>
  <c r="F8" i="8" s="1"/>
  <c r="J8" i="3"/>
  <c r="M7" i="3"/>
  <c r="L7" i="3"/>
  <c r="F47" i="8" s="1"/>
  <c r="J7" i="3"/>
  <c r="M6" i="3"/>
  <c r="L6" i="3"/>
  <c r="F6" i="8" s="1"/>
  <c r="J6" i="3"/>
  <c r="B15" i="2"/>
  <c r="B14" i="2"/>
  <c r="C9" i="2"/>
  <c r="B9" i="2"/>
  <c r="D8" i="2"/>
  <c r="C8" i="2"/>
  <c r="B8" i="2"/>
  <c r="B7" i="2"/>
  <c r="B6" i="2"/>
  <c r="C6" i="2" s="1"/>
  <c r="I15" i="8" l="1"/>
  <c r="J15" i="8" s="1"/>
  <c r="M15" i="11" s="1"/>
  <c r="H77" i="7"/>
  <c r="I77" i="7" s="1"/>
  <c r="K37" i="11" s="1"/>
  <c r="I64" i="8"/>
  <c r="J64" i="8" s="1"/>
  <c r="N24" i="11" s="1"/>
  <c r="I70" i="8"/>
  <c r="J70" i="8" s="1"/>
  <c r="N30" i="11" s="1"/>
  <c r="H49" i="6"/>
  <c r="I49" i="6" s="1"/>
  <c r="H9" i="11" s="1"/>
  <c r="H21" i="7"/>
  <c r="I21" i="7" s="1"/>
  <c r="J21" i="11" s="1"/>
  <c r="E10" i="14"/>
  <c r="I21" i="8"/>
  <c r="J21" i="8" s="1"/>
  <c r="M21" i="11" s="1"/>
  <c r="H30" i="7"/>
  <c r="I30" i="7" s="1"/>
  <c r="J30" i="11" s="1"/>
  <c r="H24" i="7"/>
  <c r="I24" i="7" s="1"/>
  <c r="J24" i="11" s="1"/>
  <c r="I67" i="8"/>
  <c r="J67" i="8" s="1"/>
  <c r="N27" i="11" s="1"/>
  <c r="B13" i="2"/>
  <c r="H18" i="7"/>
  <c r="I18" i="7" s="1"/>
  <c r="J18" i="11" s="1"/>
  <c r="I61" i="8"/>
  <c r="J61" i="8" s="1"/>
  <c r="N21" i="11" s="1"/>
  <c r="I58" i="8"/>
  <c r="J58" i="8" s="1"/>
  <c r="N18" i="11" s="1"/>
  <c r="H37" i="6"/>
  <c r="I37" i="6" s="1"/>
  <c r="G37" i="11" s="1"/>
  <c r="H22" i="6"/>
  <c r="I22" i="6" s="1"/>
  <c r="G22" i="11" s="1"/>
  <c r="H25" i="6"/>
  <c r="I25" i="6" s="1"/>
  <c r="G25" i="11" s="1"/>
  <c r="H28" i="6"/>
  <c r="I28" i="6" s="1"/>
  <c r="G28" i="11" s="1"/>
  <c r="H31" i="6"/>
  <c r="I31" i="6" s="1"/>
  <c r="G31" i="11" s="1"/>
  <c r="E7" i="14"/>
  <c r="I18" i="8"/>
  <c r="J18" i="8" s="1"/>
  <c r="M18" i="11" s="1"/>
  <c r="I6" i="8"/>
  <c r="J6" i="8" s="1"/>
  <c r="M6" i="11" s="1"/>
  <c r="I55" i="8"/>
  <c r="J55" i="8" s="1"/>
  <c r="N15" i="11" s="1"/>
  <c r="H34" i="6"/>
  <c r="I34" i="6" s="1"/>
  <c r="G34" i="11" s="1"/>
  <c r="C7" i="2"/>
  <c r="H46" i="6"/>
  <c r="I46" i="6" s="1"/>
  <c r="H6" i="11" s="1"/>
  <c r="H39" i="7"/>
  <c r="I39" i="7" s="1"/>
  <c r="J39" i="11" s="1"/>
  <c r="H60" i="7"/>
  <c r="I60" i="7" s="1"/>
  <c r="K20" i="11" s="1"/>
  <c r="L20" i="11" s="1"/>
  <c r="I30" i="8"/>
  <c r="J30" i="8" s="1"/>
  <c r="M30" i="11" s="1"/>
  <c r="O30" i="11" s="1"/>
  <c r="I73" i="8"/>
  <c r="J73" i="8" s="1"/>
  <c r="N33" i="11" s="1"/>
  <c r="H58" i="6"/>
  <c r="I58" i="6" s="1"/>
  <c r="H18" i="11" s="1"/>
  <c r="H10" i="7"/>
  <c r="I10" i="7" s="1"/>
  <c r="J10" i="11" s="1"/>
  <c r="H54" i="7"/>
  <c r="I54" i="7" s="1"/>
  <c r="K14" i="11" s="1"/>
  <c r="H64" i="6"/>
  <c r="I64" i="6" s="1"/>
  <c r="H24" i="11" s="1"/>
  <c r="H13" i="7"/>
  <c r="I13" i="7" s="1"/>
  <c r="J13" i="11" s="1"/>
  <c r="H57" i="7"/>
  <c r="I57" i="7" s="1"/>
  <c r="K17" i="11" s="1"/>
  <c r="I33" i="8"/>
  <c r="J33" i="8" s="1"/>
  <c r="M33" i="11" s="1"/>
  <c r="H63" i="7"/>
  <c r="I63" i="7" s="1"/>
  <c r="K23" i="11" s="1"/>
  <c r="H78" i="7"/>
  <c r="I78" i="7" s="1"/>
  <c r="K38" i="11" s="1"/>
  <c r="I10" i="8"/>
  <c r="J10" i="8" s="1"/>
  <c r="M10" i="11" s="1"/>
  <c r="I50" i="8"/>
  <c r="J50" i="8" s="1"/>
  <c r="N10" i="11" s="1"/>
  <c r="O10" i="11" s="1"/>
  <c r="H34" i="7"/>
  <c r="I34" i="7" s="1"/>
  <c r="J34" i="11" s="1"/>
  <c r="H75" i="7"/>
  <c r="I75" i="7" s="1"/>
  <c r="K35" i="11" s="1"/>
  <c r="H11" i="6"/>
  <c r="I11" i="6" s="1"/>
  <c r="G11" i="11" s="1"/>
  <c r="H35" i="6"/>
  <c r="I35" i="6" s="1"/>
  <c r="G35" i="11" s="1"/>
  <c r="H37" i="7"/>
  <c r="I37" i="7" s="1"/>
  <c r="J37" i="11" s="1"/>
  <c r="L37" i="11" s="1"/>
  <c r="I16" i="8"/>
  <c r="J16" i="8" s="1"/>
  <c r="M16" i="11" s="1"/>
  <c r="H53" i="6"/>
  <c r="I53" i="6" s="1"/>
  <c r="H13" i="11" s="1"/>
  <c r="H61" i="7"/>
  <c r="I61" i="7" s="1"/>
  <c r="K21" i="11" s="1"/>
  <c r="L21" i="11" s="1"/>
  <c r="I74" i="8"/>
  <c r="J74" i="8" s="1"/>
  <c r="N34" i="11" s="1"/>
  <c r="O34" i="11" s="1"/>
  <c r="H56" i="6"/>
  <c r="I56" i="6" s="1"/>
  <c r="H16" i="11" s="1"/>
  <c r="H74" i="6"/>
  <c r="I74" i="6" s="1"/>
  <c r="H34" i="11" s="1"/>
  <c r="I34" i="11" s="1"/>
  <c r="H11" i="7"/>
  <c r="I11" i="7" s="1"/>
  <c r="J11" i="11" s="1"/>
  <c r="H58" i="7"/>
  <c r="I58" i="7" s="1"/>
  <c r="K18" i="11" s="1"/>
  <c r="I28" i="8"/>
  <c r="J28" i="8" s="1"/>
  <c r="M28" i="11" s="1"/>
  <c r="I31" i="8"/>
  <c r="J31" i="8" s="1"/>
  <c r="M31" i="11" s="1"/>
  <c r="I34" i="8"/>
  <c r="J34" i="8" s="1"/>
  <c r="M34" i="11" s="1"/>
  <c r="E12" i="14"/>
  <c r="H68" i="6"/>
  <c r="I68" i="6" s="1"/>
  <c r="H28" i="11" s="1"/>
  <c r="H67" i="7"/>
  <c r="I67" i="7" s="1"/>
  <c r="K27" i="11" s="1"/>
  <c r="I48" i="8"/>
  <c r="J48" i="8" s="1"/>
  <c r="N8" i="11" s="1"/>
  <c r="O8" i="11" s="1"/>
  <c r="H59" i="6"/>
  <c r="I59" i="6" s="1"/>
  <c r="H19" i="11" s="1"/>
  <c r="H8" i="7"/>
  <c r="I8" i="7" s="1"/>
  <c r="J8" i="11" s="1"/>
  <c r="L8" i="11" s="1"/>
  <c r="H14" i="7"/>
  <c r="I14" i="7" s="1"/>
  <c r="J14" i="11" s="1"/>
  <c r="H17" i="7"/>
  <c r="I17" i="7" s="1"/>
  <c r="J17" i="11" s="1"/>
  <c r="L17" i="11" s="1"/>
  <c r="H26" i="7"/>
  <c r="I26" i="7" s="1"/>
  <c r="J26" i="11" s="1"/>
  <c r="H49" i="7"/>
  <c r="I49" i="7" s="1"/>
  <c r="K9" i="11" s="1"/>
  <c r="H70" i="7"/>
  <c r="I70" i="7" s="1"/>
  <c r="K30" i="11" s="1"/>
  <c r="H73" i="7"/>
  <c r="I73" i="7" s="1"/>
  <c r="K33" i="11" s="1"/>
  <c r="I37" i="8"/>
  <c r="J37" i="8" s="1"/>
  <c r="M37" i="11" s="1"/>
  <c r="I60" i="8"/>
  <c r="J60" i="8" s="1"/>
  <c r="N20" i="11" s="1"/>
  <c r="I63" i="8"/>
  <c r="J63" i="8" s="1"/>
  <c r="N23" i="11" s="1"/>
  <c r="H73" i="6"/>
  <c r="I73" i="6" s="1"/>
  <c r="H33" i="11" s="1"/>
  <c r="I27" i="8"/>
  <c r="J27" i="8" s="1"/>
  <c r="M27" i="11" s="1"/>
  <c r="O27" i="11" s="1"/>
  <c r="I47" i="8"/>
  <c r="J47" i="8" s="1"/>
  <c r="N7" i="11" s="1"/>
  <c r="H52" i="6"/>
  <c r="I52" i="6" s="1"/>
  <c r="H12" i="11" s="1"/>
  <c r="H51" i="7"/>
  <c r="I51" i="7" s="1"/>
  <c r="K11" i="11" s="1"/>
  <c r="H70" i="6"/>
  <c r="I70" i="6" s="1"/>
  <c r="H30" i="11" s="1"/>
  <c r="H7" i="7"/>
  <c r="I7" i="7" s="1"/>
  <c r="J7" i="11" s="1"/>
  <c r="H72" i="7"/>
  <c r="I72" i="7" s="1"/>
  <c r="K32" i="11" s="1"/>
  <c r="H61" i="6"/>
  <c r="I61" i="6" s="1"/>
  <c r="H21" i="11" s="1"/>
  <c r="I53" i="8"/>
  <c r="J53" i="8" s="1"/>
  <c r="N13" i="11" s="1"/>
  <c r="H28" i="7"/>
  <c r="I28" i="7" s="1"/>
  <c r="J28" i="11" s="1"/>
  <c r="L28" i="11" s="1"/>
  <c r="H29" i="6"/>
  <c r="I29" i="6" s="1"/>
  <c r="G29" i="11" s="1"/>
  <c r="H22" i="7"/>
  <c r="I22" i="7" s="1"/>
  <c r="J22" i="11" s="1"/>
  <c r="I25" i="8"/>
  <c r="J25" i="8" s="1"/>
  <c r="M25" i="11" s="1"/>
  <c r="E11" i="14"/>
  <c r="H47" i="6"/>
  <c r="I47" i="6" s="1"/>
  <c r="H7" i="11" s="1"/>
  <c r="I39" i="8"/>
  <c r="J39" i="8" s="1"/>
  <c r="M39" i="11" s="1"/>
  <c r="H52" i="7"/>
  <c r="I52" i="7" s="1"/>
  <c r="K12" i="11" s="1"/>
  <c r="H9" i="6"/>
  <c r="I9" i="6" s="1"/>
  <c r="G9" i="11" s="1"/>
  <c r="I9" i="11" s="1"/>
  <c r="H24" i="6"/>
  <c r="I24" i="6" s="1"/>
  <c r="G24" i="11" s="1"/>
  <c r="H62" i="6"/>
  <c r="I62" i="6" s="1"/>
  <c r="H22" i="11" s="1"/>
  <c r="I22" i="11" s="1"/>
  <c r="H65" i="6"/>
  <c r="I65" i="6" s="1"/>
  <c r="H25" i="11" s="1"/>
  <c r="H23" i="7"/>
  <c r="I23" i="7" s="1"/>
  <c r="J23" i="11" s="1"/>
  <c r="L23" i="11" s="1"/>
  <c r="H32" i="7"/>
  <c r="I32" i="7" s="1"/>
  <c r="J32" i="11" s="1"/>
  <c r="L32" i="11" s="1"/>
  <c r="H64" i="7"/>
  <c r="I64" i="7" s="1"/>
  <c r="K24" i="11" s="1"/>
  <c r="L24" i="11" s="1"/>
  <c r="I8" i="8"/>
  <c r="J8" i="8" s="1"/>
  <c r="M8" i="11" s="1"/>
  <c r="I54" i="8"/>
  <c r="J54" i="8" s="1"/>
  <c r="N14" i="11" s="1"/>
  <c r="I57" i="8"/>
  <c r="J57" i="8" s="1"/>
  <c r="N17" i="11" s="1"/>
  <c r="I77" i="8"/>
  <c r="J77" i="8" s="1"/>
  <c r="N37" i="11" s="1"/>
  <c r="H12" i="6"/>
  <c r="I12" i="6" s="1"/>
  <c r="G12" i="11" s="1"/>
  <c r="I12" i="11" s="1"/>
  <c r="H21" i="6"/>
  <c r="I21" i="6" s="1"/>
  <c r="G21" i="11" s="1"/>
  <c r="I21" i="11" s="1"/>
  <c r="H30" i="6"/>
  <c r="I30" i="6" s="1"/>
  <c r="G30" i="11" s="1"/>
  <c r="H20" i="7"/>
  <c r="I20" i="7" s="1"/>
  <c r="J20" i="11" s="1"/>
  <c r="H29" i="7"/>
  <c r="I29" i="7" s="1"/>
  <c r="J29" i="11" s="1"/>
  <c r="H76" i="7"/>
  <c r="I76" i="7" s="1"/>
  <c r="K36" i="11" s="1"/>
  <c r="H79" i="7"/>
  <c r="I79" i="7" s="1"/>
  <c r="K39" i="11" s="1"/>
  <c r="L39" i="11" s="1"/>
  <c r="I14" i="8"/>
  <c r="J14" i="8" s="1"/>
  <c r="M14" i="11" s="1"/>
  <c r="H19" i="7"/>
  <c r="I19" i="7" s="1"/>
  <c r="J19" i="11" s="1"/>
  <c r="I56" i="8"/>
  <c r="J56" i="8" s="1"/>
  <c r="N16" i="11" s="1"/>
  <c r="O16" i="11" s="1"/>
  <c r="H23" i="6"/>
  <c r="I23" i="6" s="1"/>
  <c r="G23" i="11" s="1"/>
  <c r="H26" i="6"/>
  <c r="I26" i="6" s="1"/>
  <c r="G26" i="11" s="1"/>
  <c r="I65" i="8"/>
  <c r="J65" i="8" s="1"/>
  <c r="N25" i="11" s="1"/>
  <c r="H14" i="6"/>
  <c r="I14" i="6" s="1"/>
  <c r="G14" i="11" s="1"/>
  <c r="H17" i="6"/>
  <c r="I17" i="6" s="1"/>
  <c r="G17" i="11" s="1"/>
  <c r="I22" i="8"/>
  <c r="J22" i="8" s="1"/>
  <c r="M22" i="11" s="1"/>
  <c r="O22" i="11" s="1"/>
  <c r="H6" i="6"/>
  <c r="I6" i="6" s="1"/>
  <c r="G6" i="11" s="1"/>
  <c r="H46" i="7"/>
  <c r="I46" i="7" s="1"/>
  <c r="K6" i="11" s="1"/>
  <c r="H18" i="6"/>
  <c r="I18" i="6" s="1"/>
  <c r="G18" i="11" s="1"/>
  <c r="I18" i="11" s="1"/>
  <c r="S18" i="11" s="1"/>
  <c r="T18" i="11" s="1"/>
  <c r="U18" i="11" s="1"/>
  <c r="H33" i="6"/>
  <c r="I33" i="6" s="1"/>
  <c r="G33" i="11" s="1"/>
  <c r="I33" i="11" s="1"/>
  <c r="H36" i="6"/>
  <c r="I36" i="6" s="1"/>
  <c r="G36" i="11" s="1"/>
  <c r="I36" i="11" s="1"/>
  <c r="H51" i="6"/>
  <c r="I51" i="6" s="1"/>
  <c r="H11" i="11" s="1"/>
  <c r="H35" i="7"/>
  <c r="I35" i="7" s="1"/>
  <c r="J35" i="11" s="1"/>
  <c r="L35" i="11" s="1"/>
  <c r="H38" i="7"/>
  <c r="I38" i="7" s="1"/>
  <c r="J38" i="11" s="1"/>
  <c r="I11" i="8"/>
  <c r="J11" i="8" s="1"/>
  <c r="M11" i="11" s="1"/>
  <c r="I17" i="8"/>
  <c r="J17" i="8" s="1"/>
  <c r="M17" i="11" s="1"/>
  <c r="I20" i="8"/>
  <c r="J20" i="8" s="1"/>
  <c r="M20" i="11" s="1"/>
  <c r="I23" i="8"/>
  <c r="J23" i="8" s="1"/>
  <c r="M23" i="11" s="1"/>
  <c r="O23" i="11" s="1"/>
  <c r="I26" i="8"/>
  <c r="J26" i="8" s="1"/>
  <c r="M26" i="11" s="1"/>
  <c r="I66" i="8"/>
  <c r="J66" i="8" s="1"/>
  <c r="N26" i="11" s="1"/>
  <c r="I69" i="8"/>
  <c r="J69" i="8" s="1"/>
  <c r="N29" i="11" s="1"/>
  <c r="H15" i="6"/>
  <c r="I15" i="6" s="1"/>
  <c r="G15" i="11" s="1"/>
  <c r="H39" i="6"/>
  <c r="I39" i="6" s="1"/>
  <c r="G39" i="11" s="1"/>
  <c r="I75" i="8"/>
  <c r="J75" i="8" s="1"/>
  <c r="N35" i="11" s="1"/>
  <c r="I32" i="8"/>
  <c r="J32" i="8" s="1"/>
  <c r="M32" i="11" s="1"/>
  <c r="O32" i="11" s="1"/>
  <c r="I49" i="8"/>
  <c r="J49" i="8" s="1"/>
  <c r="N9" i="11" s="1"/>
  <c r="I16" i="11"/>
  <c r="O15" i="11"/>
  <c r="H36" i="7"/>
  <c r="I36" i="7" s="1"/>
  <c r="J36" i="11" s="1"/>
  <c r="L36" i="11" s="1"/>
  <c r="H76" i="6"/>
  <c r="I76" i="6" s="1"/>
  <c r="H36" i="11" s="1"/>
  <c r="H69" i="7"/>
  <c r="I69" i="7" s="1"/>
  <c r="K29" i="11" s="1"/>
  <c r="I76" i="8"/>
  <c r="J76" i="8" s="1"/>
  <c r="N36" i="11" s="1"/>
  <c r="H8" i="6"/>
  <c r="I8" i="6" s="1"/>
  <c r="G8" i="11" s="1"/>
  <c r="H67" i="6"/>
  <c r="I67" i="6" s="1"/>
  <c r="H27" i="11" s="1"/>
  <c r="H79" i="6"/>
  <c r="I79" i="6" s="1"/>
  <c r="H39" i="11" s="1"/>
  <c r="H48" i="7"/>
  <c r="I48" i="7" s="1"/>
  <c r="K8" i="11" s="1"/>
  <c r="H66" i="7"/>
  <c r="I66" i="7" s="1"/>
  <c r="K26" i="11" s="1"/>
  <c r="I79" i="8"/>
  <c r="J79" i="8" s="1"/>
  <c r="N39" i="11" s="1"/>
  <c r="I36" i="8"/>
  <c r="J36" i="8" s="1"/>
  <c r="M36" i="11" s="1"/>
  <c r="I59" i="8"/>
  <c r="J59" i="8" s="1"/>
  <c r="N19" i="11" s="1"/>
  <c r="H32" i="6"/>
  <c r="I32" i="6" s="1"/>
  <c r="G32" i="11" s="1"/>
  <c r="I32" i="11" s="1"/>
  <c r="H16" i="7"/>
  <c r="I16" i="7" s="1"/>
  <c r="J16" i="11" s="1"/>
  <c r="H25" i="7"/>
  <c r="I25" i="7" s="1"/>
  <c r="J25" i="11" s="1"/>
  <c r="I68" i="8"/>
  <c r="J68" i="8" s="1"/>
  <c r="N28" i="11" s="1"/>
  <c r="H20" i="6"/>
  <c r="I20" i="6" s="1"/>
  <c r="G20" i="11" s="1"/>
  <c r="H31" i="7"/>
  <c r="I31" i="7" s="1"/>
  <c r="J31" i="11" s="1"/>
  <c r="I71" i="8"/>
  <c r="J71" i="8" s="1"/>
  <c r="N31" i="11" s="1"/>
  <c r="H50" i="6"/>
  <c r="I50" i="6" s="1"/>
  <c r="H10" i="11" s="1"/>
  <c r="I10" i="11" s="1"/>
  <c r="I19" i="8"/>
  <c r="J19" i="8" s="1"/>
  <c r="M19" i="11" s="1"/>
  <c r="H38" i="6"/>
  <c r="I38" i="6" s="1"/>
  <c r="G38" i="11" s="1"/>
  <c r="H71" i="6"/>
  <c r="I71" i="6" s="1"/>
  <c r="H31" i="11" s="1"/>
  <c r="I31" i="11" s="1"/>
  <c r="H77" i="6"/>
  <c r="I77" i="6" s="1"/>
  <c r="H37" i="11" s="1"/>
  <c r="H48" i="6"/>
  <c r="I48" i="6" s="1"/>
  <c r="H8" i="11" s="1"/>
  <c r="H54" i="6"/>
  <c r="I54" i="6" s="1"/>
  <c r="H14" i="11" s="1"/>
  <c r="H59" i="7"/>
  <c r="I59" i="7" s="1"/>
  <c r="K19" i="11" s="1"/>
  <c r="H7" i="6"/>
  <c r="I7" i="6" s="1"/>
  <c r="G7" i="11" s="1"/>
  <c r="H60" i="6"/>
  <c r="I60" i="6" s="1"/>
  <c r="H20" i="11" s="1"/>
  <c r="H72" i="6"/>
  <c r="I72" i="6" s="1"/>
  <c r="H32" i="11" s="1"/>
  <c r="H6" i="7"/>
  <c r="I6" i="7" s="1"/>
  <c r="J6" i="11" s="1"/>
  <c r="H9" i="7"/>
  <c r="I9" i="7" s="1"/>
  <c r="J9" i="11" s="1"/>
  <c r="L9" i="11" s="1"/>
  <c r="H12" i="7"/>
  <c r="I12" i="7" s="1"/>
  <c r="J12" i="11" s="1"/>
  <c r="L12" i="11" s="1"/>
  <c r="H15" i="7"/>
  <c r="I15" i="7" s="1"/>
  <c r="J15" i="11" s="1"/>
  <c r="H56" i="7"/>
  <c r="I56" i="7" s="1"/>
  <c r="K16" i="11" s="1"/>
  <c r="L16" i="11" s="1"/>
  <c r="H62" i="7"/>
  <c r="I62" i="7" s="1"/>
  <c r="K22" i="11" s="1"/>
  <c r="H68" i="7"/>
  <c r="I68" i="7" s="1"/>
  <c r="K28" i="11" s="1"/>
  <c r="H74" i="7"/>
  <c r="I74" i="7" s="1"/>
  <c r="K34" i="11" s="1"/>
  <c r="I35" i="8"/>
  <c r="J35" i="8" s="1"/>
  <c r="M35" i="11" s="1"/>
  <c r="I72" i="8"/>
  <c r="J72" i="8" s="1"/>
  <c r="N32" i="11" s="1"/>
  <c r="H57" i="6"/>
  <c r="I57" i="6" s="1"/>
  <c r="H17" i="11" s="1"/>
  <c r="H63" i="6"/>
  <c r="I63" i="6" s="1"/>
  <c r="H23" i="11" s="1"/>
  <c r="I23" i="11" s="1"/>
  <c r="H66" i="6"/>
  <c r="I66" i="6" s="1"/>
  <c r="H26" i="11" s="1"/>
  <c r="H75" i="6"/>
  <c r="I75" i="6" s="1"/>
  <c r="H35" i="11" s="1"/>
  <c r="H78" i="6"/>
  <c r="I78" i="6" s="1"/>
  <c r="H38" i="11" s="1"/>
  <c r="H27" i="7"/>
  <c r="I27" i="7" s="1"/>
  <c r="J27" i="11" s="1"/>
  <c r="L27" i="11" s="1"/>
  <c r="H50" i="7"/>
  <c r="I50" i="7" s="1"/>
  <c r="K10" i="11" s="1"/>
  <c r="L10" i="11" s="1"/>
  <c r="H65" i="7"/>
  <c r="I65" i="7" s="1"/>
  <c r="K25" i="11" s="1"/>
  <c r="H71" i="7"/>
  <c r="I71" i="7" s="1"/>
  <c r="K31" i="11" s="1"/>
  <c r="I9" i="8"/>
  <c r="J9" i="8" s="1"/>
  <c r="M9" i="11" s="1"/>
  <c r="I78" i="8"/>
  <c r="J78" i="8" s="1"/>
  <c r="N38" i="11" s="1"/>
  <c r="O38" i="11" s="1"/>
  <c r="E8" i="14"/>
  <c r="I39" i="11"/>
  <c r="L18" i="11"/>
  <c r="L30" i="11"/>
  <c r="O21" i="11"/>
  <c r="O24" i="11"/>
  <c r="I25" i="11"/>
  <c r="I13" i="11"/>
  <c r="I28" i="11"/>
  <c r="I37" i="11"/>
  <c r="L13" i="11"/>
  <c r="L25" i="11"/>
  <c r="I26" i="11"/>
  <c r="H55" i="7"/>
  <c r="I55" i="7" s="1"/>
  <c r="K15" i="11" s="1"/>
  <c r="I29" i="8"/>
  <c r="J29" i="8" s="1"/>
  <c r="M29" i="11" s="1"/>
  <c r="F74" i="8"/>
  <c r="K12" i="13"/>
  <c r="K23" i="13"/>
  <c r="K34" i="13"/>
  <c r="R27" i="11"/>
  <c r="Q27" i="11"/>
  <c r="P27" i="11"/>
  <c r="D47" i="14"/>
  <c r="M37" i="12"/>
  <c r="F47" i="14" s="1"/>
  <c r="F22" i="8"/>
  <c r="D6" i="2"/>
  <c r="F15" i="8"/>
  <c r="F27" i="8"/>
  <c r="I62" i="8"/>
  <c r="J62" i="8" s="1"/>
  <c r="N22" i="11" s="1"/>
  <c r="N33" i="12"/>
  <c r="G43" i="14" s="1"/>
  <c r="M33" i="12"/>
  <c r="F43" i="14" s="1"/>
  <c r="Q6" i="11"/>
  <c r="P6" i="11"/>
  <c r="O18" i="11"/>
  <c r="F20" i="8"/>
  <c r="K10" i="13"/>
  <c r="K21" i="13"/>
  <c r="D7" i="2"/>
  <c r="R8" i="11"/>
  <c r="Q8" i="11"/>
  <c r="Q35" i="11"/>
  <c r="P35" i="11"/>
  <c r="I13" i="8"/>
  <c r="J13" i="8" s="1"/>
  <c r="M13" i="11" s="1"/>
  <c r="R6" i="11"/>
  <c r="B27" i="15"/>
  <c r="D22" i="14"/>
  <c r="N12" i="12"/>
  <c r="G22" i="14" s="1"/>
  <c r="N37" i="12"/>
  <c r="G47" i="14" s="1"/>
  <c r="F16" i="4"/>
  <c r="F63" i="8"/>
  <c r="D36" i="14"/>
  <c r="M26" i="12"/>
  <c r="F36" i="14" s="1"/>
  <c r="D43" i="14"/>
  <c r="Q13" i="11"/>
  <c r="P13" i="11"/>
  <c r="D9" i="2"/>
  <c r="F11" i="8"/>
  <c r="F28" i="8"/>
  <c r="F46" i="8"/>
  <c r="P8" i="11"/>
  <c r="R35" i="11"/>
  <c r="M12" i="12"/>
  <c r="F22" i="14" s="1"/>
  <c r="M16" i="12"/>
  <c r="F26" i="14" s="1"/>
  <c r="N22" i="12"/>
  <c r="G32" i="14" s="1"/>
  <c r="M22" i="12"/>
  <c r="F32" i="14" s="1"/>
  <c r="K37" i="13"/>
  <c r="K26" i="13"/>
  <c r="K15" i="13"/>
  <c r="K35" i="13"/>
  <c r="K24" i="13"/>
  <c r="K13" i="13"/>
  <c r="K33" i="13"/>
  <c r="K22" i="13"/>
  <c r="K11" i="13"/>
  <c r="K42" i="13"/>
  <c r="K31" i="13"/>
  <c r="K20" i="13"/>
  <c r="K9" i="13"/>
  <c r="K40" i="13"/>
  <c r="K29" i="13"/>
  <c r="K18" i="13"/>
  <c r="K38" i="13"/>
  <c r="K27" i="13"/>
  <c r="K16" i="13"/>
  <c r="K36" i="13"/>
  <c r="K25" i="13"/>
  <c r="K14" i="13"/>
  <c r="K41" i="13"/>
  <c r="K30" i="13"/>
  <c r="K19" i="13"/>
  <c r="H55" i="6"/>
  <c r="I55" i="6" s="1"/>
  <c r="H15" i="11" s="1"/>
  <c r="F16" i="8"/>
  <c r="I46" i="8"/>
  <c r="J46" i="8" s="1"/>
  <c r="N6" i="11" s="1"/>
  <c r="O6" i="11" s="1"/>
  <c r="R28" i="11"/>
  <c r="Q28" i="11"/>
  <c r="P28" i="11"/>
  <c r="N16" i="12"/>
  <c r="G26" i="14" s="1"/>
  <c r="I51" i="8"/>
  <c r="J51" i="8" s="1"/>
  <c r="N11" i="11" s="1"/>
  <c r="O11" i="11" s="1"/>
  <c r="R26" i="11"/>
  <c r="Q26" i="11"/>
  <c r="P26" i="11"/>
  <c r="D44" i="14"/>
  <c r="N34" i="12"/>
  <c r="G44" i="14" s="1"/>
  <c r="R32" i="11"/>
  <c r="P32" i="11"/>
  <c r="F61" i="8"/>
  <c r="R34" i="11"/>
  <c r="P34" i="11"/>
  <c r="N26" i="12"/>
  <c r="G36" i="14" s="1"/>
  <c r="F31" i="8"/>
  <c r="F49" i="8"/>
  <c r="F54" i="8"/>
  <c r="R12" i="11"/>
  <c r="P12" i="11"/>
  <c r="Q10" i="11"/>
  <c r="R13" i="11"/>
  <c r="F9" i="14"/>
  <c r="M34" i="12"/>
  <c r="F44" i="14" s="1"/>
  <c r="M38" i="12"/>
  <c r="F48" i="14" s="1"/>
  <c r="H19" i="6"/>
  <c r="I19" i="6" s="1"/>
  <c r="G19" i="11" s="1"/>
  <c r="I19" i="11" s="1"/>
  <c r="H33" i="7"/>
  <c r="I33" i="7" s="1"/>
  <c r="J33" i="11" s="1"/>
  <c r="L33" i="11" s="1"/>
  <c r="F24" i="8"/>
  <c r="F59" i="8"/>
  <c r="F76" i="8"/>
  <c r="R10" i="11"/>
  <c r="B6" i="15"/>
  <c r="G41" i="12"/>
  <c r="D25" i="14"/>
  <c r="M15" i="12"/>
  <c r="F25" i="14" s="1"/>
  <c r="N38" i="12"/>
  <c r="G48" i="14" s="1"/>
  <c r="K17" i="13"/>
  <c r="K28" i="13"/>
  <c r="K39" i="13"/>
  <c r="F7" i="8"/>
  <c r="Q32" i="11"/>
  <c r="N11" i="12"/>
  <c r="G21" i="14" s="1"/>
  <c r="M11" i="12"/>
  <c r="F21" i="14" s="1"/>
  <c r="H47" i="7"/>
  <c r="I47" i="7" s="1"/>
  <c r="K7" i="11" s="1"/>
  <c r="L7" i="11" s="1"/>
  <c r="I7" i="8"/>
  <c r="J7" i="8" s="1"/>
  <c r="M7" i="11" s="1"/>
  <c r="F52" i="8"/>
  <c r="Q34" i="11"/>
  <c r="L6" i="11"/>
  <c r="H27" i="6"/>
  <c r="I27" i="6" s="1"/>
  <c r="G27" i="11" s="1"/>
  <c r="H69" i="6"/>
  <c r="I69" i="6" s="1"/>
  <c r="H29" i="11" s="1"/>
  <c r="L91" i="6"/>
  <c r="I12" i="8"/>
  <c r="J12" i="8" s="1"/>
  <c r="M12" i="11" s="1"/>
  <c r="O12" i="11" s="1"/>
  <c r="F29" i="8"/>
  <c r="I52" i="8"/>
  <c r="J52" i="8" s="1"/>
  <c r="N12" i="11" s="1"/>
  <c r="D33" i="14"/>
  <c r="N23" i="12"/>
  <c r="G33" i="14" s="1"/>
  <c r="F6" i="14"/>
  <c r="D28" i="14"/>
  <c r="Q14" i="11"/>
  <c r="Q36" i="11"/>
  <c r="B28" i="15"/>
  <c r="M8" i="12"/>
  <c r="F18" i="14" s="1"/>
  <c r="M19" i="12"/>
  <c r="F29" i="14" s="1"/>
  <c r="F10" i="14"/>
  <c r="B29" i="15"/>
  <c r="P30" i="11"/>
  <c r="P7" i="11"/>
  <c r="P29" i="11"/>
  <c r="Q30" i="11"/>
  <c r="B30" i="15"/>
  <c r="Q7" i="11"/>
  <c r="Q29" i="11"/>
  <c r="M7" i="12"/>
  <c r="F17" i="14" s="1"/>
  <c r="M18" i="12"/>
  <c r="F28" i="14" s="1"/>
  <c r="M29" i="12"/>
  <c r="F39" i="14" s="1"/>
  <c r="D24" i="14"/>
  <c r="D46" i="14"/>
  <c r="N7" i="12"/>
  <c r="G17" i="14" s="1"/>
  <c r="N29" i="12"/>
  <c r="G39" i="14" s="1"/>
  <c r="D34" i="14"/>
  <c r="N25" i="12"/>
  <c r="G35" i="14" s="1"/>
  <c r="D17" i="14"/>
  <c r="F8" i="14"/>
  <c r="O14" i="11" l="1"/>
  <c r="O25" i="11"/>
  <c r="O20" i="11"/>
  <c r="S12" i="11"/>
  <c r="T12" i="11" s="1"/>
  <c r="U12" i="11" s="1"/>
  <c r="I27" i="11"/>
  <c r="O9" i="11"/>
  <c r="O7" i="11"/>
  <c r="I8" i="11"/>
  <c r="I14" i="11"/>
  <c r="O31" i="11"/>
  <c r="L11" i="11"/>
  <c r="O19" i="11"/>
  <c r="I17" i="11"/>
  <c r="S17" i="11" s="1"/>
  <c r="T17" i="11" s="1"/>
  <c r="U17" i="11" s="1"/>
  <c r="L31" i="11"/>
  <c r="S31" i="11" s="1"/>
  <c r="T31" i="11" s="1"/>
  <c r="U31" i="11" s="1"/>
  <c r="O39" i="11"/>
  <c r="I35" i="11"/>
  <c r="I11" i="11"/>
  <c r="S11" i="11" s="1"/>
  <c r="T11" i="11" s="1"/>
  <c r="U11" i="11" s="1"/>
  <c r="O13" i="11"/>
  <c r="S13" i="11" s="1"/>
  <c r="T13" i="11" s="1"/>
  <c r="U13" i="11" s="1"/>
  <c r="I6" i="11"/>
  <c r="S6" i="11" s="1"/>
  <c r="T6" i="11" s="1"/>
  <c r="U6" i="11" s="1"/>
  <c r="G9" i="13" s="1"/>
  <c r="I9" i="13" s="1"/>
  <c r="J9" i="13" s="1"/>
  <c r="L9" i="13" s="1"/>
  <c r="L26" i="11"/>
  <c r="S26" i="11" s="1"/>
  <c r="T26" i="11" s="1"/>
  <c r="U26" i="11" s="1"/>
  <c r="O26" i="11"/>
  <c r="L14" i="11"/>
  <c r="L34" i="11"/>
  <c r="S34" i="11" s="1"/>
  <c r="T34" i="11" s="1"/>
  <c r="U34" i="11" s="1"/>
  <c r="O36" i="11"/>
  <c r="S36" i="11" s="1"/>
  <c r="T36" i="11" s="1"/>
  <c r="U36" i="11" s="1"/>
  <c r="L22" i="11"/>
  <c r="S22" i="11" s="1"/>
  <c r="T22" i="11" s="1"/>
  <c r="U22" i="11" s="1"/>
  <c r="O17" i="11"/>
  <c r="L29" i="11"/>
  <c r="S10" i="11"/>
  <c r="T10" i="11" s="1"/>
  <c r="U10" i="11" s="1"/>
  <c r="G13" i="13" s="1"/>
  <c r="I13" i="13" s="1"/>
  <c r="J13" i="13" s="1"/>
  <c r="L13" i="13" s="1"/>
  <c r="I29" i="11"/>
  <c r="L38" i="11"/>
  <c r="I30" i="11"/>
  <c r="O33" i="11"/>
  <c r="S33" i="11" s="1"/>
  <c r="T33" i="11" s="1"/>
  <c r="U33" i="11" s="1"/>
  <c r="H33" i="12" s="1"/>
  <c r="I33" i="12" s="1"/>
  <c r="L33" i="12" s="1"/>
  <c r="O33" i="12" s="1"/>
  <c r="P33" i="12" s="1"/>
  <c r="I7" i="11"/>
  <c r="L19" i="11"/>
  <c r="S19" i="11" s="1"/>
  <c r="T19" i="11" s="1"/>
  <c r="U19" i="11" s="1"/>
  <c r="S30" i="11"/>
  <c r="T30" i="11" s="1"/>
  <c r="U30" i="11" s="1"/>
  <c r="G33" i="13" s="1"/>
  <c r="I33" i="13" s="1"/>
  <c r="J33" i="13" s="1"/>
  <c r="L33" i="13" s="1"/>
  <c r="S16" i="11"/>
  <c r="T16" i="11" s="1"/>
  <c r="U16" i="11" s="1"/>
  <c r="G19" i="13" s="1"/>
  <c r="I19" i="13" s="1"/>
  <c r="J19" i="13" s="1"/>
  <c r="L19" i="13" s="1"/>
  <c r="S25" i="11"/>
  <c r="T25" i="11" s="1"/>
  <c r="U25" i="11" s="1"/>
  <c r="G28" i="13" s="1"/>
  <c r="I28" i="13" s="1"/>
  <c r="J28" i="13" s="1"/>
  <c r="L28" i="13" s="1"/>
  <c r="O29" i="11"/>
  <c r="O28" i="11"/>
  <c r="S28" i="11" s="1"/>
  <c r="T28" i="11" s="1"/>
  <c r="U28" i="11" s="1"/>
  <c r="L15" i="11"/>
  <c r="S21" i="11"/>
  <c r="T21" i="11" s="1"/>
  <c r="U21" i="11" s="1"/>
  <c r="G24" i="13" s="1"/>
  <c r="I24" i="13" s="1"/>
  <c r="J24" i="13" s="1"/>
  <c r="L24" i="13" s="1"/>
  <c r="I38" i="11"/>
  <c r="S38" i="11" s="1"/>
  <c r="T38" i="11" s="1"/>
  <c r="U38" i="11" s="1"/>
  <c r="I15" i="11"/>
  <c r="I24" i="11"/>
  <c r="S24" i="11" s="1"/>
  <c r="T24" i="11" s="1"/>
  <c r="U24" i="11" s="1"/>
  <c r="O37" i="11"/>
  <c r="S37" i="11" s="1"/>
  <c r="T37" i="11" s="1"/>
  <c r="U37" i="11" s="1"/>
  <c r="O35" i="11"/>
  <c r="I20" i="11"/>
  <c r="S20" i="11" s="1"/>
  <c r="T20" i="11" s="1"/>
  <c r="U20" i="11" s="1"/>
  <c r="S9" i="11"/>
  <c r="T9" i="11" s="1"/>
  <c r="U9" i="11" s="1"/>
  <c r="H12" i="12"/>
  <c r="I12" i="12" s="1"/>
  <c r="L12" i="12" s="1"/>
  <c r="G15" i="13"/>
  <c r="I15" i="13" s="1"/>
  <c r="J15" i="13" s="1"/>
  <c r="L15" i="13" s="1"/>
  <c r="H18" i="12"/>
  <c r="I18" i="12" s="1"/>
  <c r="L18" i="12" s="1"/>
  <c r="O18" i="12" s="1"/>
  <c r="P18" i="12" s="1"/>
  <c r="G21" i="13"/>
  <c r="I21" i="13" s="1"/>
  <c r="J21" i="13" s="1"/>
  <c r="L21" i="13" s="1"/>
  <c r="S14" i="11"/>
  <c r="T14" i="11" s="1"/>
  <c r="U14" i="11" s="1"/>
  <c r="S39" i="11"/>
  <c r="T39" i="11" s="1"/>
  <c r="U39" i="11" s="1"/>
  <c r="S23" i="11"/>
  <c r="T23" i="11" s="1"/>
  <c r="U23" i="11" s="1"/>
  <c r="S27" i="11"/>
  <c r="T27" i="11" s="1"/>
  <c r="U27" i="11" s="1"/>
  <c r="S32" i="11"/>
  <c r="T32" i="11" s="1"/>
  <c r="U32" i="11" s="1"/>
  <c r="S8" i="11"/>
  <c r="T8" i="11" s="1"/>
  <c r="U8" i="11" s="1"/>
  <c r="H11" i="12" l="1"/>
  <c r="I11" i="12" s="1"/>
  <c r="L11" i="12" s="1"/>
  <c r="O11" i="12" s="1"/>
  <c r="P11" i="12" s="1"/>
  <c r="Q11" i="12" s="1"/>
  <c r="G14" i="13"/>
  <c r="I14" i="13" s="1"/>
  <c r="J14" i="13" s="1"/>
  <c r="L14" i="13" s="1"/>
  <c r="G23" i="13"/>
  <c r="I23" i="13" s="1"/>
  <c r="J23" i="13" s="1"/>
  <c r="L23" i="13" s="1"/>
  <c r="H20" i="12"/>
  <c r="I20" i="12" s="1"/>
  <c r="L20" i="12" s="1"/>
  <c r="O20" i="12" s="1"/>
  <c r="P20" i="12" s="1"/>
  <c r="E30" i="14" s="1"/>
  <c r="S7" i="11"/>
  <c r="T7" i="11" s="1"/>
  <c r="U7" i="11" s="1"/>
  <c r="D21" i="2" s="1"/>
  <c r="H10" i="12"/>
  <c r="I10" i="12" s="1"/>
  <c r="L10" i="12" s="1"/>
  <c r="O10" i="12" s="1"/>
  <c r="P10" i="12" s="1"/>
  <c r="H21" i="12"/>
  <c r="I21" i="12" s="1"/>
  <c r="L21" i="12" s="1"/>
  <c r="O21" i="12" s="1"/>
  <c r="P21" i="12" s="1"/>
  <c r="S35" i="11"/>
  <c r="T35" i="11" s="1"/>
  <c r="U35" i="11" s="1"/>
  <c r="S15" i="11"/>
  <c r="T15" i="11" s="1"/>
  <c r="U15" i="11" s="1"/>
  <c r="G18" i="13" s="1"/>
  <c r="I18" i="13" s="1"/>
  <c r="J18" i="13" s="1"/>
  <c r="L18" i="13" s="1"/>
  <c r="H25" i="12"/>
  <c r="I25" i="12" s="1"/>
  <c r="L25" i="12" s="1"/>
  <c r="O25" i="12" s="1"/>
  <c r="P25" i="12" s="1"/>
  <c r="H37" i="12"/>
  <c r="I37" i="12" s="1"/>
  <c r="L37" i="12" s="1"/>
  <c r="O37" i="12" s="1"/>
  <c r="P37" i="12" s="1"/>
  <c r="Q37" i="12" s="1"/>
  <c r="G40" i="13"/>
  <c r="I40" i="13" s="1"/>
  <c r="J40" i="13" s="1"/>
  <c r="L40" i="13" s="1"/>
  <c r="G22" i="13"/>
  <c r="I22" i="13" s="1"/>
  <c r="J22" i="13" s="1"/>
  <c r="L22" i="13" s="1"/>
  <c r="H19" i="12"/>
  <c r="I19" i="12" s="1"/>
  <c r="L19" i="12" s="1"/>
  <c r="O19" i="12" s="1"/>
  <c r="P19" i="12" s="1"/>
  <c r="Q19" i="12" s="1"/>
  <c r="H24" i="12"/>
  <c r="I24" i="12" s="1"/>
  <c r="L24" i="12" s="1"/>
  <c r="O24" i="12" s="1"/>
  <c r="P24" i="12" s="1"/>
  <c r="G27" i="13"/>
  <c r="I27" i="13" s="1"/>
  <c r="J27" i="13" s="1"/>
  <c r="L27" i="13" s="1"/>
  <c r="G39" i="13"/>
  <c r="I39" i="13" s="1"/>
  <c r="J39" i="13" s="1"/>
  <c r="L39" i="13" s="1"/>
  <c r="H36" i="12"/>
  <c r="I36" i="12" s="1"/>
  <c r="L36" i="12" s="1"/>
  <c r="O36" i="12" s="1"/>
  <c r="P36" i="12" s="1"/>
  <c r="E46" i="14" s="1"/>
  <c r="G41" i="13"/>
  <c r="I41" i="13" s="1"/>
  <c r="J41" i="13" s="1"/>
  <c r="L41" i="13" s="1"/>
  <c r="H38" i="12"/>
  <c r="I38" i="12" s="1"/>
  <c r="L38" i="12" s="1"/>
  <c r="O38" i="12" s="1"/>
  <c r="P38" i="12" s="1"/>
  <c r="Q38" i="12" s="1"/>
  <c r="H6" i="12"/>
  <c r="I6" i="12" s="1"/>
  <c r="L6" i="12" s="1"/>
  <c r="O6" i="12" s="1"/>
  <c r="G12" i="13"/>
  <c r="I12" i="13" s="1"/>
  <c r="J12" i="13" s="1"/>
  <c r="L12" i="13" s="1"/>
  <c r="H9" i="12"/>
  <c r="I9" i="12" s="1"/>
  <c r="L9" i="12" s="1"/>
  <c r="S29" i="11"/>
  <c r="T29" i="11" s="1"/>
  <c r="U29" i="11" s="1"/>
  <c r="E21" i="2" s="1"/>
  <c r="H30" i="12"/>
  <c r="I30" i="12" s="1"/>
  <c r="L30" i="12" s="1"/>
  <c r="O30" i="12" s="1"/>
  <c r="P30" i="12" s="1"/>
  <c r="E40" i="14" s="1"/>
  <c r="G36" i="13"/>
  <c r="I36" i="13" s="1"/>
  <c r="J36" i="13" s="1"/>
  <c r="L36" i="13" s="1"/>
  <c r="H17" i="12"/>
  <c r="I17" i="12" s="1"/>
  <c r="L17" i="12" s="1"/>
  <c r="O17" i="12" s="1"/>
  <c r="P17" i="12" s="1"/>
  <c r="G20" i="13"/>
  <c r="I20" i="13" s="1"/>
  <c r="J20" i="13" s="1"/>
  <c r="L20" i="13" s="1"/>
  <c r="H16" i="12"/>
  <c r="I16" i="12" s="1"/>
  <c r="L16" i="12" s="1"/>
  <c r="O16" i="12" s="1"/>
  <c r="P16" i="12" s="1"/>
  <c r="E26" i="14" s="1"/>
  <c r="G35" i="13"/>
  <c r="I35" i="13" s="1"/>
  <c r="J35" i="13" s="1"/>
  <c r="L35" i="13" s="1"/>
  <c r="H32" i="12"/>
  <c r="I32" i="12" s="1"/>
  <c r="L32" i="12" s="1"/>
  <c r="O32" i="12" s="1"/>
  <c r="P32" i="12" s="1"/>
  <c r="E35" i="14"/>
  <c r="Q25" i="12"/>
  <c r="H34" i="12"/>
  <c r="I34" i="12" s="1"/>
  <c r="L34" i="12" s="1"/>
  <c r="O34" i="12" s="1"/>
  <c r="P34" i="12" s="1"/>
  <c r="G37" i="13"/>
  <c r="I37" i="13" s="1"/>
  <c r="J37" i="13" s="1"/>
  <c r="L37" i="13" s="1"/>
  <c r="G11" i="13"/>
  <c r="I11" i="13" s="1"/>
  <c r="J11" i="13" s="1"/>
  <c r="L11" i="13" s="1"/>
  <c r="H8" i="12"/>
  <c r="I8" i="12" s="1"/>
  <c r="L8" i="12" s="1"/>
  <c r="H13" i="12"/>
  <c r="I13" i="12" s="1"/>
  <c r="L13" i="12" s="1"/>
  <c r="O13" i="12" s="1"/>
  <c r="P13" i="12" s="1"/>
  <c r="G16" i="13"/>
  <c r="I16" i="13" s="1"/>
  <c r="J16" i="13" s="1"/>
  <c r="L16" i="13" s="1"/>
  <c r="G17" i="13"/>
  <c r="I17" i="13" s="1"/>
  <c r="J17" i="13" s="1"/>
  <c r="L17" i="13" s="1"/>
  <c r="H14" i="12"/>
  <c r="I14" i="12" s="1"/>
  <c r="L14" i="12" s="1"/>
  <c r="O14" i="12" s="1"/>
  <c r="P14" i="12" s="1"/>
  <c r="B17" i="15"/>
  <c r="H23" i="12"/>
  <c r="I23" i="12" s="1"/>
  <c r="L23" i="12" s="1"/>
  <c r="O23" i="12" s="1"/>
  <c r="P23" i="12" s="1"/>
  <c r="G26" i="13"/>
  <c r="I26" i="13" s="1"/>
  <c r="J26" i="13" s="1"/>
  <c r="L26" i="13" s="1"/>
  <c r="O12" i="12"/>
  <c r="P12" i="12" s="1"/>
  <c r="Q33" i="12"/>
  <c r="E43" i="14"/>
  <c r="G30" i="13"/>
  <c r="I30" i="13" s="1"/>
  <c r="J30" i="13" s="1"/>
  <c r="L30" i="13" s="1"/>
  <c r="H27" i="12"/>
  <c r="I27" i="12" s="1"/>
  <c r="L27" i="12" s="1"/>
  <c r="O27" i="12" s="1"/>
  <c r="P27" i="12" s="1"/>
  <c r="Q18" i="12"/>
  <c r="E28" i="14"/>
  <c r="B16" i="15"/>
  <c r="E20" i="14"/>
  <c r="Q10" i="12"/>
  <c r="H15" i="12"/>
  <c r="I15" i="12" s="1"/>
  <c r="L15" i="12" s="1"/>
  <c r="O15" i="12" s="1"/>
  <c r="P15" i="12" s="1"/>
  <c r="H22" i="12"/>
  <c r="I22" i="12" s="1"/>
  <c r="L22" i="12" s="1"/>
  <c r="O22" i="12" s="1"/>
  <c r="P22" i="12" s="1"/>
  <c r="G25" i="13"/>
  <c r="I25" i="13" s="1"/>
  <c r="J25" i="13" s="1"/>
  <c r="L25" i="13" s="1"/>
  <c r="G34" i="13"/>
  <c r="I34" i="13" s="1"/>
  <c r="J34" i="13" s="1"/>
  <c r="L34" i="13" s="1"/>
  <c r="H31" i="12"/>
  <c r="I31" i="12" s="1"/>
  <c r="L31" i="12" s="1"/>
  <c r="H28" i="12"/>
  <c r="I28" i="12" s="1"/>
  <c r="L28" i="12" s="1"/>
  <c r="O28" i="12" s="1"/>
  <c r="P28" i="12" s="1"/>
  <c r="G31" i="13"/>
  <c r="I31" i="13" s="1"/>
  <c r="J31" i="13" s="1"/>
  <c r="L31" i="13" s="1"/>
  <c r="H35" i="12"/>
  <c r="I35" i="12" s="1"/>
  <c r="L35" i="12" s="1"/>
  <c r="O35" i="12" s="1"/>
  <c r="P35" i="12" s="1"/>
  <c r="G38" i="13"/>
  <c r="I38" i="13" s="1"/>
  <c r="J38" i="13" s="1"/>
  <c r="L38" i="13" s="1"/>
  <c r="G29" i="13"/>
  <c r="I29" i="13" s="1"/>
  <c r="J29" i="13" s="1"/>
  <c r="L29" i="13" s="1"/>
  <c r="H26" i="12"/>
  <c r="I26" i="12" s="1"/>
  <c r="L26" i="12" s="1"/>
  <c r="O26" i="12" s="1"/>
  <c r="P26" i="12" s="1"/>
  <c r="H39" i="12"/>
  <c r="I39" i="12" s="1"/>
  <c r="L39" i="12" s="1"/>
  <c r="O39" i="12" s="1"/>
  <c r="P39" i="12" s="1"/>
  <c r="G42" i="13"/>
  <c r="I42" i="13" s="1"/>
  <c r="J42" i="13" s="1"/>
  <c r="L42" i="13" s="1"/>
  <c r="E34" i="14"/>
  <c r="Q24" i="12"/>
  <c r="Q30" i="12"/>
  <c r="E47" i="14"/>
  <c r="E31" i="14"/>
  <c r="Q21" i="12"/>
  <c r="E29" i="14"/>
  <c r="Q20" i="12" l="1"/>
  <c r="E21" i="14"/>
  <c r="B20" i="15"/>
  <c r="C21" i="2"/>
  <c r="Q16" i="12"/>
  <c r="G10" i="13"/>
  <c r="I10" i="13" s="1"/>
  <c r="J10" i="13" s="1"/>
  <c r="L10" i="13" s="1"/>
  <c r="B19" i="15"/>
  <c r="H7" i="12"/>
  <c r="I7" i="12" s="1"/>
  <c r="L7" i="12" s="1"/>
  <c r="B18" i="15"/>
  <c r="C17" i="15" s="1"/>
  <c r="E48" i="14"/>
  <c r="H48" i="14" s="1"/>
  <c r="Q17" i="12"/>
  <c r="E27" i="14"/>
  <c r="G32" i="13"/>
  <c r="I32" i="13" s="1"/>
  <c r="J32" i="13" s="1"/>
  <c r="L32" i="13" s="1"/>
  <c r="H29" i="12"/>
  <c r="I29" i="12" s="1"/>
  <c r="L29" i="12" s="1"/>
  <c r="O29" i="12" s="1"/>
  <c r="P29" i="12" s="1"/>
  <c r="O9" i="12"/>
  <c r="P9" i="12" s="1"/>
  <c r="C26" i="15"/>
  <c r="C18" i="15"/>
  <c r="F21" i="2"/>
  <c r="B10" i="2"/>
  <c r="C10" i="2" s="1"/>
  <c r="C29" i="15"/>
  <c r="L44" i="13"/>
  <c r="B10" i="15" s="1"/>
  <c r="Q36" i="12"/>
  <c r="B21" i="2"/>
  <c r="I30" i="14"/>
  <c r="H30" i="14"/>
  <c r="Q26" i="12"/>
  <c r="E36" i="14"/>
  <c r="Q28" i="12"/>
  <c r="E38" i="14"/>
  <c r="Q39" i="12"/>
  <c r="E49" i="14"/>
  <c r="I21" i="14"/>
  <c r="H21" i="14"/>
  <c r="Q27" i="12"/>
  <c r="E37" i="14"/>
  <c r="O8" i="12"/>
  <c r="P8" i="12" s="1"/>
  <c r="C30" i="15"/>
  <c r="C19" i="15"/>
  <c r="E24" i="14"/>
  <c r="Q14" i="12"/>
  <c r="O31" i="12"/>
  <c r="P31" i="12" s="1"/>
  <c r="C27" i="15"/>
  <c r="I48" i="14"/>
  <c r="E45" i="14"/>
  <c r="Q35" i="12"/>
  <c r="H29" i="14"/>
  <c r="I29" i="14"/>
  <c r="P6" i="12"/>
  <c r="E25" i="14"/>
  <c r="Q15" i="12"/>
  <c r="C28" i="15"/>
  <c r="E22" i="14"/>
  <c r="Q12" i="12"/>
  <c r="I46" i="14"/>
  <c r="H46" i="14"/>
  <c r="E44" i="14"/>
  <c r="Q34" i="12"/>
  <c r="H40" i="14"/>
  <c r="I40" i="14"/>
  <c r="Q23" i="12"/>
  <c r="E33" i="14"/>
  <c r="E32" i="14"/>
  <c r="Q22" i="12"/>
  <c r="H20" i="14"/>
  <c r="I20" i="14"/>
  <c r="E42" i="14"/>
  <c r="Q32" i="12"/>
  <c r="H28" i="14"/>
  <c r="I28" i="14"/>
  <c r="E23" i="14"/>
  <c r="Q13" i="12"/>
  <c r="I43" i="14"/>
  <c r="H43" i="14"/>
  <c r="I31" i="14"/>
  <c r="H31" i="14"/>
  <c r="I47" i="14"/>
  <c r="H47" i="14"/>
  <c r="I35" i="14"/>
  <c r="H35" i="14"/>
  <c r="C16" i="15"/>
  <c r="I34" i="14"/>
  <c r="H34" i="14"/>
  <c r="I26" i="14"/>
  <c r="H26" i="14"/>
  <c r="C20" i="15" l="1"/>
  <c r="C25" i="15"/>
  <c r="O7" i="12"/>
  <c r="P7" i="12" s="1"/>
  <c r="D10" i="2"/>
  <c r="E19" i="14"/>
  <c r="Q9" i="12"/>
  <c r="D26" i="15" s="1"/>
  <c r="Q29" i="12"/>
  <c r="E39" i="14"/>
  <c r="I27" i="14"/>
  <c r="H27" i="14"/>
  <c r="I49" i="14"/>
  <c r="H49" i="14"/>
  <c r="I37" i="14"/>
  <c r="H37" i="14"/>
  <c r="I23" i="14"/>
  <c r="H23" i="14"/>
  <c r="Q8" i="12"/>
  <c r="D30" i="15" s="1"/>
  <c r="E18" i="14"/>
  <c r="I25" i="14"/>
  <c r="H25" i="14"/>
  <c r="G9" i="14"/>
  <c r="H9" i="14" s="1"/>
  <c r="G12" i="14"/>
  <c r="H12" i="14" s="1"/>
  <c r="Q6" i="12"/>
  <c r="G8" i="14"/>
  <c r="H8" i="14" s="1"/>
  <c r="G11" i="14"/>
  <c r="H11" i="14" s="1"/>
  <c r="G7" i="14"/>
  <c r="H7" i="14" s="1"/>
  <c r="E16" i="14"/>
  <c r="H42" i="14"/>
  <c r="I42" i="14"/>
  <c r="I33" i="14"/>
  <c r="H33" i="14"/>
  <c r="I45" i="14"/>
  <c r="H45" i="14"/>
  <c r="E41" i="14"/>
  <c r="Q31" i="12"/>
  <c r="D27" i="15" s="1"/>
  <c r="I22" i="14"/>
  <c r="H22" i="14"/>
  <c r="I32" i="14"/>
  <c r="H32" i="14"/>
  <c r="I44" i="14"/>
  <c r="H44" i="14"/>
  <c r="I24" i="14"/>
  <c r="H24" i="14"/>
  <c r="D28" i="15"/>
  <c r="I38" i="14"/>
  <c r="H38" i="14"/>
  <c r="I36" i="14"/>
  <c r="H36" i="14"/>
  <c r="Q7" i="12" l="1"/>
  <c r="D25" i="15" s="1"/>
  <c r="E17" i="14"/>
  <c r="O41" i="12"/>
  <c r="G6" i="14"/>
  <c r="H6" i="14" s="1"/>
  <c r="B16" i="2"/>
  <c r="P41" i="12"/>
  <c r="B7" i="15" s="1"/>
  <c r="G10" i="14"/>
  <c r="H10" i="14" s="1"/>
  <c r="B11" i="15" s="1"/>
  <c r="H39" i="14"/>
  <c r="I39" i="14"/>
  <c r="I19" i="14"/>
  <c r="H19" i="14"/>
  <c r="I16" i="14"/>
  <c r="H16" i="14"/>
  <c r="D29" i="15"/>
  <c r="Q41" i="12"/>
  <c r="H18" i="14"/>
  <c r="I18" i="14"/>
  <c r="I41" i="14"/>
  <c r="H41" i="14"/>
  <c r="B17" i="2" l="1"/>
  <c r="H17" i="14"/>
  <c r="I17" i="14"/>
  <c r="B9" i="15"/>
  <c r="B8" i="15"/>
</calcChain>
</file>

<file path=xl/sharedStrings.xml><?xml version="1.0" encoding="utf-8"?>
<sst xmlns="http://schemas.openxmlformats.org/spreadsheetml/2006/main" count="2349" uniqueCount="928">
  <si>
    <t>1년 2회 평가(상·하반기) → 등급 결정 → 임금 조정 → 페이밴드 검증의 End-to-End 운영 도구</t>
  </si>
  <si>
    <t>■ 우리가 하려는 일 (핵심 의사결정 4단계)</t>
  </si>
  <si>
    <t>단계</t>
  </si>
  <si>
    <t>핵심 작업</t>
  </si>
  <si>
    <t>의사결정</t>
  </si>
  <si>
    <t>주요 내용</t>
  </si>
  <si>
    <t>STEP 1</t>
  </si>
  <si>
    <t>평가 실시</t>
  </si>
  <si>
    <t>연 2회(상반기·하반기) 개인별 3축 평가</t>
  </si>
  <si>
    <t>역할평가 + 공통역량평가 + 직무역량평가</t>
  </si>
  <si>
    <t>STEP 2</t>
  </si>
  <si>
    <t>등급 결정</t>
  </si>
  <si>
    <t>회사 전체 KPI + 개인 평가 결과 종합</t>
  </si>
  <si>
    <t>3축 가중통합 → 최종 등급(S/A/B/C/D) 산출</t>
  </si>
  <si>
    <t>STEP 3</t>
  </si>
  <si>
    <t>임금 조정</t>
  </si>
  <si>
    <t>평가 등급에 따라 차년도 기본연봉 인상</t>
  </si>
  <si>
    <t>S 6% / A 5% / B 4% / C 3% / D 2% (+ 승진 가산)</t>
  </si>
  <si>
    <t>STEP 4</t>
  </si>
  <si>
    <t>페이밴드 관리</t>
  </si>
  <si>
    <t>전체 임직원 임금이 역할등급별 범위 내 유지</t>
  </si>
  <si>
    <t>Min/Mid/Max 검증 → 이탈자 조정 권고</t>
  </si>
  <si>
    <t>■ 우리가 가진 도구 (산출물)</t>
  </si>
  <si>
    <t>도구</t>
  </si>
  <si>
    <t>파일/시트</t>
  </si>
  <si>
    <t>용도·운영 주체</t>
  </si>
  <si>
    <t>통합 관리 시트</t>
  </si>
  <si>
    <t>본 파일 (HR 통합관리시스템 v5.xlsx)</t>
  </si>
  <si>
    <t>HR 담당자가 모든 평가 결과를 모아 종합 등급·인상률·페이밴드를 산출. 본 파일.</t>
  </si>
  <si>
    <t>직무별 평가지</t>
  </si>
  <si>
    <t>평가지_2026_v2/평가지_{부서}_2026_v2.xlsx (부서별 6종)</t>
  </si>
  <si>
    <t>부서장(1·2차 평가자)이 작성. HR이 배포·회수 후 [복사용 행]을 통합시트에 옮김.</t>
  </si>
  <si>
    <t>■ HR 담당자 운영 흐름 (한 평가 사이클)</t>
  </si>
  <si>
    <t>내용</t>
  </si>
  <si>
    <t>① 준비</t>
  </si>
  <si>
    <t>01_인적정보 확인 + 15_직원별책무매핑에서 직원별 메인 책무 O/X 선택</t>
  </si>
  <si>
    <t>② 배포</t>
  </si>
  <si>
    <t>평가지_{부서}_2026_v2.xlsx 6개 파일을 각 부서장에게 배포 (이메일/공유폴더)</t>
  </si>
  <si>
    <t>③ 평가</t>
  </si>
  <si>
    <t>부서장(1·2차 평가자)이 각자 등급(S/A/B/C/D) 입력 → 시트가 가중평균·등급 자동 산출</t>
  </si>
  <si>
    <t>④ 회수</t>
  </si>
  <si>
    <t>평가지 회수 (보통 평가 마감 후 1주일 내)</t>
  </si>
  <si>
    <t>⑤ 입력</t>
  </si>
  <si>
    <t>각 평가지 직원 시트 하단 [복사용 입력 행] A~U 21개 셀 통째 복사 → 본 파일 07a/07b의 해당 사번 행 G~AA에 [값 붙여넣기]</t>
  </si>
  <si>
    <t>⑥ 점검</t>
  </si>
  <si>
    <t>00_운영현황판에서 누락·이상 알림 확인 → 보완</t>
  </si>
  <si>
    <t>⑦ 결과 확인</t>
  </si>
  <si>
    <t>08_종합평가 (최종등급) / 09_보상연계 (인상률·신규연봉) / 10_성과급관리 / 11_페이밴드검증 / 12_시뮬레이션</t>
  </si>
  <si>
    <t>■ 본 파일 시트 역할 (18개)</t>
  </si>
  <si>
    <t>시트</t>
  </si>
  <si>
    <t>역할</t>
  </si>
  <si>
    <t>유형</t>
  </si>
  <si>
    <t>00_운영가이드</t>
  </si>
  <si>
    <t>본 시트 - 운영 흐름·시트 안내</t>
  </si>
  <si>
    <t>안내</t>
  </si>
  <si>
    <t>00_운영현황판</t>
  </si>
  <si>
    <t>평가 진행률·이상 알림·등급 분포 한눈에</t>
  </si>
  <si>
    <t>대시보드</t>
  </si>
  <si>
    <t>01_인적정보</t>
  </si>
  <si>
    <t>직원 마스터(34명). 사번·역할등급 입력</t>
  </si>
  <si>
    <t>HR 입력</t>
  </si>
  <si>
    <t>02_의사결정·종합결과</t>
  </si>
  <si>
    <t>가중치·인상률·페이밴드·평가자 비중 설정</t>
  </si>
  <si>
    <t>03_전사업적평가</t>
  </si>
  <si>
    <t>전사 KPI 실적 입력 → 성과급 재원 가산</t>
  </si>
  <si>
    <t>04_역할평가</t>
  </si>
  <si>
    <t>자동 산출 (07a/07b 입력값 기반)</t>
  </si>
  <si>
    <t>자동</t>
  </si>
  <si>
    <t>05_공통역량평가</t>
  </si>
  <si>
    <t>자동 산출 (11개 역량 가중합산)</t>
  </si>
  <si>
    <t>06_직무역량평가</t>
  </si>
  <si>
    <t>자동 산출 (개인별 메인 책무 평균)</t>
  </si>
  <si>
    <t>07a_상반기입력</t>
  </si>
  <si>
    <t>부서별 평가지의 [복사용 행]을 여기 G~AA에 붙여넣기</t>
  </si>
  <si>
    <t>HR 입력 (핵심)</t>
  </si>
  <si>
    <t>07b_하반기입력</t>
  </si>
  <si>
    <t>하반기 동일 구조</t>
  </si>
  <si>
    <t>08_종합평가</t>
  </si>
  <si>
    <t>3축 가중통합 → 최종 등급</t>
  </si>
  <si>
    <t>09_보상연계</t>
  </si>
  <si>
    <t>등급 → 인상률 → 차년도 연봉 자동 산출</t>
  </si>
  <si>
    <t>10_성과급관리</t>
  </si>
  <si>
    <t>등급별 성과급 + 전사 KPI 가산</t>
  </si>
  <si>
    <t>11_페이밴드검증</t>
  </si>
  <si>
    <t>이탈자 명단·조정 권고액 자동</t>
  </si>
  <si>
    <t>12_시뮬레이션</t>
  </si>
  <si>
    <t>End-to-End 결과 요약 + 부서별 평균</t>
  </si>
  <si>
    <t>13_직무역할DB</t>
  </si>
  <si>
    <t>직무×역할등급 정의 (참조용)</t>
  </si>
  <si>
    <t>DB</t>
  </si>
  <si>
    <t>14_직무책무DB</t>
  </si>
  <si>
    <t>직무별 책무 카탈로그 (참조용)</t>
  </si>
  <si>
    <t>15_직원별책무매핑</t>
  </si>
  <si>
    <t>직원별 메인 책무 O/X 선택</t>
  </si>
  <si>
    <t>■ 색상 범례</t>
  </si>
  <si>
    <t>노란셀</t>
  </si>
  <si>
    <t>HR이 직접 입력</t>
  </si>
  <si>
    <t>연두셀</t>
  </si>
  <si>
    <t>자동 계산 - 수정 금지</t>
  </si>
  <si>
    <t>회색셀</t>
  </si>
  <si>
    <t>참고 라벨</t>
  </si>
  <si>
    <t>주황셀</t>
  </si>
  <si>
    <t>안내·중요 표시</t>
  </si>
  <si>
    <t>S/A 등급</t>
  </si>
  <si>
    <t>탁월·우수</t>
  </si>
  <si>
    <t>D 등급/이탈</t>
  </si>
  <si>
    <t>즉시 조치</t>
  </si>
  <si>
    <t>본 시스템은 베이시스소프트의 임금·평가 운영을 위해 설계되었습니다. 사용 중 의문 사항은 컨설팅 담당자 또는 시앤피컨설팅 이석주 컨설턴트에게 문의해 주세요.</t>
  </si>
  <si>
    <t>★ HR 운영 현황판 (모든 평가 진행 상황 한눈에)</t>
  </si>
  <si>
    <t>이 시트가 평가 사이클의 컨트롤 타워. 여기서 진행률·이상신호 확인 후 각 시트로 진입.</t>
  </si>
  <si>
    <t>✻ 이 시트는 평가 사이클이 진행되는 동안 매일 가장 먼저 확인하는 페이지입니다. 진행률·이상 알림으로 현재 상태를 즉시 파악하세요.</t>
  </si>
  <si>
    <t>■ 평가 진행 현황</t>
  </si>
  <si>
    <t>지표</t>
  </si>
  <si>
    <t>상반기 진행</t>
  </si>
  <si>
    <t>하반기 진행</t>
  </si>
  <si>
    <t>상태</t>
  </si>
  <si>
    <t>총 직원수</t>
  </si>
  <si>
    <t>역할평가 입력완료</t>
  </si>
  <si>
    <t>공통역량 입력완료</t>
  </si>
  <si>
    <t>직무역량 입력완료</t>
  </si>
  <si>
    <t>종합평가 산출완료</t>
  </si>
  <si>
    <t>■ 이상 알림 (자동 점검)</t>
  </si>
  <si>
    <t>가중치 합계 검증 (G6~G1)</t>
  </si>
  <si>
    <t>상반기 등급 누락자 수</t>
  </si>
  <si>
    <t>하반기 등급 누락자 수</t>
  </si>
  <si>
    <t>페이밴드 이탈자 수</t>
  </si>
  <si>
    <t>페이밴드 검증 시트의 이탈자 (참조)</t>
  </si>
  <si>
    <t>■ 평가 등급 분포 (전사 종합)</t>
  </si>
  <si>
    <t>등급</t>
  </si>
  <si>
    <t>S</t>
  </si>
  <si>
    <t>A</t>
  </si>
  <si>
    <t>B</t>
  </si>
  <si>
    <t>C</t>
  </si>
  <si>
    <t>D</t>
  </si>
  <si>
    <t>인원수</t>
  </si>
  <si>
    <t>■ 오늘 해야 할 일</t>
  </si>
  <si>
    <t>1) 01_인적정보에서 직원 명단·역할등급(G5-M/G5-S 포함) 확인</t>
  </si>
  <si>
    <t>2) 15_직원별책무매핑에서 직원별 메인 책무 선택 (신규 - 평가 시작 전 필수)</t>
  </si>
  <si>
    <t>3) 부서별 평가지 6종 배포 (평가자에게 이메일/공유폴더 전달)</t>
  </si>
  <si>
    <t>4) 평가지 회수 후 07a/07b 상·하반기 입력 시트에 등급 입력</t>
  </si>
  <si>
    <t>5) 본 시트에서 진행률·이상알림 확인</t>
  </si>
  <si>
    <t>6) 모두 완료 시 08~12 산출 시트에서 결과 확인</t>
  </si>
  <si>
    <t>임직원 명부 마스터 (Master)</t>
  </si>
  <si>
    <t>사번을 키로 모든 시트를 연결. 노란셀만 직접 수정. ★ G5는 M(부서장)/S(스페셜리스트)로 분리되어 있습니다.</t>
  </si>
  <si>
    <t>No.</t>
  </si>
  <si>
    <t>사번</t>
  </si>
  <si>
    <t>성명</t>
  </si>
  <si>
    <t>직군</t>
  </si>
  <si>
    <t>직무</t>
  </si>
  <si>
    <t>부서</t>
  </si>
  <si>
    <t>기존직급</t>
  </si>
  <si>
    <t>역할등급</t>
  </si>
  <si>
    <t>입사일</t>
  </si>
  <si>
    <t>근속연수</t>
  </si>
  <si>
    <t>기존연봉</t>
  </si>
  <si>
    <t>주요 책무 수</t>
  </si>
  <si>
    <t>조회키(직무_등급)</t>
  </si>
  <si>
    <t>비고</t>
  </si>
  <si>
    <t>BSS-001</t>
  </si>
  <si>
    <t>이화형</t>
  </si>
  <si>
    <t>영업</t>
  </si>
  <si>
    <t>프로젝트영업</t>
  </si>
  <si>
    <t>스마트사업부</t>
  </si>
  <si>
    <t>전무</t>
  </si>
  <si>
    <t>G6</t>
  </si>
  <si>
    <t>2014-01-08</t>
  </si>
  <si>
    <t>BSS-002</t>
  </si>
  <si>
    <t>강전용</t>
  </si>
  <si>
    <t>연구&amp;개발</t>
  </si>
  <si>
    <t>연구개발(R&amp;D)</t>
  </si>
  <si>
    <t>R&amp;D본부</t>
  </si>
  <si>
    <t>상무</t>
  </si>
  <si>
    <t>2014-02-15</t>
  </si>
  <si>
    <t>BSS-003</t>
  </si>
  <si>
    <t>김현민</t>
  </si>
  <si>
    <t>설계</t>
  </si>
  <si>
    <t>BIM컨설팅</t>
  </si>
  <si>
    <t>컨설팅본부</t>
  </si>
  <si>
    <t>2014-03-22</t>
  </si>
  <si>
    <t>BSS-004</t>
  </si>
  <si>
    <t>이일곤</t>
  </si>
  <si>
    <t>경영관리</t>
  </si>
  <si>
    <t>경영전략기획</t>
  </si>
  <si>
    <t>경영전략실</t>
  </si>
  <si>
    <t>이사</t>
  </si>
  <si>
    <t>2014-04-01</t>
  </si>
  <si>
    <t>BSS-005</t>
  </si>
  <si>
    <t>송헌영</t>
  </si>
  <si>
    <t>2015-05-08</t>
  </si>
  <si>
    <t>BSS-006</t>
  </si>
  <si>
    <t>이재용</t>
  </si>
  <si>
    <t>2015-06-15</t>
  </si>
  <si>
    <t>BSS-007</t>
  </si>
  <si>
    <t>이진행</t>
  </si>
  <si>
    <t>교육 및 기술지원</t>
  </si>
  <si>
    <t>교육</t>
  </si>
  <si>
    <t>솔루션본부</t>
  </si>
  <si>
    <t>부장</t>
  </si>
  <si>
    <t>G5-M</t>
  </si>
  <si>
    <t>2015-07-22</t>
  </si>
  <si>
    <t>BSS-008</t>
  </si>
  <si>
    <t>김민수</t>
  </si>
  <si>
    <t>기술지원</t>
  </si>
  <si>
    <t>2015-08-01</t>
  </si>
  <si>
    <t>BSS-009</t>
  </si>
  <si>
    <t>박남식</t>
  </si>
  <si>
    <t>2016-09-08</t>
  </si>
  <si>
    <t>BSS-010</t>
  </si>
  <si>
    <t>신재민</t>
  </si>
  <si>
    <t>G5-S</t>
  </si>
  <si>
    <t>2016-10-15</t>
  </si>
  <si>
    <t>BSS-011</t>
  </si>
  <si>
    <t>마장엽</t>
  </si>
  <si>
    <t>2016-11-22</t>
  </si>
  <si>
    <t>BSS-012</t>
  </si>
  <si>
    <t>하은주</t>
  </si>
  <si>
    <t>마케팅팀</t>
  </si>
  <si>
    <t>2016-12-01</t>
  </si>
  <si>
    <t>BSS-013</t>
  </si>
  <si>
    <t>홍사훈</t>
  </si>
  <si>
    <t>2017-01-08</t>
  </si>
  <si>
    <t>BSS-014</t>
  </si>
  <si>
    <t>유자영</t>
  </si>
  <si>
    <t>2017-02-15</t>
  </si>
  <si>
    <t>BSS-015</t>
  </si>
  <si>
    <t>민지선</t>
  </si>
  <si>
    <t>차장</t>
  </si>
  <si>
    <t>2017-03-22</t>
  </si>
  <si>
    <t>BSS-016</t>
  </si>
  <si>
    <t>장훈</t>
  </si>
  <si>
    <t>2017-04-01</t>
  </si>
  <si>
    <t>BSS-017</t>
  </si>
  <si>
    <t>김우람</t>
  </si>
  <si>
    <t>과장</t>
  </si>
  <si>
    <t>G4</t>
  </si>
  <si>
    <t>2018-05-08</t>
  </si>
  <si>
    <t>BSS-018</t>
  </si>
  <si>
    <t>조성준</t>
  </si>
  <si>
    <t>2018-06-15</t>
  </si>
  <si>
    <t>BSS-019</t>
  </si>
  <si>
    <t>구서현</t>
  </si>
  <si>
    <t>G3</t>
  </si>
  <si>
    <t>2018-07-22</t>
  </si>
  <si>
    <t>BSS-020</t>
  </si>
  <si>
    <t>박진용</t>
  </si>
  <si>
    <t>대리</t>
  </si>
  <si>
    <t>2018-08-01</t>
  </si>
  <si>
    <t>BSS-021</t>
  </si>
  <si>
    <t>김가연</t>
  </si>
  <si>
    <t>G2</t>
  </si>
  <si>
    <t>2019-09-08</t>
  </si>
  <si>
    <t>BSS-022</t>
  </si>
  <si>
    <t>한근수</t>
  </si>
  <si>
    <t>2019-10-15</t>
  </si>
  <si>
    <t>BSS-023</t>
  </si>
  <si>
    <t>김성민</t>
  </si>
  <si>
    <t>2019-11-22</t>
  </si>
  <si>
    <t>BSS-024</t>
  </si>
  <si>
    <t>고광우</t>
  </si>
  <si>
    <t>2019-12-01</t>
  </si>
  <si>
    <t>BSS-025</t>
  </si>
  <si>
    <t>김성수</t>
  </si>
  <si>
    <t>2020-01-08</t>
  </si>
  <si>
    <t>BSS-026</t>
  </si>
  <si>
    <t>박진희</t>
  </si>
  <si>
    <t>주임</t>
  </si>
  <si>
    <t>G1</t>
  </si>
  <si>
    <t>2020-02-15</t>
  </si>
  <si>
    <t>BSS-027</t>
  </si>
  <si>
    <t>장은한</t>
  </si>
  <si>
    <t>2020-03-22</t>
  </si>
  <si>
    <t>BSS-028</t>
  </si>
  <si>
    <t>김현수</t>
  </si>
  <si>
    <t>2020-04-01</t>
  </si>
  <si>
    <t>BSS-029</t>
  </si>
  <si>
    <t>콜셍홍</t>
  </si>
  <si>
    <t>2021-05-08</t>
  </si>
  <si>
    <t>BSS-030</t>
  </si>
  <si>
    <t>안성진</t>
  </si>
  <si>
    <t>2021-06-15</t>
  </si>
  <si>
    <t>BSS-031</t>
  </si>
  <si>
    <t>이정일</t>
  </si>
  <si>
    <t>2021-07-22</t>
  </si>
  <si>
    <t>BSS-032</t>
  </si>
  <si>
    <t>안재성</t>
  </si>
  <si>
    <t>사원</t>
  </si>
  <si>
    <t>2021-08-01</t>
  </si>
  <si>
    <t>BSS-033</t>
  </si>
  <si>
    <t>유태석</t>
  </si>
  <si>
    <t>2022-09-08</t>
  </si>
  <si>
    <t>BSS-034</t>
  </si>
  <si>
    <t>엄보근</t>
  </si>
  <si>
    <t>2022-10-15</t>
  </si>
  <si>
    <t>■ 자동 통계 (역할등급별/직군별/부서별)</t>
  </si>
  <si>
    <t>인원</t>
  </si>
  <si>
    <t>HR 의사결정 컨피그 (가중치·인상률·페이밴드)</t>
  </si>
  <si>
    <t>이 시트에서 가중치·인상률·페이밴드를 정의. 모든 산출 시트가 자동 참조합니다.</t>
  </si>
  <si>
    <t>■ ① 평가 방식·반기 가중치</t>
  </si>
  <si>
    <t>평가 척도</t>
  </si>
  <si>
    <t>5점</t>
  </si>
  <si>
    <t>5점 또는 100점 (전 시트 일괄 적용)</t>
  </si>
  <si>
    <t>평가 방식</t>
  </si>
  <si>
    <t>절대평가</t>
  </si>
  <si>
    <t>절대평가: 점수→등급 환산 / 상대평가: 분포 강제</t>
  </si>
  <si>
    <t>상반기 가중치</t>
  </si>
  <si>
    <t>평가차수별 가중치</t>
  </si>
  <si>
    <t>하반기 가중치</t>
  </si>
  <si>
    <t>자동 계산</t>
  </si>
  <si>
    <t>강제분포 비중</t>
  </si>
  <si>
    <t>■ ② 직급별 3축 평가 가중치 (역할 + 공통역량 + 직무역량 = 100%) ★ G5-M/G5-S 분리</t>
  </si>
  <si>
    <t>역할평가 W</t>
  </si>
  <si>
    <t>공통역량 W</t>
  </si>
  <si>
    <t>직무역량 W</t>
  </si>
  <si>
    <t>합계</t>
  </si>
  <si>
    <t>검증</t>
  </si>
  <si>
    <t>설계 의도</t>
  </si>
  <si>
    <t>경영성과 책임·전사 의사결정 중심</t>
  </si>
  <si>
    <t>조직 관리·부서장 성과 책임</t>
  </si>
  <si>
    <t>실무 스페셜리스트·전문성 강조</t>
  </si>
  <si>
    <t>실무 책임자, 직무역량 강조</t>
  </si>
  <si>
    <t>핵심 실무자, 직무 깊이 가중</t>
  </si>
  <si>
    <t>실무자, 역량 개발 집중</t>
  </si>
  <si>
    <t>신입·실무 보조, 기본기 학습</t>
  </si>
  <si>
    <t>■ ③ 평가 등급별 인상률·성과급률</t>
  </si>
  <si>
    <t>구분</t>
  </si>
  <si>
    <t>기본연봉 인상률</t>
  </si>
  <si>
    <t>09_보상연계에 자동 반영</t>
  </si>
  <si>
    <t>성과급 지급률</t>
  </si>
  <si>
    <t>10_성과급관리에 자동 반영</t>
  </si>
  <si>
    <t>승진 가산률</t>
  </si>
  <si>
    <t>승진(역할등급 상승) 시 기본연봉 인상률에 가산</t>
  </si>
  <si>
    <t>Y/N 선택 시 자동 적용</t>
  </si>
  <si>
    <t>■ ④ 페이밴드 (역할등급별 기본연봉 범위)</t>
  </si>
  <si>
    <t>최소(Min)</t>
  </si>
  <si>
    <t>중위(Mid)</t>
  </si>
  <si>
    <t>최대(Max)</t>
  </si>
  <si>
    <t>Range Spread</t>
  </si>
  <si>
    <t>■ ⑤ 공통역량별 가중치 (11개 역량)</t>
  </si>
  <si>
    <t>역량군</t>
  </si>
  <si>
    <t>핵심 역량</t>
  </si>
  <si>
    <t>가중치</t>
  </si>
  <si>
    <t>역량 설명</t>
  </si>
  <si>
    <t>C-1</t>
  </si>
  <si>
    <t>업무역량</t>
  </si>
  <si>
    <t>직무 전문성</t>
  </si>
  <si>
    <t>직무에 필요한 전문 지식 및 기술을 충분히 보유하고 실무에 적절히 적용하는지 평가</t>
  </si>
  <si>
    <t>C-2</t>
  </si>
  <si>
    <t>분석력</t>
  </si>
  <si>
    <t>데이터·수치를 기반으로 사고하며 업무 효율을 높이는 능력</t>
  </si>
  <si>
    <t>C-3</t>
  </si>
  <si>
    <t>기획/실행력</t>
  </si>
  <si>
    <t>실행 가능한 목표 설정·계획 수립·체계적 실행 능력</t>
  </si>
  <si>
    <t>C-4</t>
  </si>
  <si>
    <t>조직역량</t>
  </si>
  <si>
    <t>자원·시간 관리</t>
  </si>
  <si>
    <t>업무 우선순위 설정 및 시간 내 효과적 업무 완수 능력</t>
  </si>
  <si>
    <t>C-5</t>
  </si>
  <si>
    <t>협업 능력</t>
  </si>
  <si>
    <t>팀원·타 부서와의 협업 태도와 적극적 협력</t>
  </si>
  <si>
    <t>C-6</t>
  </si>
  <si>
    <t>소통 능력</t>
  </si>
  <si>
    <t>명확한 의견 전달·경청·효과적 커뮤니케이션</t>
  </si>
  <si>
    <t>C-7</t>
  </si>
  <si>
    <t>인성역량</t>
  </si>
  <si>
    <t>윤리/책임감</t>
  </si>
  <si>
    <t>공정·투명한 업무 처리와 책임감 있는 업무 수행</t>
  </si>
  <si>
    <t>C-8</t>
  </si>
  <si>
    <t>업무 태도</t>
  </si>
  <si>
    <t>성실·주도적 태도, 변화에 대한 유연성</t>
  </si>
  <si>
    <t>C-9</t>
  </si>
  <si>
    <t>미래역량</t>
  </si>
  <si>
    <t>혁신 역량</t>
  </si>
  <si>
    <t>AI·자동화 등 최신 기술을 실무에 접목</t>
  </si>
  <si>
    <t>C-10</t>
  </si>
  <si>
    <t>프로세스 개선</t>
  </si>
  <si>
    <t>업무 절차 분석 및 비효율 개선 아이디어 제시·실행</t>
  </si>
  <si>
    <t>C-11</t>
  </si>
  <si>
    <t>지속가능 기여</t>
  </si>
  <si>
    <t>장기적 성과 향상·조직 기여도</t>
  </si>
  <si>
    <t>■ ⑥ 1차/2차 평가자 가중치</t>
  </si>
  <si>
    <t>1차 평가자 (직속상사)</t>
  </si>
  <si>
    <t>직속상사 평가 가중치. 평가지·통합시트에서 자동 적용. 기본 50%, 조직 상황에 맞게 조정.</t>
  </si>
  <si>
    <t>2차 평가자 (조정자)</t>
  </si>
  <si>
    <t>자동 계산 (1 - 1차 가중치). 조정자(부서장·임원) 가중치.</t>
  </si>
  <si>
    <t>전사 업적 평가 (전사 KPI)</t>
  </si>
  <si>
    <t>전사 KPI 달성도 → 성과급 가산 계수로 활용 (10_성과급관리에서 자동 참조)</t>
  </si>
  <si>
    <t>KPI</t>
  </si>
  <si>
    <t>측정방법</t>
  </si>
  <si>
    <t>목표</t>
  </si>
  <si>
    <t>S 기준</t>
  </si>
  <si>
    <t>A 기준</t>
  </si>
  <si>
    <t>B 기준</t>
  </si>
  <si>
    <t>C 기준</t>
  </si>
  <si>
    <t>D 기준</t>
  </si>
  <si>
    <t>실적</t>
  </si>
  <si>
    <t>영업이익률</t>
  </si>
  <si>
    <t>영업이익 ÷ 매출액 × 100</t>
  </si>
  <si>
    <t>매출 성장률</t>
  </si>
  <si>
    <t>(금년-전년)/전년 × 100</t>
  </si>
  <si>
    <t>프로젝트 납기·품질 준수율</t>
  </si>
  <si>
    <t>납기·품질 충족 ÷ 총 프로젝트 × 100</t>
  </si>
  <si>
    <t>■ 전사 KPI 종합</t>
  </si>
  <si>
    <t>전사 종합 등급</t>
  </si>
  <si>
    <t>실적 입력 후 자동 산출. 10_성과급관리의 KPI 가산계수로 활용.</t>
  </si>
  <si>
    <t>역할평가 (자동 산출)</t>
  </si>
  <si>
    <t>07a/07b의 1·2차 평가자 종합 등급 → 02_의사결정의 평가자 가중치 적용 → 확정 등급</t>
  </si>
  <si>
    <t>■ 상반기 역할평가</t>
  </si>
  <si>
    <t>역할(1차)</t>
  </si>
  <si>
    <t>역할(2차)</t>
  </si>
  <si>
    <t>가중평균(점수)</t>
  </si>
  <si>
    <t>확정등급</t>
  </si>
  <si>
    <t>■ 하반기 역할평가</t>
  </si>
  <si>
    <t>공통역량평가 (자동 산출)</t>
  </si>
  <si>
    <t>07a/07b의 1·2차 평가자 공통역량 종합 등급 → 평가자 가중치 적용 → 확정 등급</t>
  </si>
  <si>
    <t>■ 상반기 공통역량평가</t>
  </si>
  <si>
    <t>공통(1차)</t>
  </si>
  <si>
    <t>공통(2차)</t>
  </si>
  <si>
    <t>■ 하반기 공통역량평가</t>
  </si>
  <si>
    <t>직무역량평가 (자동 산출)</t>
  </si>
  <si>
    <t>07a/07b의 1·2차 평가자 직무역량 종합 등급 → 평가자 가중치 적용 → 확정 등급</t>
  </si>
  <si>
    <t>■ 상반기 직무역량평가</t>
  </si>
  <si>
    <t>메인 책무 수</t>
  </si>
  <si>
    <t>직무(1차)</t>
  </si>
  <si>
    <t>직무(2차)</t>
  </si>
  <si>
    <t>■ 하반기 직무역량평가</t>
  </si>
  <si>
    <t>상반기 평가 결과 입력</t>
  </si>
  <si>
    <t>평가지에서 각 직원별 [복사용 입력 행]을 통째로 복사 → 해당 사번 행 G열부터 [값 붙여넣기]. 1차·2차 평가자별 종합 등급을 받고, 02_의사결정의 평가자 가중치를 자동 적용해 04~06 시트에서 확정 등급 산출.</t>
  </si>
  <si>
    <t>인적정보</t>
  </si>
  <si>
    <t>역할평가</t>
  </si>
  <si>
    <t>공통역량</t>
  </si>
  <si>
    <t>직무역량</t>
  </si>
  <si>
    <t>소견</t>
  </si>
  <si>
    <t>종합 소견</t>
  </si>
  <si>
    <t>하반기 평가 결과 입력</t>
  </si>
  <si>
    <t>종합 성과평가 - 3축 통합 (역할 + 공통 + 직무) + 최종등급</t>
  </si>
  <si>
    <t>직급별 가변 가중치 적용 → 종합점수 → 절대/상대평가 최종등급 자동 산출</t>
  </si>
  <si>
    <t>역할(상)</t>
  </si>
  <si>
    <t>역할(하)</t>
  </si>
  <si>
    <t>역할점수</t>
  </si>
  <si>
    <t>공통(상)</t>
  </si>
  <si>
    <t>공통(하)</t>
  </si>
  <si>
    <t>공통점수</t>
  </si>
  <si>
    <t>직무(상)</t>
  </si>
  <si>
    <t>직무(하)</t>
  </si>
  <si>
    <t>직무점수</t>
  </si>
  <si>
    <t>가중(역할)</t>
  </si>
  <si>
    <t>가중(공통)</t>
  </si>
  <si>
    <t>가중(직무)</t>
  </si>
  <si>
    <t>종합점수</t>
  </si>
  <si>
    <t>절대등급</t>
  </si>
  <si>
    <t>최종등급</t>
  </si>
  <si>
    <t>종합 코멘트</t>
  </si>
  <si>
    <t>성과평가 → 보상 연계 (기본연봉 인상)</t>
  </si>
  <si>
    <t>08 종합평가의 최종등급 → 인상률 → 차년도 기본연봉 자동 산출. 페이밴드 검증 포함.</t>
  </si>
  <si>
    <t>현재 연봉</t>
  </si>
  <si>
    <t>평가인상률</t>
  </si>
  <si>
    <t>승진여부</t>
  </si>
  <si>
    <t>승진인상률</t>
  </si>
  <si>
    <t>총인상률</t>
  </si>
  <si>
    <t>페이밴드 Min</t>
  </si>
  <si>
    <t>페이밴드 Max</t>
  </si>
  <si>
    <t>신규연봉(안)</t>
  </si>
  <si>
    <t>연봉확정</t>
  </si>
  <si>
    <t>인상액</t>
  </si>
  <si>
    <t>N</t>
  </si>
  <si>
    <t>성과급(인센티브) 관리 — 등급별 자동 산출</t>
  </si>
  <si>
    <t>08 종합평가의 최종등급에 따라 자동 산정. 전사 KPI 달성률로 재원 가산.</t>
  </si>
  <si>
    <t>■ 전사 KPI 달성률 → 성과급 재원 가산 계수</t>
  </si>
  <si>
    <t>전사 KPI 종합등급</t>
  </si>
  <si>
    <t>KPI 가산 계수</t>
  </si>
  <si>
    <t>수동 조정</t>
  </si>
  <si>
    <t>S/A 등급 시 가산, C/D 등급 시 감산. 수동 조정란에 직접 입력해 덮어쓰기 가능.</t>
  </si>
  <si>
    <t>■ 개인별 성과급 산출</t>
  </si>
  <si>
    <t>연봉(현재)</t>
  </si>
  <si>
    <t>월급여</t>
  </si>
  <si>
    <t>기본 성과급률</t>
  </si>
  <si>
    <t>기본 성과급(원)</t>
  </si>
  <si>
    <t>가산계수</t>
  </si>
  <si>
    <t>최종 성과급</t>
  </si>
  <si>
    <t>총 성과급 재원</t>
  </si>
  <si>
    <t>페이밴드 적합성 검증</t>
  </si>
  <si>
    <t>현재·인상 후 연봉의 페이밴드 위치를 자동 검증. 이탈자는 자동 식별.</t>
  </si>
  <si>
    <t>■ 등급별 페이밴드 (02 자동 참조)</t>
  </si>
  <si>
    <t>최소</t>
  </si>
  <si>
    <t>중위</t>
  </si>
  <si>
    <t>최대</t>
  </si>
  <si>
    <t>해당 인원</t>
  </si>
  <si>
    <t>범위 내</t>
  </si>
  <si>
    <t>이탈</t>
  </si>
  <si>
    <t>■ 페이밴드 이탈자 명단 (자동 식별)</t>
  </si>
  <si>
    <t>확정 연봉</t>
  </si>
  <si>
    <t>Min</t>
  </si>
  <si>
    <t>Max</t>
  </si>
  <si>
    <t>이탈 방향</t>
  </si>
  <si>
    <t>조정 권고</t>
  </si>
  <si>
    <t>End-to-End 시뮬레이션 대시보드</t>
  </si>
  <si>
    <t>07a/07b에 등급 입력 시 모든 시트가 갱신되어 여기에 종합 요약. 변경 시뮬레이션 확인용.</t>
  </si>
  <si>
    <t>▶ 종합 요약</t>
  </si>
  <si>
    <t>총 인원</t>
  </si>
  <si>
    <t>연봉 총액(현재)</t>
  </si>
  <si>
    <t>연봉 총액(인상후)</t>
  </si>
  <si>
    <t>총 인상액</t>
  </si>
  <si>
    <t>인상률 (평균)</t>
  </si>
  <si>
    <t>성과급 재원</t>
  </si>
  <si>
    <t>페이밴드 이탈자</t>
  </si>
  <si>
    <t>▶ 평가 등급 분포 (전사)</t>
  </si>
  <si>
    <t>비율</t>
  </si>
  <si>
    <t>▶ 부서별 평균 인상률</t>
  </si>
  <si>
    <t>평균 인상률</t>
  </si>
  <si>
    <t>직무·역할등급 정의 데이터베이스</t>
  </si>
  <si>
    <t>직무 × 역할등급(G1~G6) 마스터. 모든 시트가 조회키(직무_등급)로 VLOOKUP 참조</t>
  </si>
  <si>
    <t>조회키</t>
  </si>
  <si>
    <t>역할명</t>
  </si>
  <si>
    <t>역할 정의</t>
  </si>
  <si>
    <t>책임범위</t>
  </si>
  <si>
    <t>권한 수준</t>
  </si>
  <si>
    <t>표준연한</t>
  </si>
  <si>
    <t>경영전략기획_G6</t>
  </si>
  <si>
    <t>사업·조직 관리</t>
  </si>
  <si>
    <t>회사의 비전과 중장기 전략을 총괄하며, 경영·인사·재무·마케팅 등 핵심 기능을 통합 관리하고, 전사 의사결정·대외 협력·리스크 관리를 주도</t>
  </si>
  <si>
    <t>전사 KPI 달성, 손익 책임</t>
  </si>
  <si>
    <t>전사 의사결정, 예산 편성, 인력 승인</t>
  </si>
  <si>
    <t>5년 이상</t>
  </si>
  <si>
    <t>경영전략기획_G5-M</t>
  </si>
  <si>
    <t>직무 관리(부서장)</t>
  </si>
  <si>
    <t>부서 전략 및 목표를 수립하고, 자원 배분·예산 관리·성과 관리를 통해 조직 성과 달성을 책임지고, 부서 내 의사결정을 주도</t>
  </si>
  <si>
    <t>부서 KPI 달성 책임</t>
  </si>
  <si>
    <t>부서 의사결정, 예산 배분, 채용/승진 제안</t>
  </si>
  <si>
    <t>4년 이상</t>
  </si>
  <si>
    <t>경영전략기획_G5-S</t>
  </si>
  <si>
    <t>실무 스페셜리스트</t>
  </si>
  <si>
    <t>직무 최고 수준의 전문성과 현장 경험을 기반으로, 복잡하고 고난이도의 프로젝트를 성공적으로 수행하며 내부 기술 자산화·전파를 주도</t>
  </si>
  <si>
    <t>핵심 기술/과제 성과 책임</t>
  </si>
  <si>
    <t>전문 영역 의사결정</t>
  </si>
  <si>
    <t>경영전략기획_G4</t>
  </si>
  <si>
    <t>실무 책임(PM)</t>
  </si>
  <si>
    <t>단위 프로젝트의 전략 수립·추진을 주도하며, 예산·일정·품질 등 목표 달성을 책임지고 성과를 보고</t>
  </si>
  <si>
    <t>프로젝트 성과 책임</t>
  </si>
  <si>
    <t>프로젝트 의사결정, 예산 집행</t>
  </si>
  <si>
    <t>3년 이상</t>
  </si>
  <si>
    <t>경영전략기획_G3</t>
  </si>
  <si>
    <t>핵심 실무</t>
  </si>
  <si>
    <t>전문 지식과 기술을 활용해 프로젝트 핵심 과업을 기획·수행하며, 산출물 품질과 일정 준수를 책임지는 중추적 역할</t>
  </si>
  <si>
    <t>모듈/과업 성과</t>
  </si>
  <si>
    <t>모듈 범위 자율</t>
  </si>
  <si>
    <t>경영전략기획_G2</t>
  </si>
  <si>
    <t>실무</t>
  </si>
  <si>
    <t>프로젝트 계획에 따라 독립적·자율적으로 세부 과업을 계획·수행하며, 완성도 있는 산출물을 도출</t>
  </si>
  <si>
    <t>개별 과업 성과</t>
  </si>
  <si>
    <t>과업 범위 자율</t>
  </si>
  <si>
    <t>2년 이상</t>
  </si>
  <si>
    <t>경영전략기획_G1</t>
  </si>
  <si>
    <t>실무 보조</t>
  </si>
  <si>
    <t>실무에 대한 이해와 과업 수행에 필요한 기술·지식을 습득하며, 프로젝트 진행 과정에서 기본적인 과업을 보조</t>
  </si>
  <si>
    <t>학습/보조 수행도</t>
  </si>
  <si>
    <t>제한적 권한</t>
  </si>
  <si>
    <t>1년 이상</t>
  </si>
  <si>
    <t>프로젝트영업_G6</t>
  </si>
  <si>
    <t>프로젝트영업_G5-M</t>
  </si>
  <si>
    <t>프로젝트영업_G5-S</t>
  </si>
  <si>
    <t>프로젝트영업_G4</t>
  </si>
  <si>
    <t>프로젝트영업_G3</t>
  </si>
  <si>
    <t>프로젝트영업_G2</t>
  </si>
  <si>
    <t>프로젝트영업_G1</t>
  </si>
  <si>
    <t>SW판매영업_G6</t>
  </si>
  <si>
    <t>SW판매영업</t>
  </si>
  <si>
    <t>SW판매영업_G5-M</t>
  </si>
  <si>
    <t>SW판매영업_G5-S</t>
  </si>
  <si>
    <t>SW판매영업_G4</t>
  </si>
  <si>
    <t>SW판매영업_G3</t>
  </si>
  <si>
    <t>SW판매영업_G2</t>
  </si>
  <si>
    <t>SW판매영업_G1</t>
  </si>
  <si>
    <t>BIM컨설팅_G6</t>
  </si>
  <si>
    <t>BIM컨설팅_G5-M</t>
  </si>
  <si>
    <t>BIM컨설팅_G5-S</t>
  </si>
  <si>
    <t>BIM컨설팅_G4</t>
  </si>
  <si>
    <t>BIM컨설팅_G3</t>
  </si>
  <si>
    <t>BIM컨설팅_G2</t>
  </si>
  <si>
    <t>BIM컨설팅_G1</t>
  </si>
  <si>
    <t>교육_G6</t>
  </si>
  <si>
    <t>교육_G5-M</t>
  </si>
  <si>
    <t>교육_G5-S</t>
  </si>
  <si>
    <t>교육_G4</t>
  </si>
  <si>
    <t>교육_G3</t>
  </si>
  <si>
    <t>교육_G2</t>
  </si>
  <si>
    <t>교육_G1</t>
  </si>
  <si>
    <t>기술지원_G6</t>
  </si>
  <si>
    <t>기술지원_G5-M</t>
  </si>
  <si>
    <t>기술지원_G5-S</t>
  </si>
  <si>
    <t>기술지원_G4</t>
  </si>
  <si>
    <t>기술지원_G3</t>
  </si>
  <si>
    <t>기술지원_G2</t>
  </si>
  <si>
    <t>기술지원_G1</t>
  </si>
  <si>
    <t>연구개발(R&amp;D)_G6</t>
  </si>
  <si>
    <t>연구개발(R&amp;D)_G5-M</t>
  </si>
  <si>
    <t>연구개발(R&amp;D)_G5-S</t>
  </si>
  <si>
    <t>연구개발(R&amp;D)_G4</t>
  </si>
  <si>
    <t>연구개발(R&amp;D)_G3</t>
  </si>
  <si>
    <t>연구개발(R&amp;D)_G2</t>
  </si>
  <si>
    <t>연구개발(R&amp;D)_G1</t>
  </si>
  <si>
    <t>직무별 책무·과업 상세 DB (직무 프로파일)</t>
  </si>
  <si>
    <t>각 직무의 전체 책무 카탈로그. 15_직원별책무매핑에서 개인별로 메인 책무를 선택해 평가.</t>
  </si>
  <si>
    <t>전문영역</t>
  </si>
  <si>
    <t>핵심 책무</t>
  </si>
  <si>
    <t>핵심 과업 (평가기준)</t>
  </si>
  <si>
    <t>필요 스킬</t>
  </si>
  <si>
    <t>조회키(직무_책무)</t>
  </si>
  <si>
    <t>경영기획</t>
  </si>
  <si>
    <t>중장기 경영전략 수립</t>
  </si>
  <si>
    <t>내외부 경영환경 분석·중장기 전략방향 설정, PEST·SWOT 분석</t>
  </si>
  <si>
    <t>전략적 사고력, 데이터 분석력, 기획력</t>
  </si>
  <si>
    <t>경영전략기획_중장기 경영전략 수립</t>
  </si>
  <si>
    <t>조직 목표 및 KPI 관리</t>
  </si>
  <si>
    <t>연간 사업계획·KPI 체계 수립, 성과지표 정의서 작성·관리</t>
  </si>
  <si>
    <t>성과관리, 문제해결, 데이터 시각화</t>
  </si>
  <si>
    <t>경영전략기획_조직 목표 및 KPI 관리</t>
  </si>
  <si>
    <t>경영계획 및 예산수립</t>
  </si>
  <si>
    <t>연간사업계획·예산 조정관리, 예산편성·전사 예산안</t>
  </si>
  <si>
    <t>재무·회계 지식, 엑셀 활용</t>
  </si>
  <si>
    <t>경영전략기획_경영계획 및 예산수립</t>
  </si>
  <si>
    <t>경영평가 및 모니터링</t>
  </si>
  <si>
    <t>경영실적 점검·성과지표 운영, 부서별 실적측정·편차분석</t>
  </si>
  <si>
    <t>분석력, 통계해석, 리포팅</t>
  </si>
  <si>
    <t>경영전략기획_경영평가 및 모니터링</t>
  </si>
  <si>
    <t>신규 사업 기획 및 타당성 검토</t>
  </si>
  <si>
    <t>신사업 발굴·시장조사, 사업성·타당성 검토</t>
  </si>
  <si>
    <t>시장조사, 재무분석, PM</t>
  </si>
  <si>
    <t>경영전략기획_신규 사업 기획 및 타당성 검토</t>
  </si>
  <si>
    <t>리스크 성과분석</t>
  </si>
  <si>
    <t>경영리스크 파악·대응계획 수립, KRI 관리</t>
  </si>
  <si>
    <t>리스크관리, 협상력, 문서작성</t>
  </si>
  <si>
    <t>경영전략기획_리스크 성과분석</t>
  </si>
  <si>
    <t>인사총무</t>
  </si>
  <si>
    <t>인사관리 및 인력운영</t>
  </si>
  <si>
    <t>입·퇴사 인사프로세스, 근태·휴가·인사기록</t>
  </si>
  <si>
    <t>HRM 시스템, 문서작성, 개인정보 관리</t>
  </si>
  <si>
    <t>경영전략기획_인사관리 및 인력운영</t>
  </si>
  <si>
    <t>급여 및 복리후생</t>
  </si>
  <si>
    <t>급여·상여·성과급 정산, 4대보험·연말정산, 복리후생 운영</t>
  </si>
  <si>
    <t>급여정산, 세무·보험 이해</t>
  </si>
  <si>
    <t>경영전략기획_급여 및 복리후생</t>
  </si>
  <si>
    <t>총무 및 자산관리</t>
  </si>
  <si>
    <t>사무실 운영·비품·시설·차량, 보안·출입통제</t>
  </si>
  <si>
    <t>행정처리, 회계 이해, 문서관리</t>
  </si>
  <si>
    <t>경영전략기획_총무 및 자산관리</t>
  </si>
  <si>
    <t>노무 및 법규</t>
  </si>
  <si>
    <t>근로계약서·취업규칙·인사제도, 노동법 준수 모니터링</t>
  </si>
  <si>
    <t>근로기준법, 노무 실무</t>
  </si>
  <si>
    <t>경영전략기획_노무 및 법규</t>
  </si>
  <si>
    <t>조직문화 및 사내행사</t>
  </si>
  <si>
    <t>사내 행사 기획·진행, 내부 커뮤니케이션, 온보딩</t>
  </si>
  <si>
    <t>행사기획·운영, 대인 커뮤니케이션</t>
  </si>
  <si>
    <t>경영전략기획_조직문화 및 사내행사</t>
  </si>
  <si>
    <t>재무회계</t>
  </si>
  <si>
    <t>재무 전략 및 자금 관리</t>
  </si>
  <si>
    <t>자금 조달·운영, 재무 리스크 관리, 투자 검토</t>
  </si>
  <si>
    <t>재무지식, 분석력</t>
  </si>
  <si>
    <t>경영전략기획_재무 전략 및 자금 관리</t>
  </si>
  <si>
    <t>회계 관리 및 결산</t>
  </si>
  <si>
    <t>결산·재무제표 작성, 회계 감사 대응, 세무 관리</t>
  </si>
  <si>
    <t>회계 지식, 꼼꼼함</t>
  </si>
  <si>
    <t>경영전략기획_회계 관리 및 결산</t>
  </si>
  <si>
    <t>결산 및 세무</t>
  </si>
  <si>
    <t>월/분기/연 결산·재무제표 작성, 외부감사·세무조정</t>
  </si>
  <si>
    <t>재무회계, 세법, ERP 활용</t>
  </si>
  <si>
    <t>경영전략기획_결산 및 세무</t>
  </si>
  <si>
    <t>프로젝트 손익 및 원가관리</t>
  </si>
  <si>
    <t>매출 관리, 원가 분석, 손익 보고</t>
  </si>
  <si>
    <t>원가회계, ERP 활용</t>
  </si>
  <si>
    <t>경영전략기획_프로젝트 손익 및 원가관리</t>
  </si>
  <si>
    <t>자금 및 경영지원</t>
  </si>
  <si>
    <t>일일/월간 자금계획·집행, 자금현황 보고</t>
  </si>
  <si>
    <t>재무관리, 재무분석</t>
  </si>
  <si>
    <t>경영전략기획_자금 및 경영지원</t>
  </si>
  <si>
    <t>마케팅</t>
  </si>
  <si>
    <t>마케팅 전략 수립</t>
  </si>
  <si>
    <t>시장조사·고객분석, 포지셔닝 전략, 마케팅 캠페인 기획</t>
  </si>
  <si>
    <t>시장 분석력, 기획력</t>
  </si>
  <si>
    <t>경영전략기획_마케팅 전략 수립</t>
  </si>
  <si>
    <t>브랜드 마케팅</t>
  </si>
  <si>
    <t>홈페이지·SNS·유튜브 운영, 세미나·전시회 기획</t>
  </si>
  <si>
    <t>커뮤니케이션, 브랜드 감각</t>
  </si>
  <si>
    <t>경영전략기획_브랜드 마케팅</t>
  </si>
  <si>
    <t>컨텐츠 마케팅</t>
  </si>
  <si>
    <t>뉴스레터·영상 콘텐츠 기획·제작, 온라인 성과분석</t>
  </si>
  <si>
    <t>디지털 리터러시, 콘텐츠 제작</t>
  </si>
  <si>
    <t>경영전략기획_컨텐츠 마케팅</t>
  </si>
  <si>
    <t>계획모델링</t>
  </si>
  <si>
    <t>BIM 기반 설계 계획수립</t>
  </si>
  <si>
    <t>발주처 요구사항 분석·BIM 모델링 표준 적용</t>
  </si>
  <si>
    <t>BIM 표준, 설계 이해</t>
  </si>
  <si>
    <t>BIM컨설팅_BIM 기반 설계 계획수립</t>
  </si>
  <si>
    <t>설계 모델링 수행</t>
  </si>
  <si>
    <t>Revit·ArchiCAD로 건축·구조·MEP 모델링</t>
  </si>
  <si>
    <t>BIM 소프트웨어 활용</t>
  </si>
  <si>
    <t>BIM컨설팅_설계 모델링 수행</t>
  </si>
  <si>
    <t>품질 검토 및 협업</t>
  </si>
  <si>
    <t>모델 정합성 점검·간섭 검토(Clash Detection)</t>
  </si>
  <si>
    <t>품질관리, 협업</t>
  </si>
  <si>
    <t>BIM컨설팅_품질 검토 및 협업</t>
  </si>
  <si>
    <t>드론응용모델링</t>
  </si>
  <si>
    <t>드론 측량 및 데이터 수집</t>
  </si>
  <si>
    <t>드론 비행계획·현장 측량 데이터 수집</t>
  </si>
  <si>
    <t>드론 조종, 측량 지식</t>
  </si>
  <si>
    <t>BIM컨설팅_드론 측량 및 데이터 수집</t>
  </si>
  <si>
    <t>3D 메쉬·포인트클라우드 생성</t>
  </si>
  <si>
    <t>드론 데이터 처리·3D 모델 변환</t>
  </si>
  <si>
    <t>포토그래메트리, 데이터 처리</t>
  </si>
  <si>
    <t>BIM컨설팅_3D 메쉬·포인트클라우드 생성</t>
  </si>
  <si>
    <t>구조모델링</t>
  </si>
  <si>
    <t>구조 BIM 모델링</t>
  </si>
  <si>
    <t>구조 부재 모델링·강도 검토 연계</t>
  </si>
  <si>
    <t>구조 이해, BIM 활용</t>
  </si>
  <si>
    <t>BIM컨설팅_구조 BIM 모델링</t>
  </si>
  <si>
    <t>상하수도모델링</t>
  </si>
  <si>
    <t>상하수도 BIM 모델링</t>
  </si>
  <si>
    <t>관로·시설 BIM 구축·기존 인프라 연계</t>
  </si>
  <si>
    <t>상하수도 설계 이해</t>
  </si>
  <si>
    <t>BIM컨설팅_상하수도 BIM 모델링</t>
  </si>
  <si>
    <t>컨설팅</t>
  </si>
  <si>
    <t>클라이언트 요구분석</t>
  </si>
  <si>
    <t>발주처 미팅·요구사항 정리·범위 정의</t>
  </si>
  <si>
    <t>커뮤니케이션, 요건분석</t>
  </si>
  <si>
    <t>BIM컨설팅_클라이언트 요구분석</t>
  </si>
  <si>
    <t>BIM 도입 컨설팅</t>
  </si>
  <si>
    <t>BIM 로드맵 수립·교육·운영 가이드</t>
  </si>
  <si>
    <t>BIM 전략, 컨설팅 스킬</t>
  </si>
  <si>
    <t>BIM컨설팅_BIM 도입 컨설팅</t>
  </si>
  <si>
    <t>보고서 작성 및 발표</t>
  </si>
  <si>
    <t>컨설팅 결과 보고서·프레젠테이션</t>
  </si>
  <si>
    <t>문서작성, 발표력</t>
  </si>
  <si>
    <t>BIM컨설팅_보고서 작성 및 발표</t>
  </si>
  <si>
    <t>프로젝트관리</t>
  </si>
  <si>
    <t>일정 및 자원 관리</t>
  </si>
  <si>
    <t>WBS 수립·일정 관리·인력 자원 배분</t>
  </si>
  <si>
    <t>PM 기법, 일정관리</t>
  </si>
  <si>
    <t>BIM컨설팅_일정 및 자원 관리</t>
  </si>
  <si>
    <t>품질 관리</t>
  </si>
  <si>
    <t>산출물 품질 기준 정의·검수 프로세스</t>
  </si>
  <si>
    <t>품질관리 도구</t>
  </si>
  <si>
    <t>BIM컨설팅_품질 관리</t>
  </si>
  <si>
    <t>리스크 관리</t>
  </si>
  <si>
    <t>프로젝트 리스크 식별·대응계획</t>
  </si>
  <si>
    <t>리스크 분석</t>
  </si>
  <si>
    <t>BIM컨설팅_리스크 관리</t>
  </si>
  <si>
    <t>기술개발</t>
  </si>
  <si>
    <t>BIM 라이브러리 구축</t>
  </si>
  <si>
    <t>재사용 가능한 BIM 컴포넌트 라이브러리</t>
  </si>
  <si>
    <t>BIM 라이브러리 관리</t>
  </si>
  <si>
    <t>BIM컨설팅_BIM 라이브러리 구축</t>
  </si>
  <si>
    <t>내부 가이드라인 작성</t>
  </si>
  <si>
    <t>BIM 작업 표준·매뉴얼 작성</t>
  </si>
  <si>
    <t>문서화, 표준화</t>
  </si>
  <si>
    <t>BIM컨설팅_내부 가이드라인 작성</t>
  </si>
  <si>
    <t>영업기획</t>
  </si>
  <si>
    <t>시장조사 및 고객 발굴</t>
  </si>
  <si>
    <t>잠재고객·발주처 발굴·시장정보 수집</t>
  </si>
  <si>
    <t>시장조사, 고객발굴</t>
  </si>
  <si>
    <t>프로젝트영업_시장조사 및 고객 발굴</t>
  </si>
  <si>
    <t>제안 및 입찰 준비</t>
  </si>
  <si>
    <t>제안서 작성·입찰서류 준비·견적</t>
  </si>
  <si>
    <t>제안서 작성, 견적</t>
  </si>
  <si>
    <t>프로젝트영업_제안 및 입찰 준비</t>
  </si>
  <si>
    <t>계약 협상</t>
  </si>
  <si>
    <t>발주처와 계약 조건 협상·체결</t>
  </si>
  <si>
    <t>협상, 계약법 이해</t>
  </si>
  <si>
    <t>프로젝트영업_계약 협상</t>
  </si>
  <si>
    <t>고객관리</t>
  </si>
  <si>
    <t>기존 고객 관리</t>
  </si>
  <si>
    <t>주요 고객 정기 미팅·관계 유지</t>
  </si>
  <si>
    <t>고객관리, 커뮤니케이션</t>
  </si>
  <si>
    <t>프로젝트영업_기존 고객 관리</t>
  </si>
  <si>
    <t>신규 고객 개발</t>
  </si>
  <si>
    <t>네트워킹·세미나 참여·인맥 확장</t>
  </si>
  <si>
    <t>네트워킹, 영업</t>
  </si>
  <si>
    <t>프로젝트영업_신규 고객 개발</t>
  </si>
  <si>
    <t>프로젝트 영업</t>
  </si>
  <si>
    <t>프로젝트 발굴 및 수주</t>
  </si>
  <si>
    <t>공공·민간 프로젝트 발굴·수주 활동</t>
  </si>
  <si>
    <t>프로젝트 이해, 영업</t>
  </si>
  <si>
    <t>프로젝트영업_프로젝트 발굴 및 수주</t>
  </si>
  <si>
    <t>계약 후 사후관리</t>
  </si>
  <si>
    <t>CS·추가 수주·재계약</t>
  </si>
  <si>
    <t>고객 관리, 관계 유지</t>
  </si>
  <si>
    <t>프로젝트영업_계약 후 사후관리</t>
  </si>
  <si>
    <t>SW 영업</t>
  </si>
  <si>
    <t>SW 패키지 영업</t>
  </si>
  <si>
    <t>BIM·CAD SW 패키지 판매·시연</t>
  </si>
  <si>
    <t>SW 지식, 영업</t>
  </si>
  <si>
    <t>SW판매영업_SW 패키지 영업</t>
  </si>
  <si>
    <t>라이선스 관리·갱신</t>
  </si>
  <si>
    <t>라이선스 발급·갱신·관리</t>
  </si>
  <si>
    <t>라이선스 관리</t>
  </si>
  <si>
    <t>SW판매영업_라이선스 관리·갱신</t>
  </si>
  <si>
    <t>파트너십</t>
  </si>
  <si>
    <t>파트너사 관리</t>
  </si>
  <si>
    <t>벤더·총판·리셀러 네트워크 관리</t>
  </si>
  <si>
    <t>파트너 관리</t>
  </si>
  <si>
    <t>SW판매영업_파트너사 관리</t>
  </si>
  <si>
    <t>고객지원</t>
  </si>
  <si>
    <t>고객 기술 지원</t>
  </si>
  <si>
    <t>도입 컨설팅·초기 셋업 지원</t>
  </si>
  <si>
    <t>기술 이해, 고객 응대</t>
  </si>
  <si>
    <t>SW판매영업_고객 기술 지원</t>
  </si>
  <si>
    <t>교육 기획</t>
  </si>
  <si>
    <t>교육과정 기획</t>
  </si>
  <si>
    <t>연간 교육과정 설계·커리큘럼 수립</t>
  </si>
  <si>
    <t>교육 기획, 커리큘럼 설계</t>
  </si>
  <si>
    <t>교육_교육과정 기획</t>
  </si>
  <si>
    <t>교재 개발</t>
  </si>
  <si>
    <t>BIM·SW 실습 교재 작성·업데이트</t>
  </si>
  <si>
    <t>교재 개발, 문서화</t>
  </si>
  <si>
    <t>교육_교재 개발</t>
  </si>
  <si>
    <t>교육 운영</t>
  </si>
  <si>
    <t>교육 진행 및 강의</t>
  </si>
  <si>
    <t>오프라인·온라인 강의 진행</t>
  </si>
  <si>
    <t>강의 역량, 발표력</t>
  </si>
  <si>
    <t>교육_교육 진행 및 강의</t>
  </si>
  <si>
    <t>실습 지원</t>
  </si>
  <si>
    <t>실습 환경 구축·수강생 지원</t>
  </si>
  <si>
    <t>교육_실습 지원</t>
  </si>
  <si>
    <t>평가 및 피드백</t>
  </si>
  <si>
    <t>교육 평가·만족도 조사·개선</t>
  </si>
  <si>
    <t>평가 설계, 피드백</t>
  </si>
  <si>
    <t>교육_평가 및 피드백</t>
  </si>
  <si>
    <t>수료/인증</t>
  </si>
  <si>
    <t>수료 관리·인증 발급</t>
  </si>
  <si>
    <t>수강생 관리·수료증·인증 발급</t>
  </si>
  <si>
    <t>행정관리</t>
  </si>
  <si>
    <t>교육_수료 관리·인증 발급</t>
  </si>
  <si>
    <t>고객 문의 대응</t>
  </si>
  <si>
    <t>제품 사용·트러블슈팅 대응</t>
  </si>
  <si>
    <t>제품 지식, 커뮤니케이션</t>
  </si>
  <si>
    <t>기술지원_고객 문의 대응</t>
  </si>
  <si>
    <t>원격·현장 지원</t>
  </si>
  <si>
    <t>원격 접속·현장 방문 지원</t>
  </si>
  <si>
    <t>문제해결, 현장 대응</t>
  </si>
  <si>
    <t>기술지원_원격·현장 지원</t>
  </si>
  <si>
    <t>기술 문서 작성</t>
  </si>
  <si>
    <t>FAQ·매뉴얼·트러블슈팅 가이드 작성</t>
  </si>
  <si>
    <t>문서화</t>
  </si>
  <si>
    <t>기술지원_기술 문서 작성</t>
  </si>
  <si>
    <t>품질개선</t>
  </si>
  <si>
    <t>버그 리포트 및 피드백</t>
  </si>
  <si>
    <t>개발팀에 버그·개선요청 전달</t>
  </si>
  <si>
    <t>커뮤니케이션, 기록</t>
  </si>
  <si>
    <t>기술지원_버그 리포트 및 피드백</t>
  </si>
  <si>
    <t>품질 모니터링</t>
  </si>
  <si>
    <t>고객 사용 패턴·문제유형 모니터링</t>
  </si>
  <si>
    <t>데이터 분석</t>
  </si>
  <si>
    <t>기술지원_품질 모니터링</t>
  </si>
  <si>
    <t>건설SW개발</t>
  </si>
  <si>
    <t>요구사항 분석·설계</t>
  </si>
  <si>
    <t>고객 요구사항·기능 명세 설계</t>
  </si>
  <si>
    <t>요구분석, 시스템 설계</t>
  </si>
  <si>
    <t>연구개발(R&amp;D)_요구사항 분석·설계</t>
  </si>
  <si>
    <t>코딩 및 단위 테스트</t>
  </si>
  <si>
    <t>C#/Python/JavaScript 개발·테스트</t>
  </si>
  <si>
    <t>프로그래밍, 테스트</t>
  </si>
  <si>
    <t>연구개발(R&amp;D)_코딩 및 단위 테스트</t>
  </si>
  <si>
    <t>통합 및 배포</t>
  </si>
  <si>
    <t>빌드·배포·CI/CD 운영</t>
  </si>
  <si>
    <t>DevOps, 통합</t>
  </si>
  <si>
    <t>연구개발(R&amp;D)_통합 및 배포</t>
  </si>
  <si>
    <t>국책연구과제</t>
  </si>
  <si>
    <t>과제 기획·제안</t>
  </si>
  <si>
    <t>국토부·과기부 연구과제 발굴·제안서</t>
  </si>
  <si>
    <t>제안서 작성, R&amp;D 기획</t>
  </si>
  <si>
    <t>연구개발(R&amp;D)_과제 기획·제안</t>
  </si>
  <si>
    <t>연구 수행 및 보고</t>
  </si>
  <si>
    <t>연구 실행·중간보고·최종보고</t>
  </si>
  <si>
    <t>연구방법론, 보고서 작성</t>
  </si>
  <si>
    <t>연구개발(R&amp;D)_연구 수행 및 보고</t>
  </si>
  <si>
    <t>특허·논문</t>
  </si>
  <si>
    <t>특허 출원·학술논문 발표</t>
  </si>
  <si>
    <t>특허·논문 작성</t>
  </si>
  <si>
    <t>연구개발(R&amp;D)_특허·논문</t>
  </si>
  <si>
    <t>품질관리</t>
  </si>
  <si>
    <t>코드 리뷰·품질 표준</t>
  </si>
  <si>
    <t>코드 리뷰·정적 분석·품질 표준</t>
  </si>
  <si>
    <t>코드 품질</t>
  </si>
  <si>
    <t>연구개발(R&amp;D)_코드 리뷰·품질 표준</t>
  </si>
  <si>
    <t xml:space="preserve">★ 직원별 메인 책무 매핑 </t>
  </si>
  <si>
    <t>각 직무 책무 헤더(파란 셀)는 고정. 직원 행의 책무 칸에 O(메인 책무) 또는 X(아님)만 입력. 메인 책무 수는 자동 카운트.</t>
  </si>
  <si>
    <t>▶ 사용법: 직원별로 자신의 직무 섹션을 찾아 → 메인 책무 셀에 O, 비메인 셀에 X 입력 → E열(메인 책무 수)이 자동 갱신</t>
  </si>
  <si>
    <t>■ 직무: 경영전략기획  (책무 19개)  |  해당 직원 5명</t>
  </si>
  <si>
    <t>이일곤 (G6)</t>
  </si>
  <si>
    <t>X</t>
  </si>
  <si>
    <t>송헌영 (G6)</t>
  </si>
  <si>
    <t>이재용 (G6)</t>
  </si>
  <si>
    <t>하은주 (G5-M)</t>
  </si>
  <si>
    <t>박진희 (G1)</t>
  </si>
  <si>
    <t>■ 직무: 프로젝트영업  (책무 7개)  |  해당 직원 1명</t>
  </si>
  <si>
    <t>이화형 (G6)</t>
  </si>
  <si>
    <t>■ 직무: SW판매영업  (책무 4개)  |  해당 직원 0명</t>
  </si>
  <si>
    <t>■ 직무: BIM컨설팅  (책무 15개)  |  해당 직원 21명</t>
  </si>
  <si>
    <t>김현민 (G6)</t>
  </si>
  <si>
    <t>박남식 (G5-M)</t>
  </si>
  <si>
    <t>신재민 (G5-S)</t>
  </si>
  <si>
    <t>마장엽 (G5-S)</t>
  </si>
  <si>
    <t>홍사훈 (G5-S)</t>
  </si>
  <si>
    <t>유자영 (G5-S)</t>
  </si>
  <si>
    <t>민지선 (G5-S)</t>
  </si>
  <si>
    <t>장훈 (G5-S)</t>
  </si>
  <si>
    <t>조성준 (G4)</t>
  </si>
  <si>
    <t>구서현 (G3)</t>
  </si>
  <si>
    <t>김가연 (G2)</t>
  </si>
  <si>
    <t>한근수 (G2)</t>
  </si>
  <si>
    <t>김성민 (G2)</t>
  </si>
  <si>
    <t>고광우 (G2)</t>
  </si>
  <si>
    <t>김현수 (G1)</t>
  </si>
  <si>
    <t>콜셍홍 (G1)</t>
  </si>
  <si>
    <t>안성진 (G1)</t>
  </si>
  <si>
    <t>이정일 (G1)</t>
  </si>
  <si>
    <t>안재성 (G1)</t>
  </si>
  <si>
    <t>유태석 (G1)</t>
  </si>
  <si>
    <t>엄보근 (G1)</t>
  </si>
  <si>
    <t>■ 직무: 교육  (책무 6개)  |  해당 직원 3명</t>
  </si>
  <si>
    <t>이진행 (G5-M)</t>
  </si>
  <si>
    <t>김우람 (G4)</t>
  </si>
  <si>
    <t>장은한 (G2)</t>
  </si>
  <si>
    <t>■ 직무: 기술지원  (책무 5개)  |  해당 직원 2명</t>
  </si>
  <si>
    <t>김민수 (G5-M)</t>
  </si>
  <si>
    <t>박진용 (G3)</t>
  </si>
  <si>
    <t>■ 직무: 연구개발(R&amp;D)  (책무 7개)  |  해당 직원 2명</t>
  </si>
  <si>
    <t>강전용 (G6)</t>
  </si>
  <si>
    <t>김성수 (G2)</t>
  </si>
  <si>
    <t>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</si>
</sst>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#,##0;\-#,##0;\-"/>
  </numFmts>
  <fonts count="17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4C7E7"/>
      </patternFill>
    </fill>
    <fill>
      <patternFill patternType="solid">
        <fgColor rgb="FFFFFFFF"/>
      </patternFill>
    </fill>
    <fill>
      <patternFill patternType="solid">
        <fgColor rgb="FF548135"/>
      </patternFill>
    </fill>
    <fill>
      <patternFill patternType="solid">
        <fgColor rgb="FFC65911"/>
      </patternFill>
    </fill>
    <fill>
      <patternFill patternType="solid">
        <fgColor rgb="FF595959"/>
      </patternFill>
    </fill>
    <fill>
      <patternFill patternType="solid">
        <fgColor rgb="FFD9E1F2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right" vertical="center" wrapText="1"/>
    </xf>
    <xf numFmtId="0" fontId="11" fillId="6" borderId="1" xfId="0" applyFont="1" applyFill="1" applyBorder="1" applyAlignment="1">
      <alignment horizontal="right" vertical="center" wrapText="1"/>
    </xf>
    <xf numFmtId="3" fontId="11" fillId="6" borderId="1" xfId="0" applyNumberFormat="1" applyFont="1" applyFill="1" applyBorder="1" applyAlignment="1">
      <alignment horizontal="right" vertical="center" wrapText="1"/>
    </xf>
    <xf numFmtId="176" fontId="11" fillId="6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left" vertical="center" wrapText="1"/>
    </xf>
    <xf numFmtId="177" fontId="4" fillId="0" borderId="5" xfId="0" applyNumberFormat="1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9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9" fillId="1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65"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N81"/>
  <sheetViews>
    <sheetView workbookViewId="0">
      <selection activeCell="B24" sqref="B24:H24"/>
    </sheetView>
  </sheetViews>
  <sheetFormatPr defaultRowHeight="16.899999999999999" x14ac:dyDescent="0.6"/>
  <cols>
    <col min="1" max="1" width="10" customWidth="1"/>
    <col min="2" max="2" width="16" customWidth="1"/>
    <col min="3" max="3" width="18" customWidth="1"/>
    <col min="4" max="4" width="12" customWidth="1"/>
    <col min="5" max="5" width="4" customWidth="1"/>
    <col min="6" max="6" width="16" customWidth="1"/>
    <col min="7" max="7" width="18" customWidth="1"/>
    <col min="8" max="8" width="12" customWidth="1"/>
  </cols>
  <sheetData>
    <row r="1" spans="1:14" ht="36" customHeight="1" x14ac:dyDescent="0.6">
      <c r="A1" s="72" t="s">
        <v>927</v>
      </c>
      <c r="B1" s="66"/>
      <c r="C1" s="66"/>
      <c r="D1" s="66"/>
      <c r="E1" s="66"/>
      <c r="F1" s="66"/>
      <c r="G1" s="66"/>
      <c r="H1" s="67"/>
      <c r="I1" s="58"/>
      <c r="J1" s="58"/>
      <c r="K1" s="58"/>
      <c r="L1" s="58"/>
      <c r="M1" s="58"/>
      <c r="N1" s="58"/>
    </row>
    <row r="2" spans="1:14" ht="22.05" customHeight="1" x14ac:dyDescent="0.6">
      <c r="A2" s="75" t="s">
        <v>0</v>
      </c>
      <c r="B2" s="66"/>
      <c r="C2" s="66"/>
      <c r="D2" s="66"/>
      <c r="E2" s="66"/>
      <c r="F2" s="66"/>
      <c r="G2" s="66"/>
      <c r="H2" s="67"/>
      <c r="I2" s="58"/>
      <c r="J2" s="58"/>
      <c r="K2" s="58"/>
      <c r="L2" s="58"/>
      <c r="M2" s="58"/>
      <c r="N2" s="58"/>
    </row>
    <row r="3" spans="1:14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4" ht="26" customHeight="1" x14ac:dyDescent="0.6">
      <c r="A4" s="65" t="s">
        <v>1</v>
      </c>
      <c r="B4" s="66"/>
      <c r="C4" s="66"/>
      <c r="D4" s="66"/>
      <c r="E4" s="66"/>
      <c r="F4" s="66"/>
      <c r="G4" s="66"/>
      <c r="H4" s="67"/>
      <c r="I4" s="58"/>
      <c r="J4" s="58"/>
      <c r="K4" s="58"/>
      <c r="L4" s="58"/>
      <c r="M4" s="58"/>
      <c r="N4" s="58"/>
    </row>
    <row r="5" spans="1:14" ht="26" customHeight="1" x14ac:dyDescent="0.6">
      <c r="A5" s="9" t="s">
        <v>2</v>
      </c>
      <c r="B5" s="9" t="s">
        <v>3</v>
      </c>
      <c r="C5" s="9" t="s">
        <v>4</v>
      </c>
      <c r="D5" s="71" t="s">
        <v>5</v>
      </c>
      <c r="E5" s="66"/>
      <c r="F5" s="66"/>
      <c r="G5" s="66"/>
      <c r="H5" s="67"/>
      <c r="I5" s="58"/>
      <c r="J5" s="58"/>
      <c r="K5" s="58"/>
      <c r="L5" s="58"/>
      <c r="M5" s="58"/>
      <c r="N5" s="58"/>
    </row>
    <row r="6" spans="1:14" ht="38" customHeight="1" x14ac:dyDescent="0.6">
      <c r="A6" s="61" t="s">
        <v>6</v>
      </c>
      <c r="B6" s="19" t="s">
        <v>7</v>
      </c>
      <c r="C6" s="57" t="s">
        <v>8</v>
      </c>
      <c r="D6" s="73" t="s">
        <v>9</v>
      </c>
      <c r="E6" s="66"/>
      <c r="F6" s="66"/>
      <c r="G6" s="66"/>
      <c r="H6" s="67"/>
      <c r="I6" s="58"/>
      <c r="J6" s="58"/>
      <c r="K6" s="58"/>
      <c r="L6" s="58"/>
      <c r="M6" s="58"/>
      <c r="N6" s="58"/>
    </row>
    <row r="7" spans="1:14" ht="38" customHeight="1" x14ac:dyDescent="0.6">
      <c r="A7" s="61" t="s">
        <v>10</v>
      </c>
      <c r="B7" s="19" t="s">
        <v>11</v>
      </c>
      <c r="C7" s="57" t="s">
        <v>12</v>
      </c>
      <c r="D7" s="73" t="s">
        <v>13</v>
      </c>
      <c r="E7" s="66"/>
      <c r="F7" s="66"/>
      <c r="G7" s="66"/>
      <c r="H7" s="67"/>
      <c r="I7" s="58"/>
      <c r="J7" s="58"/>
      <c r="K7" s="58"/>
      <c r="L7" s="58"/>
      <c r="M7" s="58"/>
      <c r="N7" s="58"/>
    </row>
    <row r="8" spans="1:14" ht="38" customHeight="1" x14ac:dyDescent="0.6">
      <c r="A8" s="61" t="s">
        <v>14</v>
      </c>
      <c r="B8" s="19" t="s">
        <v>15</v>
      </c>
      <c r="C8" s="57" t="s">
        <v>16</v>
      </c>
      <c r="D8" s="73" t="s">
        <v>17</v>
      </c>
      <c r="E8" s="66"/>
      <c r="F8" s="66"/>
      <c r="G8" s="66"/>
      <c r="H8" s="67"/>
      <c r="I8" s="58"/>
      <c r="J8" s="58"/>
      <c r="K8" s="58"/>
      <c r="L8" s="58"/>
      <c r="M8" s="58"/>
      <c r="N8" s="58"/>
    </row>
    <row r="9" spans="1:14" ht="38" customHeight="1" x14ac:dyDescent="0.6">
      <c r="A9" s="61" t="s">
        <v>18</v>
      </c>
      <c r="B9" s="19" t="s">
        <v>19</v>
      </c>
      <c r="C9" s="57" t="s">
        <v>20</v>
      </c>
      <c r="D9" s="73" t="s">
        <v>21</v>
      </c>
      <c r="E9" s="66"/>
      <c r="F9" s="66"/>
      <c r="G9" s="66"/>
      <c r="H9" s="67"/>
      <c r="I9" s="58"/>
      <c r="J9" s="58"/>
      <c r="K9" s="58"/>
      <c r="L9" s="58"/>
      <c r="M9" s="58"/>
      <c r="N9" s="58"/>
    </row>
    <row r="10" spans="1:14" x14ac:dyDescent="0.6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spans="1:14" x14ac:dyDescent="0.6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</row>
    <row r="12" spans="1:14" ht="26" customHeight="1" x14ac:dyDescent="0.6">
      <c r="A12" s="65" t="s">
        <v>22</v>
      </c>
      <c r="B12" s="66"/>
      <c r="C12" s="66"/>
      <c r="D12" s="66"/>
      <c r="E12" s="66"/>
      <c r="F12" s="66"/>
      <c r="G12" s="66"/>
      <c r="H12" s="67"/>
      <c r="I12" s="58"/>
      <c r="J12" s="58"/>
      <c r="K12" s="58"/>
      <c r="L12" s="58"/>
      <c r="M12" s="58"/>
      <c r="N12" s="58"/>
    </row>
    <row r="13" spans="1:14" ht="26" customHeight="1" x14ac:dyDescent="0.6">
      <c r="A13" s="9" t="s">
        <v>23</v>
      </c>
      <c r="B13" s="71" t="s">
        <v>24</v>
      </c>
      <c r="C13" s="66"/>
      <c r="D13" s="67"/>
      <c r="E13" s="71" t="s">
        <v>25</v>
      </c>
      <c r="F13" s="66"/>
      <c r="G13" s="66"/>
      <c r="H13" s="67"/>
      <c r="I13" s="58"/>
      <c r="J13" s="58"/>
      <c r="K13" s="58"/>
      <c r="L13" s="58"/>
      <c r="M13" s="58"/>
      <c r="N13" s="58"/>
    </row>
    <row r="14" spans="1:14" ht="40.049999999999997" customHeight="1" x14ac:dyDescent="0.6">
      <c r="A14" s="62" t="s">
        <v>26</v>
      </c>
      <c r="B14" s="69" t="s">
        <v>27</v>
      </c>
      <c r="C14" s="66"/>
      <c r="D14" s="67"/>
      <c r="E14" s="70" t="s">
        <v>28</v>
      </c>
      <c r="F14" s="66"/>
      <c r="G14" s="66"/>
      <c r="H14" s="67"/>
      <c r="I14" s="58"/>
      <c r="J14" s="58"/>
      <c r="K14" s="58"/>
      <c r="L14" s="58"/>
      <c r="M14" s="58"/>
      <c r="N14" s="58"/>
    </row>
    <row r="15" spans="1:14" ht="40.049999999999997" customHeight="1" x14ac:dyDescent="0.6">
      <c r="A15" s="62" t="s">
        <v>29</v>
      </c>
      <c r="B15" s="69" t="s">
        <v>30</v>
      </c>
      <c r="C15" s="66"/>
      <c r="D15" s="67"/>
      <c r="E15" s="70" t="s">
        <v>31</v>
      </c>
      <c r="F15" s="66"/>
      <c r="G15" s="66"/>
      <c r="H15" s="67"/>
      <c r="I15" s="58"/>
      <c r="J15" s="58"/>
      <c r="K15" s="58"/>
      <c r="L15" s="58"/>
      <c r="M15" s="58"/>
      <c r="N15" s="58"/>
    </row>
    <row r="16" spans="1:14" x14ac:dyDescent="0.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</row>
    <row r="17" spans="1:14" ht="26" customHeight="1" x14ac:dyDescent="0.6">
      <c r="A17" s="65" t="s">
        <v>32</v>
      </c>
      <c r="B17" s="66"/>
      <c r="C17" s="66"/>
      <c r="D17" s="66"/>
      <c r="E17" s="66"/>
      <c r="F17" s="66"/>
      <c r="G17" s="66"/>
      <c r="H17" s="67"/>
      <c r="I17" s="58"/>
      <c r="J17" s="58"/>
      <c r="K17" s="58"/>
      <c r="L17" s="58"/>
      <c r="M17" s="58"/>
      <c r="N17" s="58"/>
    </row>
    <row r="18" spans="1:14" ht="26" customHeight="1" x14ac:dyDescent="0.6">
      <c r="A18" s="9" t="s">
        <v>2</v>
      </c>
      <c r="B18" s="71" t="s">
        <v>33</v>
      </c>
      <c r="C18" s="66"/>
      <c r="D18" s="66"/>
      <c r="E18" s="66"/>
      <c r="F18" s="66"/>
      <c r="G18" s="66"/>
      <c r="H18" s="67"/>
      <c r="I18" s="58"/>
      <c r="J18" s="58"/>
      <c r="K18" s="58"/>
      <c r="L18" s="58"/>
      <c r="M18" s="58"/>
      <c r="N18" s="58"/>
    </row>
    <row r="19" spans="1:14" ht="36" customHeight="1" x14ac:dyDescent="0.6">
      <c r="A19" s="62" t="s">
        <v>34</v>
      </c>
      <c r="B19" s="70" t="s">
        <v>35</v>
      </c>
      <c r="C19" s="66"/>
      <c r="D19" s="66"/>
      <c r="E19" s="66"/>
      <c r="F19" s="66"/>
      <c r="G19" s="66"/>
      <c r="H19" s="67"/>
      <c r="I19" s="58"/>
      <c r="J19" s="58"/>
      <c r="K19" s="58"/>
      <c r="L19" s="58"/>
      <c r="M19" s="58"/>
      <c r="N19" s="58"/>
    </row>
    <row r="20" spans="1:14" ht="36" customHeight="1" x14ac:dyDescent="0.6">
      <c r="A20" s="62" t="s">
        <v>36</v>
      </c>
      <c r="B20" s="70" t="s">
        <v>37</v>
      </c>
      <c r="C20" s="66"/>
      <c r="D20" s="66"/>
      <c r="E20" s="66"/>
      <c r="F20" s="66"/>
      <c r="G20" s="66"/>
      <c r="H20" s="67"/>
      <c r="I20" s="58"/>
      <c r="J20" s="58"/>
      <c r="K20" s="58"/>
      <c r="L20" s="58"/>
      <c r="M20" s="58"/>
      <c r="N20" s="58"/>
    </row>
    <row r="21" spans="1:14" ht="36" customHeight="1" x14ac:dyDescent="0.6">
      <c r="A21" s="62" t="s">
        <v>38</v>
      </c>
      <c r="B21" s="70" t="s">
        <v>39</v>
      </c>
      <c r="C21" s="66"/>
      <c r="D21" s="66"/>
      <c r="E21" s="66"/>
      <c r="F21" s="66"/>
      <c r="G21" s="66"/>
      <c r="H21" s="67"/>
      <c r="I21" s="58"/>
      <c r="J21" s="58"/>
      <c r="K21" s="58"/>
      <c r="L21" s="58"/>
      <c r="M21" s="58"/>
      <c r="N21" s="58"/>
    </row>
    <row r="22" spans="1:14" ht="36" customHeight="1" x14ac:dyDescent="0.6">
      <c r="A22" s="62" t="s">
        <v>40</v>
      </c>
      <c r="B22" s="70" t="s">
        <v>41</v>
      </c>
      <c r="C22" s="66"/>
      <c r="D22" s="66"/>
      <c r="E22" s="66"/>
      <c r="F22" s="66"/>
      <c r="G22" s="66"/>
      <c r="H22" s="67"/>
      <c r="I22" s="58"/>
      <c r="J22" s="58"/>
      <c r="K22" s="58"/>
      <c r="L22" s="58"/>
      <c r="M22" s="58"/>
      <c r="N22" s="58"/>
    </row>
    <row r="23" spans="1:14" ht="36" customHeight="1" x14ac:dyDescent="0.6">
      <c r="A23" s="62" t="s">
        <v>42</v>
      </c>
      <c r="B23" s="70" t="s">
        <v>43</v>
      </c>
      <c r="C23" s="66"/>
      <c r="D23" s="66"/>
      <c r="E23" s="66"/>
      <c r="F23" s="66"/>
      <c r="G23" s="66"/>
      <c r="H23" s="67"/>
      <c r="I23" s="58"/>
      <c r="J23" s="58"/>
      <c r="K23" s="58"/>
      <c r="L23" s="58"/>
      <c r="M23" s="58"/>
      <c r="N23" s="58"/>
    </row>
    <row r="24" spans="1:14" ht="36" customHeight="1" x14ac:dyDescent="0.6">
      <c r="A24" s="62" t="s">
        <v>44</v>
      </c>
      <c r="B24" s="70" t="s">
        <v>45</v>
      </c>
      <c r="C24" s="66"/>
      <c r="D24" s="66"/>
      <c r="E24" s="66"/>
      <c r="F24" s="66"/>
      <c r="G24" s="66"/>
      <c r="H24" s="67"/>
      <c r="I24" s="58"/>
      <c r="J24" s="58"/>
      <c r="K24" s="58"/>
      <c r="L24" s="58"/>
      <c r="M24" s="58"/>
      <c r="N24" s="58"/>
    </row>
    <row r="25" spans="1:14" ht="36" customHeight="1" x14ac:dyDescent="0.6">
      <c r="A25" s="62" t="s">
        <v>46</v>
      </c>
      <c r="B25" s="70" t="s">
        <v>47</v>
      </c>
      <c r="C25" s="66"/>
      <c r="D25" s="66"/>
      <c r="E25" s="66"/>
      <c r="F25" s="66"/>
      <c r="G25" s="66"/>
      <c r="H25" s="67"/>
      <c r="I25" s="58"/>
      <c r="J25" s="58"/>
      <c r="K25" s="58"/>
      <c r="L25" s="58"/>
      <c r="M25" s="58"/>
      <c r="N25" s="58"/>
    </row>
    <row r="26" spans="1:14" x14ac:dyDescent="0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</row>
    <row r="27" spans="1:14" ht="26" customHeight="1" x14ac:dyDescent="0.6">
      <c r="A27" s="65" t="s">
        <v>48</v>
      </c>
      <c r="B27" s="66"/>
      <c r="C27" s="66"/>
      <c r="D27" s="66"/>
      <c r="E27" s="66"/>
      <c r="F27" s="66"/>
      <c r="G27" s="66"/>
      <c r="H27" s="67"/>
      <c r="I27" s="58"/>
      <c r="J27" s="58"/>
      <c r="K27" s="58"/>
      <c r="L27" s="58"/>
      <c r="M27" s="58"/>
      <c r="N27" s="58"/>
    </row>
    <row r="28" spans="1:14" ht="26" customHeight="1" x14ac:dyDescent="0.6">
      <c r="A28" s="9" t="s">
        <v>49</v>
      </c>
      <c r="B28" s="71" t="s">
        <v>50</v>
      </c>
      <c r="C28" s="66"/>
      <c r="D28" s="66"/>
      <c r="E28" s="66"/>
      <c r="F28" s="67"/>
      <c r="G28" s="71" t="s">
        <v>51</v>
      </c>
      <c r="H28" s="67"/>
      <c r="I28" s="58"/>
      <c r="J28" s="58"/>
      <c r="K28" s="58"/>
      <c r="L28" s="58"/>
      <c r="M28" s="58"/>
      <c r="N28" s="58"/>
    </row>
    <row r="29" spans="1:14" ht="24" customHeight="1" x14ac:dyDescent="0.6">
      <c r="A29" s="10" t="s">
        <v>52</v>
      </c>
      <c r="B29" s="70" t="s">
        <v>53</v>
      </c>
      <c r="C29" s="66"/>
      <c r="D29" s="66"/>
      <c r="E29" s="66"/>
      <c r="F29" s="67"/>
      <c r="G29" s="79" t="s">
        <v>54</v>
      </c>
      <c r="H29" s="67"/>
      <c r="I29" s="58"/>
      <c r="J29" s="58"/>
      <c r="K29" s="58"/>
      <c r="L29" s="58"/>
      <c r="M29" s="58"/>
      <c r="N29" s="58"/>
    </row>
    <row r="30" spans="1:14" ht="24" customHeight="1" x14ac:dyDescent="0.6">
      <c r="A30" s="10" t="s">
        <v>55</v>
      </c>
      <c r="B30" s="70" t="s">
        <v>56</v>
      </c>
      <c r="C30" s="66"/>
      <c r="D30" s="66"/>
      <c r="E30" s="66"/>
      <c r="F30" s="67"/>
      <c r="G30" s="77" t="s">
        <v>57</v>
      </c>
      <c r="H30" s="67"/>
      <c r="I30" s="58"/>
      <c r="J30" s="58"/>
      <c r="K30" s="58"/>
      <c r="L30" s="58"/>
      <c r="M30" s="58"/>
      <c r="N30" s="58"/>
    </row>
    <row r="31" spans="1:14" ht="24" customHeight="1" x14ac:dyDescent="0.6">
      <c r="A31" s="10" t="s">
        <v>58</v>
      </c>
      <c r="B31" s="70" t="s">
        <v>59</v>
      </c>
      <c r="C31" s="66"/>
      <c r="D31" s="66"/>
      <c r="E31" s="66"/>
      <c r="F31" s="67"/>
      <c r="G31" s="76" t="s">
        <v>60</v>
      </c>
      <c r="H31" s="67"/>
      <c r="I31" s="58"/>
      <c r="J31" s="58"/>
      <c r="K31" s="58"/>
      <c r="L31" s="58"/>
      <c r="M31" s="58"/>
      <c r="N31" s="58"/>
    </row>
    <row r="32" spans="1:14" ht="24" customHeight="1" x14ac:dyDescent="0.6">
      <c r="A32" s="10" t="s">
        <v>61</v>
      </c>
      <c r="B32" s="70" t="s">
        <v>62</v>
      </c>
      <c r="C32" s="66"/>
      <c r="D32" s="66"/>
      <c r="E32" s="66"/>
      <c r="F32" s="67"/>
      <c r="G32" s="76" t="s">
        <v>60</v>
      </c>
      <c r="H32" s="67"/>
      <c r="I32" s="58"/>
      <c r="J32" s="58"/>
      <c r="K32" s="58"/>
      <c r="L32" s="58"/>
      <c r="M32" s="58"/>
      <c r="N32" s="58"/>
    </row>
    <row r="33" spans="1:14" ht="24" customHeight="1" x14ac:dyDescent="0.6">
      <c r="A33" s="10" t="s">
        <v>63</v>
      </c>
      <c r="B33" s="70" t="s">
        <v>64</v>
      </c>
      <c r="C33" s="66"/>
      <c r="D33" s="66"/>
      <c r="E33" s="66"/>
      <c r="F33" s="67"/>
      <c r="G33" s="76" t="s">
        <v>60</v>
      </c>
      <c r="H33" s="67"/>
      <c r="I33" s="58"/>
      <c r="J33" s="58"/>
      <c r="K33" s="58"/>
      <c r="L33" s="58"/>
      <c r="M33" s="58"/>
      <c r="N33" s="58"/>
    </row>
    <row r="34" spans="1:14" ht="24" customHeight="1" x14ac:dyDescent="0.6">
      <c r="A34" s="10" t="s">
        <v>65</v>
      </c>
      <c r="B34" s="70" t="s">
        <v>66</v>
      </c>
      <c r="C34" s="66"/>
      <c r="D34" s="66"/>
      <c r="E34" s="66"/>
      <c r="F34" s="67"/>
      <c r="G34" s="68" t="s">
        <v>67</v>
      </c>
      <c r="H34" s="67"/>
      <c r="I34" s="58"/>
      <c r="J34" s="58"/>
      <c r="K34" s="58"/>
      <c r="L34" s="58"/>
      <c r="M34" s="58"/>
      <c r="N34" s="58"/>
    </row>
    <row r="35" spans="1:14" ht="24" customHeight="1" x14ac:dyDescent="0.6">
      <c r="A35" s="10" t="s">
        <v>68</v>
      </c>
      <c r="B35" s="70" t="s">
        <v>69</v>
      </c>
      <c r="C35" s="66"/>
      <c r="D35" s="66"/>
      <c r="E35" s="66"/>
      <c r="F35" s="67"/>
      <c r="G35" s="68" t="s">
        <v>67</v>
      </c>
      <c r="H35" s="67"/>
      <c r="I35" s="58"/>
      <c r="J35" s="58"/>
      <c r="K35" s="58"/>
      <c r="L35" s="58"/>
      <c r="M35" s="58"/>
      <c r="N35" s="58"/>
    </row>
    <row r="36" spans="1:14" ht="24" customHeight="1" x14ac:dyDescent="0.6">
      <c r="A36" s="10" t="s">
        <v>70</v>
      </c>
      <c r="B36" s="70" t="s">
        <v>71</v>
      </c>
      <c r="C36" s="66"/>
      <c r="D36" s="66"/>
      <c r="E36" s="66"/>
      <c r="F36" s="67"/>
      <c r="G36" s="68" t="s">
        <v>67</v>
      </c>
      <c r="H36" s="67"/>
      <c r="I36" s="58"/>
      <c r="J36" s="58"/>
      <c r="K36" s="58"/>
      <c r="L36" s="58"/>
      <c r="M36" s="58"/>
      <c r="N36" s="58"/>
    </row>
    <row r="37" spans="1:14" ht="24" customHeight="1" x14ac:dyDescent="0.6">
      <c r="A37" s="10" t="s">
        <v>72</v>
      </c>
      <c r="B37" s="70" t="s">
        <v>73</v>
      </c>
      <c r="C37" s="66"/>
      <c r="D37" s="66"/>
      <c r="E37" s="66"/>
      <c r="F37" s="67"/>
      <c r="G37" s="74" t="s">
        <v>74</v>
      </c>
      <c r="H37" s="67"/>
      <c r="I37" s="58"/>
      <c r="J37" s="58"/>
      <c r="K37" s="58"/>
      <c r="L37" s="58"/>
      <c r="M37" s="58"/>
      <c r="N37" s="58"/>
    </row>
    <row r="38" spans="1:14" ht="24" customHeight="1" x14ac:dyDescent="0.6">
      <c r="A38" s="10" t="s">
        <v>75</v>
      </c>
      <c r="B38" s="70" t="s">
        <v>76</v>
      </c>
      <c r="C38" s="66"/>
      <c r="D38" s="66"/>
      <c r="E38" s="66"/>
      <c r="F38" s="67"/>
      <c r="G38" s="74" t="s">
        <v>74</v>
      </c>
      <c r="H38" s="67"/>
      <c r="I38" s="58"/>
      <c r="J38" s="58"/>
      <c r="K38" s="58"/>
      <c r="L38" s="58"/>
      <c r="M38" s="58"/>
      <c r="N38" s="58"/>
    </row>
    <row r="39" spans="1:14" ht="24" customHeight="1" x14ac:dyDescent="0.6">
      <c r="A39" s="10" t="s">
        <v>77</v>
      </c>
      <c r="B39" s="70" t="s">
        <v>78</v>
      </c>
      <c r="C39" s="66"/>
      <c r="D39" s="66"/>
      <c r="E39" s="66"/>
      <c r="F39" s="67"/>
      <c r="G39" s="68" t="s">
        <v>67</v>
      </c>
      <c r="H39" s="67"/>
      <c r="I39" s="58"/>
      <c r="J39" s="58"/>
      <c r="K39" s="58"/>
      <c r="L39" s="58"/>
      <c r="M39" s="58"/>
      <c r="N39" s="58"/>
    </row>
    <row r="40" spans="1:14" ht="24" customHeight="1" x14ac:dyDescent="0.6">
      <c r="A40" s="10" t="s">
        <v>79</v>
      </c>
      <c r="B40" s="70" t="s">
        <v>80</v>
      </c>
      <c r="C40" s="66"/>
      <c r="D40" s="66"/>
      <c r="E40" s="66"/>
      <c r="F40" s="67"/>
      <c r="G40" s="68" t="s">
        <v>67</v>
      </c>
      <c r="H40" s="67"/>
      <c r="I40" s="58"/>
      <c r="J40" s="58"/>
      <c r="K40" s="58"/>
      <c r="L40" s="58"/>
      <c r="M40" s="58"/>
      <c r="N40" s="58"/>
    </row>
    <row r="41" spans="1:14" ht="24" customHeight="1" x14ac:dyDescent="0.6">
      <c r="A41" s="10" t="s">
        <v>81</v>
      </c>
      <c r="B41" s="70" t="s">
        <v>82</v>
      </c>
      <c r="C41" s="66"/>
      <c r="D41" s="66"/>
      <c r="E41" s="66"/>
      <c r="F41" s="67"/>
      <c r="G41" s="68" t="s">
        <v>67</v>
      </c>
      <c r="H41" s="67"/>
      <c r="I41" s="58"/>
      <c r="J41" s="58"/>
      <c r="K41" s="58"/>
      <c r="L41" s="58"/>
      <c r="M41" s="58"/>
      <c r="N41" s="58"/>
    </row>
    <row r="42" spans="1:14" ht="24" customHeight="1" x14ac:dyDescent="0.6">
      <c r="A42" s="10" t="s">
        <v>83</v>
      </c>
      <c r="B42" s="70" t="s">
        <v>84</v>
      </c>
      <c r="C42" s="66"/>
      <c r="D42" s="66"/>
      <c r="E42" s="66"/>
      <c r="F42" s="67"/>
      <c r="G42" s="68" t="s">
        <v>67</v>
      </c>
      <c r="H42" s="67"/>
      <c r="I42" s="58"/>
      <c r="J42" s="58"/>
      <c r="K42" s="58"/>
      <c r="L42" s="58"/>
      <c r="M42" s="58"/>
      <c r="N42" s="58"/>
    </row>
    <row r="43" spans="1:14" ht="24" customHeight="1" x14ac:dyDescent="0.6">
      <c r="A43" s="10" t="s">
        <v>85</v>
      </c>
      <c r="B43" s="70" t="s">
        <v>86</v>
      </c>
      <c r="C43" s="66"/>
      <c r="D43" s="66"/>
      <c r="E43" s="66"/>
      <c r="F43" s="67"/>
      <c r="G43" s="68" t="s">
        <v>67</v>
      </c>
      <c r="H43" s="67"/>
      <c r="I43" s="58"/>
      <c r="J43" s="58"/>
      <c r="K43" s="58"/>
      <c r="L43" s="58"/>
      <c r="M43" s="58"/>
      <c r="N43" s="58"/>
    </row>
    <row r="44" spans="1:14" ht="24" customHeight="1" x14ac:dyDescent="0.6">
      <c r="A44" s="10" t="s">
        <v>87</v>
      </c>
      <c r="B44" s="70" t="s">
        <v>88</v>
      </c>
      <c r="C44" s="66"/>
      <c r="D44" s="66"/>
      <c r="E44" s="66"/>
      <c r="F44" s="67"/>
      <c r="G44" s="78" t="s">
        <v>89</v>
      </c>
      <c r="H44" s="67"/>
      <c r="I44" s="58"/>
      <c r="J44" s="58"/>
      <c r="K44" s="58"/>
      <c r="L44" s="58"/>
      <c r="M44" s="58"/>
      <c r="N44" s="58"/>
    </row>
    <row r="45" spans="1:14" ht="24" customHeight="1" x14ac:dyDescent="0.6">
      <c r="A45" s="10" t="s">
        <v>90</v>
      </c>
      <c r="B45" s="70" t="s">
        <v>91</v>
      </c>
      <c r="C45" s="66"/>
      <c r="D45" s="66"/>
      <c r="E45" s="66"/>
      <c r="F45" s="67"/>
      <c r="G45" s="78" t="s">
        <v>89</v>
      </c>
      <c r="H45" s="67"/>
      <c r="I45" s="58"/>
      <c r="J45" s="58"/>
      <c r="K45" s="58"/>
      <c r="L45" s="58"/>
      <c r="M45" s="58"/>
      <c r="N45" s="58"/>
    </row>
    <row r="46" spans="1:14" ht="24" customHeight="1" x14ac:dyDescent="0.6">
      <c r="A46" s="10" t="s">
        <v>92</v>
      </c>
      <c r="B46" s="70" t="s">
        <v>93</v>
      </c>
      <c r="C46" s="66"/>
      <c r="D46" s="66"/>
      <c r="E46" s="66"/>
      <c r="F46" s="67"/>
      <c r="G46" s="76" t="s">
        <v>60</v>
      </c>
      <c r="H46" s="67"/>
      <c r="I46" s="58"/>
      <c r="J46" s="58"/>
      <c r="K46" s="58"/>
      <c r="L46" s="58"/>
      <c r="M46" s="58"/>
      <c r="N46" s="58"/>
    </row>
    <row r="47" spans="1:14" x14ac:dyDescent="0.6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</row>
    <row r="48" spans="1:14" ht="26" customHeight="1" x14ac:dyDescent="0.6">
      <c r="A48" s="65" t="s">
        <v>94</v>
      </c>
      <c r="B48" s="66"/>
      <c r="C48" s="66"/>
      <c r="D48" s="66"/>
      <c r="E48" s="66"/>
      <c r="F48" s="66"/>
      <c r="G48" s="66"/>
      <c r="H48" s="67"/>
      <c r="I48" s="58"/>
      <c r="J48" s="58"/>
      <c r="K48" s="58"/>
      <c r="L48" s="58"/>
      <c r="M48" s="58"/>
      <c r="N48" s="58"/>
    </row>
    <row r="49" spans="1:14" ht="22.05" customHeight="1" x14ac:dyDescent="0.6">
      <c r="A49" s="1"/>
      <c r="B49" s="2" t="s">
        <v>95</v>
      </c>
      <c r="C49" s="70" t="s">
        <v>96</v>
      </c>
      <c r="D49" s="67"/>
      <c r="E49" s="4"/>
      <c r="F49" s="2" t="s">
        <v>97</v>
      </c>
      <c r="G49" s="70" t="s">
        <v>98</v>
      </c>
      <c r="H49" s="67"/>
      <c r="I49" s="58"/>
      <c r="J49" s="58"/>
      <c r="K49" s="58"/>
      <c r="L49" s="58"/>
      <c r="M49" s="58"/>
      <c r="N49" s="58"/>
    </row>
    <row r="50" spans="1:14" ht="22.05" customHeight="1" x14ac:dyDescent="0.6">
      <c r="A50" s="5"/>
      <c r="B50" s="2" t="s">
        <v>99</v>
      </c>
      <c r="C50" s="70" t="s">
        <v>100</v>
      </c>
      <c r="D50" s="67"/>
      <c r="E50" s="7"/>
      <c r="F50" s="2" t="s">
        <v>101</v>
      </c>
      <c r="G50" s="70" t="s">
        <v>102</v>
      </c>
      <c r="H50" s="67"/>
      <c r="I50" s="58"/>
      <c r="J50" s="58"/>
      <c r="K50" s="58"/>
      <c r="L50" s="58"/>
      <c r="M50" s="58"/>
      <c r="N50" s="58"/>
    </row>
    <row r="51" spans="1:14" ht="22.05" customHeight="1" x14ac:dyDescent="0.6">
      <c r="A51" s="6"/>
      <c r="B51" s="2" t="s">
        <v>103</v>
      </c>
      <c r="C51" s="70" t="s">
        <v>104</v>
      </c>
      <c r="D51" s="67"/>
      <c r="E51" s="8"/>
      <c r="F51" s="2" t="s">
        <v>105</v>
      </c>
      <c r="G51" s="70" t="s">
        <v>106</v>
      </c>
      <c r="H51" s="67"/>
      <c r="I51" s="58"/>
      <c r="J51" s="58"/>
      <c r="K51" s="58"/>
      <c r="L51" s="58"/>
      <c r="M51" s="58"/>
      <c r="N51" s="58"/>
    </row>
    <row r="52" spans="1:14" x14ac:dyDescent="0.6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spans="1:14" x14ac:dyDescent="0.6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</row>
    <row r="54" spans="1:14" x14ac:dyDescent="0.6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</row>
    <row r="55" spans="1:14" x14ac:dyDescent="0.6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14" x14ac:dyDescent="0.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</row>
    <row r="57" spans="1:14" x14ac:dyDescent="0.6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</row>
    <row r="58" spans="1:14" x14ac:dyDescent="0.6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spans="1:14" x14ac:dyDescent="0.6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spans="1:14" x14ac:dyDescent="0.6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1" spans="1:14" x14ac:dyDescent="0.6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</row>
    <row r="62" spans="1:14" x14ac:dyDescent="0.6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spans="1:14" x14ac:dyDescent="0.6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</row>
    <row r="64" spans="1:14" x14ac:dyDescent="0.6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</row>
    <row r="81" spans="1:8" ht="28.05" customHeight="1" x14ac:dyDescent="0.6">
      <c r="A81" s="80" t="s">
        <v>107</v>
      </c>
      <c r="B81" s="66"/>
      <c r="C81" s="66"/>
      <c r="D81" s="66"/>
      <c r="E81" s="66"/>
      <c r="F81" s="66"/>
      <c r="G81" s="66"/>
      <c r="H81" s="67"/>
    </row>
  </sheetData>
  <mergeCells count="71">
    <mergeCell ref="D8:H8"/>
    <mergeCell ref="G29:H29"/>
    <mergeCell ref="A4:H4"/>
    <mergeCell ref="A81:H81"/>
    <mergeCell ref="G32:H32"/>
    <mergeCell ref="B33:F33"/>
    <mergeCell ref="G41:H41"/>
    <mergeCell ref="D5:H5"/>
    <mergeCell ref="B45:F45"/>
    <mergeCell ref="E15:H15"/>
    <mergeCell ref="G44:H44"/>
    <mergeCell ref="G50:H50"/>
    <mergeCell ref="B36:F36"/>
    <mergeCell ref="G40:H40"/>
    <mergeCell ref="G31:H31"/>
    <mergeCell ref="B19:H19"/>
    <mergeCell ref="D9:H9"/>
    <mergeCell ref="E13:H13"/>
    <mergeCell ref="B30:F30"/>
    <mergeCell ref="G35:H35"/>
    <mergeCell ref="A17:H17"/>
    <mergeCell ref="B23:H23"/>
    <mergeCell ref="B35:F35"/>
    <mergeCell ref="C51:D51"/>
    <mergeCell ref="B37:F37"/>
    <mergeCell ref="G30:H30"/>
    <mergeCell ref="G45:H45"/>
    <mergeCell ref="B40:F40"/>
    <mergeCell ref="B32:F32"/>
    <mergeCell ref="G51:H51"/>
    <mergeCell ref="G46:H46"/>
    <mergeCell ref="B41:F41"/>
    <mergeCell ref="C49:D49"/>
    <mergeCell ref="C50:D50"/>
    <mergeCell ref="G37:H37"/>
    <mergeCell ref="G28:H28"/>
    <mergeCell ref="B25:H25"/>
    <mergeCell ref="B15:D15"/>
    <mergeCell ref="A27:H27"/>
    <mergeCell ref="B44:F44"/>
    <mergeCell ref="G49:H49"/>
    <mergeCell ref="G34:H34"/>
    <mergeCell ref="B22:H22"/>
    <mergeCell ref="B18:H18"/>
    <mergeCell ref="B29:F29"/>
    <mergeCell ref="B34:F34"/>
    <mergeCell ref="B38:F38"/>
    <mergeCell ref="B21:H21"/>
    <mergeCell ref="B28:F28"/>
    <mergeCell ref="B13:D13"/>
    <mergeCell ref="B31:F31"/>
    <mergeCell ref="B46:F46"/>
    <mergeCell ref="G36:H36"/>
    <mergeCell ref="A1:H1"/>
    <mergeCell ref="B20:H20"/>
    <mergeCell ref="G39:H39"/>
    <mergeCell ref="B43:F43"/>
    <mergeCell ref="B39:F39"/>
    <mergeCell ref="D6:H6"/>
    <mergeCell ref="G38:H38"/>
    <mergeCell ref="B42:F42"/>
    <mergeCell ref="E14:H14"/>
    <mergeCell ref="D7:H7"/>
    <mergeCell ref="A12:H12"/>
    <mergeCell ref="A2:H2"/>
    <mergeCell ref="A48:H48"/>
    <mergeCell ref="G43:H43"/>
    <mergeCell ref="B14:D14"/>
    <mergeCell ref="G42:H42"/>
    <mergeCell ref="B24:H24"/>
    <mergeCell ref="G33:H33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J30"/>
  <sheetViews>
    <sheetView workbookViewId="0">
      <selection sqref="A1:J1"/>
    </sheetView>
  </sheetViews>
  <sheetFormatPr defaultRowHeight="16.899999999999999" x14ac:dyDescent="0.6"/>
  <cols>
    <col min="1" max="1" width="30" customWidth="1"/>
    <col min="2" max="10" width="13" customWidth="1"/>
  </cols>
  <sheetData>
    <row r="1" spans="1:10" ht="28.05" customHeight="1" x14ac:dyDescent="0.6">
      <c r="A1" s="82" t="s">
        <v>108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x14ac:dyDescent="0.6">
      <c r="A2" s="80" t="s">
        <v>109</v>
      </c>
      <c r="B2" s="66"/>
      <c r="C2" s="66"/>
      <c r="D2" s="66"/>
      <c r="E2" s="66"/>
      <c r="F2" s="66"/>
      <c r="G2" s="66"/>
      <c r="H2" s="66"/>
      <c r="I2" s="66"/>
      <c r="J2" s="67"/>
    </row>
    <row r="3" spans="1:10" ht="24" customHeight="1" x14ac:dyDescent="0.6">
      <c r="A3" s="74" t="s">
        <v>110</v>
      </c>
      <c r="B3" s="66"/>
      <c r="C3" s="66"/>
      <c r="D3" s="66"/>
      <c r="E3" s="66"/>
      <c r="F3" s="66"/>
      <c r="G3" s="66"/>
      <c r="H3" s="66"/>
      <c r="I3" s="66"/>
      <c r="J3" s="67"/>
    </row>
    <row r="4" spans="1:10" x14ac:dyDescent="0.6">
      <c r="A4" s="83" t="s">
        <v>111</v>
      </c>
      <c r="B4" s="66"/>
      <c r="C4" s="66"/>
      <c r="D4" s="66"/>
      <c r="E4" s="66"/>
      <c r="F4" s="66"/>
      <c r="G4" s="66"/>
      <c r="H4" s="66"/>
      <c r="I4" s="66"/>
      <c r="J4" s="67"/>
    </row>
    <row r="5" spans="1:10" x14ac:dyDescent="0.6">
      <c r="A5" s="9" t="s">
        <v>112</v>
      </c>
      <c r="B5" s="9" t="s">
        <v>113</v>
      </c>
      <c r="C5" s="9" t="s">
        <v>114</v>
      </c>
      <c r="D5" s="9" t="s">
        <v>115</v>
      </c>
    </row>
    <row r="6" spans="1:10" x14ac:dyDescent="0.6">
      <c r="A6" s="2" t="s">
        <v>116</v>
      </c>
      <c r="B6" s="13">
        <f>COUNTA('01_인적정보'!C6:C65)</f>
        <v>34</v>
      </c>
      <c r="C6" s="13">
        <f>B6</f>
        <v>34</v>
      </c>
      <c r="D6" s="14" t="str">
        <f>IF(B$6=0,"",IF(B6&gt;=B$6,"✓ 완료",IF(B6&gt;0,"진행중","미시작")))</f>
        <v>✓ 완료</v>
      </c>
    </row>
    <row r="7" spans="1:10" x14ac:dyDescent="0.6">
      <c r="A7" s="2" t="s">
        <v>117</v>
      </c>
      <c r="B7" s="13">
        <f>COUNTA('07a_상반기입력'!L6:L39)</f>
        <v>0</v>
      </c>
      <c r="C7" s="13">
        <f>COUNTA('07b_하반기입력'!L6:L39)</f>
        <v>0</v>
      </c>
      <c r="D7" s="14" t="str">
        <f>IF(B$6=0,"",IF(B7&gt;=B$6,"✓ 완료",IF(B7&gt;0,"진행중","미시작")))</f>
        <v>미시작</v>
      </c>
    </row>
    <row r="8" spans="1:10" x14ac:dyDescent="0.6">
      <c r="A8" s="2" t="s">
        <v>118</v>
      </c>
      <c r="B8" s="13">
        <f>COUNTA('07a_상반기입력'!N6:N39)</f>
        <v>0</v>
      </c>
      <c r="C8" s="13">
        <f>COUNTA('07b_하반기입력'!N6:N39)</f>
        <v>0</v>
      </c>
      <c r="D8" s="14" t="str">
        <f>IF(B$6=0,"",IF(B8&gt;=B$6,"✓ 완료",IF(B8&gt;0,"진행중","미시작")))</f>
        <v>미시작</v>
      </c>
    </row>
    <row r="9" spans="1:10" x14ac:dyDescent="0.6">
      <c r="A9" s="2" t="s">
        <v>119</v>
      </c>
      <c r="B9" s="13">
        <f>COUNTA('07a_상반기입력'!Y6:Y39)</f>
        <v>0</v>
      </c>
      <c r="C9" s="13">
        <f>COUNTA('07b_하반기입력'!Y6:Y39)</f>
        <v>0</v>
      </c>
      <c r="D9" s="14" t="str">
        <f>IF(B$6=0,"",IF(B9&gt;=B$6,"✓ 완료",IF(B9&gt;0,"진행중","미시작")))</f>
        <v>미시작</v>
      </c>
    </row>
    <row r="10" spans="1:10" x14ac:dyDescent="0.6">
      <c r="A10" s="2" t="s">
        <v>120</v>
      </c>
      <c r="B10" s="13">
        <f>COUNTA('08_종합평가'!U6:U39)</f>
        <v>34</v>
      </c>
      <c r="C10" s="13">
        <f>B10</f>
        <v>34</v>
      </c>
      <c r="D10" s="14" t="str">
        <f>IF(B$6=0,"",IF(B10&gt;=B$6,"✓ 완료",IF(B10&gt;0,"진행중","미시작")))</f>
        <v>✓ 완료</v>
      </c>
    </row>
    <row r="12" spans="1:10" x14ac:dyDescent="0.6">
      <c r="A12" s="83" t="s">
        <v>121</v>
      </c>
      <c r="B12" s="66"/>
      <c r="C12" s="66"/>
      <c r="D12" s="66"/>
      <c r="E12" s="66"/>
      <c r="F12" s="66"/>
      <c r="G12" s="66"/>
      <c r="H12" s="66"/>
      <c r="I12" s="66"/>
      <c r="J12" s="67"/>
    </row>
    <row r="13" spans="1:10" x14ac:dyDescent="0.6">
      <c r="A13" s="2" t="s">
        <v>122</v>
      </c>
      <c r="B13" s="81" t="str">
        <f>IF(SUMPRODUCT(('02_의사결정·종합결과'!E16:E22&lt;&gt;1)*1)&gt;0,"✗ 가중치 합계 ≠ 100% 행 존재","✓ 모든 가중치 OK")</f>
        <v>✓ 모든 가중치 OK</v>
      </c>
      <c r="C13" s="66"/>
      <c r="D13" s="66"/>
      <c r="E13" s="66"/>
      <c r="F13" s="66"/>
      <c r="G13" s="66"/>
      <c r="H13" s="66"/>
      <c r="I13" s="67"/>
    </row>
    <row r="14" spans="1:10" x14ac:dyDescent="0.6">
      <c r="A14" s="2" t="s">
        <v>123</v>
      </c>
      <c r="B14" s="81">
        <f>COUNTA('01_인적정보'!B6:B39) - COUNTA('07a_상반기입력'!L6:L39)</f>
        <v>34</v>
      </c>
      <c r="C14" s="66"/>
      <c r="D14" s="66"/>
      <c r="E14" s="66"/>
      <c r="F14" s="66"/>
      <c r="G14" s="66"/>
      <c r="H14" s="66"/>
      <c r="I14" s="67"/>
    </row>
    <row r="15" spans="1:10" x14ac:dyDescent="0.6">
      <c r="A15" s="2" t="s">
        <v>124</v>
      </c>
      <c r="B15" s="81">
        <f>COUNTA('01_인적정보'!B6:B39) - COUNTA('07b_하반기입력'!L6:L39)</f>
        <v>34</v>
      </c>
      <c r="C15" s="66"/>
      <c r="D15" s="66"/>
      <c r="E15" s="66"/>
      <c r="F15" s="66"/>
      <c r="G15" s="66"/>
      <c r="H15" s="66"/>
      <c r="I15" s="67"/>
    </row>
    <row r="16" spans="1:10" x14ac:dyDescent="0.6">
      <c r="A16" s="2" t="s">
        <v>125</v>
      </c>
      <c r="B16" s="81">
        <f>SUMPRODUCT(('09_보상연계'!O6:O39&lt;'09_보상연계'!L6:L39)+('09_보상연계'!O6:O39&gt;'09_보상연계'!M6:M39))</f>
        <v>30</v>
      </c>
      <c r="C16" s="66"/>
      <c r="D16" s="66"/>
      <c r="E16" s="66"/>
      <c r="F16" s="66"/>
      <c r="G16" s="66"/>
      <c r="H16" s="66"/>
      <c r="I16" s="67"/>
    </row>
    <row r="17" spans="1:10" x14ac:dyDescent="0.6">
      <c r="A17" s="2" t="s">
        <v>126</v>
      </c>
      <c r="B17" s="81">
        <f>SUM('11_페이밴드검증'!H6:H12)</f>
        <v>4</v>
      </c>
      <c r="C17" s="66"/>
      <c r="D17" s="66"/>
      <c r="E17" s="66"/>
      <c r="F17" s="66"/>
      <c r="G17" s="66"/>
      <c r="H17" s="66"/>
      <c r="I17" s="67"/>
    </row>
    <row r="19" spans="1:10" x14ac:dyDescent="0.6">
      <c r="A19" s="83" t="s">
        <v>127</v>
      </c>
      <c r="B19" s="66"/>
      <c r="C19" s="66"/>
      <c r="D19" s="66"/>
      <c r="E19" s="66"/>
      <c r="F19" s="66"/>
      <c r="G19" s="66"/>
      <c r="H19" s="66"/>
      <c r="I19" s="66"/>
      <c r="J19" s="67"/>
    </row>
    <row r="20" spans="1:10" x14ac:dyDescent="0.6">
      <c r="A20" s="9" t="s">
        <v>128</v>
      </c>
      <c r="B20" s="9" t="s">
        <v>129</v>
      </c>
      <c r="C20" s="9" t="s">
        <v>130</v>
      </c>
      <c r="D20" s="9" t="s">
        <v>131</v>
      </c>
      <c r="E20" s="9" t="s">
        <v>132</v>
      </c>
      <c r="F20" s="9" t="s">
        <v>133</v>
      </c>
    </row>
    <row r="21" spans="1:10" x14ac:dyDescent="0.6">
      <c r="A21" s="2" t="s">
        <v>134</v>
      </c>
      <c r="B21" s="13">
        <f>COUNTIF('08_종합평가'!U6:U39,"S")</f>
        <v>0</v>
      </c>
      <c r="C21" s="13">
        <f>COUNTIF('08_종합평가'!U6:U39,"A")</f>
        <v>0</v>
      </c>
      <c r="D21" s="13">
        <f>COUNTIF('08_종합평가'!U6:U39,"B")</f>
        <v>0</v>
      </c>
      <c r="E21" s="13">
        <f>COUNTIF('08_종합평가'!U6:U39,"C")</f>
        <v>0</v>
      </c>
      <c r="F21" s="13">
        <f>COUNTIF('08_종합평가'!U6:U39,"D")</f>
        <v>34</v>
      </c>
    </row>
    <row r="24" spans="1:10" x14ac:dyDescent="0.6">
      <c r="A24" s="83" t="s">
        <v>135</v>
      </c>
      <c r="B24" s="66"/>
      <c r="C24" s="66"/>
      <c r="D24" s="66"/>
      <c r="E24" s="66"/>
      <c r="F24" s="66"/>
      <c r="G24" s="66"/>
      <c r="H24" s="66"/>
      <c r="I24" s="66"/>
      <c r="J24" s="67"/>
    </row>
    <row r="25" spans="1:10" x14ac:dyDescent="0.6">
      <c r="A25" s="69" t="s">
        <v>136</v>
      </c>
      <c r="B25" s="66"/>
      <c r="C25" s="66"/>
      <c r="D25" s="66"/>
      <c r="E25" s="66"/>
      <c r="F25" s="66"/>
      <c r="G25" s="66"/>
      <c r="H25" s="66"/>
      <c r="I25" s="66"/>
      <c r="J25" s="67"/>
    </row>
    <row r="26" spans="1:10" x14ac:dyDescent="0.6">
      <c r="A26" s="69" t="s">
        <v>137</v>
      </c>
      <c r="B26" s="66"/>
      <c r="C26" s="66"/>
      <c r="D26" s="66"/>
      <c r="E26" s="66"/>
      <c r="F26" s="66"/>
      <c r="G26" s="66"/>
      <c r="H26" s="66"/>
      <c r="I26" s="66"/>
      <c r="J26" s="67"/>
    </row>
    <row r="27" spans="1:10" x14ac:dyDescent="0.6">
      <c r="A27" s="69" t="s">
        <v>138</v>
      </c>
      <c r="B27" s="66"/>
      <c r="C27" s="66"/>
      <c r="D27" s="66"/>
      <c r="E27" s="66"/>
      <c r="F27" s="66"/>
      <c r="G27" s="66"/>
      <c r="H27" s="66"/>
      <c r="I27" s="66"/>
      <c r="J27" s="67"/>
    </row>
    <row r="28" spans="1:10" x14ac:dyDescent="0.6">
      <c r="A28" s="69" t="s">
        <v>139</v>
      </c>
      <c r="B28" s="66"/>
      <c r="C28" s="66"/>
      <c r="D28" s="66"/>
      <c r="E28" s="66"/>
      <c r="F28" s="66"/>
      <c r="G28" s="66"/>
      <c r="H28" s="66"/>
      <c r="I28" s="66"/>
      <c r="J28" s="67"/>
    </row>
    <row r="29" spans="1:10" x14ac:dyDescent="0.6">
      <c r="A29" s="69" t="s">
        <v>140</v>
      </c>
      <c r="B29" s="66"/>
      <c r="C29" s="66"/>
      <c r="D29" s="66"/>
      <c r="E29" s="66"/>
      <c r="F29" s="66"/>
      <c r="G29" s="66"/>
      <c r="H29" s="66"/>
      <c r="I29" s="66"/>
      <c r="J29" s="67"/>
    </row>
    <row r="30" spans="1:10" x14ac:dyDescent="0.6">
      <c r="A30" s="69" t="s">
        <v>141</v>
      </c>
      <c r="B30" s="66"/>
      <c r="C30" s="66"/>
      <c r="D30" s="66"/>
      <c r="E30" s="66"/>
      <c r="F30" s="66"/>
      <c r="G30" s="66"/>
      <c r="H30" s="66"/>
      <c r="I30" s="66"/>
      <c r="J30" s="67"/>
    </row>
  </sheetData>
  <mergeCells count="18">
    <mergeCell ref="A30:J30"/>
    <mergeCell ref="A28:J28"/>
    <mergeCell ref="A12:J12"/>
    <mergeCell ref="A4:J4"/>
    <mergeCell ref="B14:I14"/>
    <mergeCell ref="A26:J26"/>
    <mergeCell ref="A24:J24"/>
    <mergeCell ref="A29:J29"/>
    <mergeCell ref="A25:J25"/>
    <mergeCell ref="A19:J19"/>
    <mergeCell ref="B17:I17"/>
    <mergeCell ref="B13:I13"/>
    <mergeCell ref="A1:J1"/>
    <mergeCell ref="B15:I15"/>
    <mergeCell ref="A27:J27"/>
    <mergeCell ref="B16:I16"/>
    <mergeCell ref="A3:J3"/>
    <mergeCell ref="A2:J2"/>
  </mergeCells>
  <phoneticPr fontId="16" type="noConversion"/>
  <conditionalFormatting sqref="D6:D10">
    <cfRule type="cellIs" dxfId="64" priority="1" operator="equal">
      <formula>"미시작"</formula>
    </cfRule>
    <cfRule type="cellIs" dxfId="63" priority="2" operator="equal">
      <formula>"진행중"</formula>
    </cfRule>
    <cfRule type="cellIs" dxfId="62" priority="3" operator="equal">
      <formula>"✓ 완료"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N50"/>
  <sheetViews>
    <sheetView workbookViewId="0">
      <pane xSplit="3" ySplit="5" topLeftCell="D6" activePane="bottomRight" state="frozen"/>
      <selection pane="topRight"/>
      <selection pane="bottomLeft"/>
      <selection pane="bottomRight" sqref="A1:N1"/>
    </sheetView>
  </sheetViews>
  <sheetFormatPr defaultRowHeight="16.899999999999999" x14ac:dyDescent="0.6"/>
  <cols>
    <col min="1" max="1" width="5" customWidth="1"/>
    <col min="2" max="3" width="10" customWidth="1"/>
    <col min="4" max="6" width="14" customWidth="1"/>
    <col min="7" max="7" width="10" customWidth="1"/>
    <col min="8" max="8" width="8" customWidth="1"/>
    <col min="9" max="9" width="12" customWidth="1"/>
    <col min="10" max="10" width="9" customWidth="1"/>
    <col min="11" max="11" width="13" customWidth="1"/>
    <col min="12" max="12" width="11" customWidth="1"/>
    <col min="13" max="13" width="22" customWidth="1"/>
    <col min="14" max="14" width="10" customWidth="1"/>
  </cols>
  <sheetData>
    <row r="1" spans="1:14" ht="30" customHeight="1" x14ac:dyDescent="0.6">
      <c r="A1" s="82" t="s">
        <v>142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22.05" customHeight="1" x14ac:dyDescent="0.6">
      <c r="A2" s="80" t="s">
        <v>143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7"/>
    </row>
    <row r="5" spans="1:14" ht="32" customHeight="1" x14ac:dyDescent="0.6">
      <c r="A5" s="15" t="s">
        <v>144</v>
      </c>
      <c r="B5" s="15" t="s">
        <v>145</v>
      </c>
      <c r="C5" s="15" t="s">
        <v>146</v>
      </c>
      <c r="D5" s="15" t="s">
        <v>147</v>
      </c>
      <c r="E5" s="15" t="s">
        <v>148</v>
      </c>
      <c r="F5" s="15" t="s">
        <v>149</v>
      </c>
      <c r="G5" s="15" t="s">
        <v>150</v>
      </c>
      <c r="H5" s="15" t="s">
        <v>151</v>
      </c>
      <c r="I5" s="15" t="s">
        <v>152</v>
      </c>
      <c r="J5" s="15" t="s">
        <v>153</v>
      </c>
      <c r="K5" s="15" t="s">
        <v>154</v>
      </c>
      <c r="L5" s="15" t="s">
        <v>155</v>
      </c>
      <c r="M5" s="15" t="s">
        <v>156</v>
      </c>
      <c r="N5" s="15" t="s">
        <v>157</v>
      </c>
    </row>
    <row r="6" spans="1:14" ht="22.05" customHeight="1" x14ac:dyDescent="0.6">
      <c r="A6" s="12">
        <v>1</v>
      </c>
      <c r="B6" s="16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6" t="s">
        <v>163</v>
      </c>
      <c r="H6" s="17" t="s">
        <v>164</v>
      </c>
      <c r="I6" s="16" t="s">
        <v>165</v>
      </c>
      <c r="J6" s="13">
        <f t="shared" ref="J6:J39" ca="1" si="0">IFERROR(ROUND((TODAY()-DATEVALUE(I6))/365,1),"")</f>
        <v>12.4</v>
      </c>
      <c r="K6" s="18">
        <v>72500000</v>
      </c>
      <c r="L6" s="13">
        <f>IFERROR(INDEX('15_직원별책무매핑'!$E:$E,MATCH(B6,'15_직원별책무매핑'!$B:$B,0)),0)</f>
        <v>0</v>
      </c>
      <c r="M6" s="4" t="str">
        <f t="shared" ref="M6:M39" si="1">E6&amp;"_"&amp;H6</f>
        <v>프로젝트영업_G6</v>
      </c>
      <c r="N6" s="1"/>
    </row>
    <row r="7" spans="1:14" ht="22.05" customHeight="1" x14ac:dyDescent="0.6">
      <c r="A7" s="12">
        <v>2</v>
      </c>
      <c r="B7" s="16" t="s">
        <v>166</v>
      </c>
      <c r="C7" s="1" t="s">
        <v>167</v>
      </c>
      <c r="D7" s="1" t="s">
        <v>168</v>
      </c>
      <c r="E7" s="1" t="s">
        <v>169</v>
      </c>
      <c r="F7" s="1" t="s">
        <v>170</v>
      </c>
      <c r="G7" s="16" t="s">
        <v>171</v>
      </c>
      <c r="H7" s="17" t="s">
        <v>164</v>
      </c>
      <c r="I7" s="16" t="s">
        <v>172</v>
      </c>
      <c r="J7" s="13">
        <f t="shared" ca="1" si="0"/>
        <v>12.2</v>
      </c>
      <c r="K7" s="18">
        <v>68870000</v>
      </c>
      <c r="L7" s="13">
        <f>IFERROR(INDEX('15_직원별책무매핑'!$E:$E,MATCH(B7,'15_직원별책무매핑'!$B:$B,0)),0)</f>
        <v>0</v>
      </c>
      <c r="M7" s="4" t="str">
        <f t="shared" si="1"/>
        <v>연구개발(R&amp;D)_G6</v>
      </c>
      <c r="N7" s="1"/>
    </row>
    <row r="8" spans="1:14" ht="22.05" customHeight="1" x14ac:dyDescent="0.6">
      <c r="A8" s="12">
        <v>3</v>
      </c>
      <c r="B8" s="16" t="s">
        <v>173</v>
      </c>
      <c r="C8" s="1" t="s">
        <v>174</v>
      </c>
      <c r="D8" s="1" t="s">
        <v>175</v>
      </c>
      <c r="E8" s="1" t="s">
        <v>176</v>
      </c>
      <c r="F8" s="1" t="s">
        <v>177</v>
      </c>
      <c r="G8" s="16" t="s">
        <v>171</v>
      </c>
      <c r="H8" s="17" t="s">
        <v>164</v>
      </c>
      <c r="I8" s="16" t="s">
        <v>178</v>
      </c>
      <c r="J8" s="13">
        <f t="shared" ca="1" si="0"/>
        <v>12.2</v>
      </c>
      <c r="K8" s="18">
        <v>67500000</v>
      </c>
      <c r="L8" s="13">
        <f>IFERROR(INDEX('15_직원별책무매핑'!$E:$E,MATCH(B8,'15_직원별책무매핑'!$B:$B,0)),0)</f>
        <v>0</v>
      </c>
      <c r="M8" s="4" t="str">
        <f t="shared" si="1"/>
        <v>BIM컨설팅_G6</v>
      </c>
      <c r="N8" s="1"/>
    </row>
    <row r="9" spans="1:14" ht="22.05" customHeight="1" x14ac:dyDescent="0.6">
      <c r="A9" s="12">
        <v>4</v>
      </c>
      <c r="B9" s="16" t="s">
        <v>179</v>
      </c>
      <c r="C9" s="1" t="s">
        <v>180</v>
      </c>
      <c r="D9" s="1" t="s">
        <v>181</v>
      </c>
      <c r="E9" s="1" t="s">
        <v>182</v>
      </c>
      <c r="F9" s="1" t="s">
        <v>183</v>
      </c>
      <c r="G9" s="16" t="s">
        <v>184</v>
      </c>
      <c r="H9" s="17" t="s">
        <v>164</v>
      </c>
      <c r="I9" s="16" t="s">
        <v>185</v>
      </c>
      <c r="J9" s="13">
        <f t="shared" ca="1" si="0"/>
        <v>12.1</v>
      </c>
      <c r="K9" s="18">
        <v>64530000</v>
      </c>
      <c r="L9" s="13">
        <f>IFERROR(INDEX('15_직원별책무매핑'!$E:$E,MATCH(B9,'15_직원별책무매핑'!$B:$B,0)),0)</f>
        <v>0</v>
      </c>
      <c r="M9" s="4" t="str">
        <f t="shared" si="1"/>
        <v>경영전략기획_G6</v>
      </c>
      <c r="N9" s="1"/>
    </row>
    <row r="10" spans="1:14" ht="22.05" customHeight="1" x14ac:dyDescent="0.6">
      <c r="A10" s="12">
        <v>5</v>
      </c>
      <c r="B10" s="16" t="s">
        <v>186</v>
      </c>
      <c r="C10" s="1" t="s">
        <v>187</v>
      </c>
      <c r="D10" s="1" t="s">
        <v>181</v>
      </c>
      <c r="E10" s="1" t="s">
        <v>182</v>
      </c>
      <c r="F10" s="1" t="s">
        <v>183</v>
      </c>
      <c r="G10" s="16" t="s">
        <v>184</v>
      </c>
      <c r="H10" s="17" t="s">
        <v>164</v>
      </c>
      <c r="I10" s="16" t="s">
        <v>188</v>
      </c>
      <c r="J10" s="13">
        <f t="shared" ca="1" si="0"/>
        <v>11</v>
      </c>
      <c r="K10" s="18">
        <v>65180000</v>
      </c>
      <c r="L10" s="13">
        <f>IFERROR(INDEX('15_직원별책무매핑'!$E:$E,MATCH(B10,'15_직원별책무매핑'!$B:$B,0)),0)</f>
        <v>0</v>
      </c>
      <c r="M10" s="4" t="str">
        <f t="shared" si="1"/>
        <v>경영전략기획_G6</v>
      </c>
      <c r="N10" s="1"/>
    </row>
    <row r="11" spans="1:14" ht="22.05" customHeight="1" x14ac:dyDescent="0.6">
      <c r="A11" s="12">
        <v>6</v>
      </c>
      <c r="B11" s="16" t="s">
        <v>189</v>
      </c>
      <c r="C11" s="1" t="s">
        <v>190</v>
      </c>
      <c r="D11" s="1" t="s">
        <v>181</v>
      </c>
      <c r="E11" s="1" t="s">
        <v>182</v>
      </c>
      <c r="F11" s="1" t="s">
        <v>183</v>
      </c>
      <c r="G11" s="16" t="s">
        <v>184</v>
      </c>
      <c r="H11" s="17" t="s">
        <v>164</v>
      </c>
      <c r="I11" s="16" t="s">
        <v>191</v>
      </c>
      <c r="J11" s="13">
        <f t="shared" ca="1" si="0"/>
        <v>10.9</v>
      </c>
      <c r="K11" s="18">
        <v>62000000</v>
      </c>
      <c r="L11" s="13">
        <f>IFERROR(INDEX('15_직원별책무매핑'!$E:$E,MATCH(B11,'15_직원별책무매핑'!$B:$B,0)),0)</f>
        <v>0</v>
      </c>
      <c r="M11" s="4" t="str">
        <f t="shared" si="1"/>
        <v>경영전략기획_G6</v>
      </c>
      <c r="N11" s="1"/>
    </row>
    <row r="12" spans="1:14" ht="22.05" customHeight="1" x14ac:dyDescent="0.6">
      <c r="A12" s="12">
        <v>7</v>
      </c>
      <c r="B12" s="16" t="s">
        <v>192</v>
      </c>
      <c r="C12" s="1" t="s">
        <v>193</v>
      </c>
      <c r="D12" s="1" t="s">
        <v>194</v>
      </c>
      <c r="E12" s="1" t="s">
        <v>195</v>
      </c>
      <c r="F12" s="1" t="s">
        <v>196</v>
      </c>
      <c r="G12" s="16" t="s">
        <v>197</v>
      </c>
      <c r="H12" s="17" t="s">
        <v>198</v>
      </c>
      <c r="I12" s="16" t="s">
        <v>199</v>
      </c>
      <c r="J12" s="13">
        <f t="shared" ca="1" si="0"/>
        <v>10.8</v>
      </c>
      <c r="K12" s="18">
        <v>59700000</v>
      </c>
      <c r="L12" s="13">
        <f>IFERROR(INDEX('15_직원별책무매핑'!$E:$E,MATCH(B12,'15_직원별책무매핑'!$B:$B,0)),0)</f>
        <v>0</v>
      </c>
      <c r="M12" s="4" t="str">
        <f t="shared" si="1"/>
        <v>교육_G5-M</v>
      </c>
      <c r="N12" s="1"/>
    </row>
    <row r="13" spans="1:14" ht="22.05" customHeight="1" x14ac:dyDescent="0.6">
      <c r="A13" s="12">
        <v>8</v>
      </c>
      <c r="B13" s="16" t="s">
        <v>200</v>
      </c>
      <c r="C13" s="1" t="s">
        <v>201</v>
      </c>
      <c r="D13" s="1" t="s">
        <v>194</v>
      </c>
      <c r="E13" s="1" t="s">
        <v>202</v>
      </c>
      <c r="F13" s="1" t="s">
        <v>196</v>
      </c>
      <c r="G13" s="16" t="s">
        <v>197</v>
      </c>
      <c r="H13" s="17" t="s">
        <v>198</v>
      </c>
      <c r="I13" s="16" t="s">
        <v>203</v>
      </c>
      <c r="J13" s="13">
        <f t="shared" ca="1" si="0"/>
        <v>10.8</v>
      </c>
      <c r="K13" s="18">
        <v>59050000</v>
      </c>
      <c r="L13" s="13">
        <f>IFERROR(INDEX('15_직원별책무매핑'!$E:$E,MATCH(B13,'15_직원별책무매핑'!$B:$B,0)),0)</f>
        <v>0</v>
      </c>
      <c r="M13" s="4" t="str">
        <f t="shared" si="1"/>
        <v>기술지원_G5-M</v>
      </c>
      <c r="N13" s="1"/>
    </row>
    <row r="14" spans="1:14" ht="22.05" customHeight="1" x14ac:dyDescent="0.6">
      <c r="A14" s="12">
        <v>9</v>
      </c>
      <c r="B14" s="16" t="s">
        <v>204</v>
      </c>
      <c r="C14" s="1" t="s">
        <v>205</v>
      </c>
      <c r="D14" s="1" t="s">
        <v>175</v>
      </c>
      <c r="E14" s="1" t="s">
        <v>176</v>
      </c>
      <c r="F14" s="1" t="s">
        <v>177</v>
      </c>
      <c r="G14" s="16" t="s">
        <v>197</v>
      </c>
      <c r="H14" s="17" t="s">
        <v>198</v>
      </c>
      <c r="I14" s="16" t="s">
        <v>206</v>
      </c>
      <c r="J14" s="13">
        <f t="shared" ca="1" si="0"/>
        <v>9.6999999999999993</v>
      </c>
      <c r="K14" s="18">
        <v>59050000</v>
      </c>
      <c r="L14" s="13">
        <f>IFERROR(INDEX('15_직원별책무매핑'!$E:$E,MATCH(B14,'15_직원별책무매핑'!$B:$B,0)),0)</f>
        <v>0</v>
      </c>
      <c r="M14" s="4" t="str">
        <f t="shared" si="1"/>
        <v>BIM컨설팅_G5-M</v>
      </c>
      <c r="N14" s="1"/>
    </row>
    <row r="15" spans="1:14" ht="22.05" customHeight="1" x14ac:dyDescent="0.6">
      <c r="A15" s="12">
        <v>10</v>
      </c>
      <c r="B15" s="16" t="s">
        <v>207</v>
      </c>
      <c r="C15" s="1" t="s">
        <v>208</v>
      </c>
      <c r="D15" s="1" t="s">
        <v>175</v>
      </c>
      <c r="E15" s="1" t="s">
        <v>176</v>
      </c>
      <c r="F15" s="1" t="s">
        <v>177</v>
      </c>
      <c r="G15" s="16" t="s">
        <v>197</v>
      </c>
      <c r="H15" s="17" t="s">
        <v>209</v>
      </c>
      <c r="I15" s="16" t="s">
        <v>210</v>
      </c>
      <c r="J15" s="13">
        <f t="shared" ca="1" si="0"/>
        <v>9.6</v>
      </c>
      <c r="K15" s="18">
        <v>59050000</v>
      </c>
      <c r="L15" s="13">
        <f>IFERROR(INDEX('15_직원별책무매핑'!$E:$E,MATCH(B15,'15_직원별책무매핑'!$B:$B,0)),0)</f>
        <v>0</v>
      </c>
      <c r="M15" s="4" t="str">
        <f t="shared" si="1"/>
        <v>BIM컨설팅_G5-S</v>
      </c>
      <c r="N15" s="1"/>
    </row>
    <row r="16" spans="1:14" ht="22.05" customHeight="1" x14ac:dyDescent="0.6">
      <c r="A16" s="12">
        <v>11</v>
      </c>
      <c r="B16" s="16" t="s">
        <v>211</v>
      </c>
      <c r="C16" s="1" t="s">
        <v>212</v>
      </c>
      <c r="D16" s="1" t="s">
        <v>175</v>
      </c>
      <c r="E16" s="1" t="s">
        <v>176</v>
      </c>
      <c r="F16" s="1" t="s">
        <v>177</v>
      </c>
      <c r="G16" s="16" t="s">
        <v>197</v>
      </c>
      <c r="H16" s="17" t="s">
        <v>209</v>
      </c>
      <c r="I16" s="16" t="s">
        <v>213</v>
      </c>
      <c r="J16" s="13">
        <f t="shared" ca="1" si="0"/>
        <v>9.5</v>
      </c>
      <c r="K16" s="18">
        <v>57760000</v>
      </c>
      <c r="L16" s="13">
        <f>IFERROR(INDEX('15_직원별책무매핑'!$E:$E,MATCH(B16,'15_직원별책무매핑'!$B:$B,0)),0)</f>
        <v>0</v>
      </c>
      <c r="M16" s="4" t="str">
        <f t="shared" si="1"/>
        <v>BIM컨설팅_G5-S</v>
      </c>
      <c r="N16" s="1"/>
    </row>
    <row r="17" spans="1:14" ht="22.05" customHeight="1" x14ac:dyDescent="0.6">
      <c r="A17" s="12">
        <v>12</v>
      </c>
      <c r="B17" s="16" t="s">
        <v>214</v>
      </c>
      <c r="C17" s="1" t="s">
        <v>215</v>
      </c>
      <c r="D17" s="1" t="s">
        <v>181</v>
      </c>
      <c r="E17" s="1" t="s">
        <v>182</v>
      </c>
      <c r="F17" s="1" t="s">
        <v>216</v>
      </c>
      <c r="G17" s="16" t="s">
        <v>197</v>
      </c>
      <c r="H17" s="17" t="s">
        <v>198</v>
      </c>
      <c r="I17" s="16" t="s">
        <v>217</v>
      </c>
      <c r="J17" s="13">
        <f t="shared" ca="1" si="0"/>
        <v>9.5</v>
      </c>
      <c r="K17" s="18">
        <v>57760000</v>
      </c>
      <c r="L17" s="13">
        <f>IFERROR(INDEX('15_직원별책무매핑'!$E:$E,MATCH(B17,'15_직원별책무매핑'!$B:$B,0)),0)</f>
        <v>0</v>
      </c>
      <c r="M17" s="4" t="str">
        <f t="shared" si="1"/>
        <v>경영전략기획_G5-M</v>
      </c>
      <c r="N17" s="1"/>
    </row>
    <row r="18" spans="1:14" ht="22.05" customHeight="1" x14ac:dyDescent="0.6">
      <c r="A18" s="12">
        <v>13</v>
      </c>
      <c r="B18" s="16" t="s">
        <v>218</v>
      </c>
      <c r="C18" s="1" t="s">
        <v>219</v>
      </c>
      <c r="D18" s="1" t="s">
        <v>175</v>
      </c>
      <c r="E18" s="1" t="s">
        <v>176</v>
      </c>
      <c r="F18" s="1" t="s">
        <v>177</v>
      </c>
      <c r="G18" s="16" t="s">
        <v>197</v>
      </c>
      <c r="H18" s="17" t="s">
        <v>209</v>
      </c>
      <c r="I18" s="16" t="s">
        <v>220</v>
      </c>
      <c r="J18" s="13">
        <f t="shared" ca="1" si="0"/>
        <v>9.3000000000000007</v>
      </c>
      <c r="K18" s="18">
        <v>58400000</v>
      </c>
      <c r="L18" s="13">
        <f>IFERROR(INDEX('15_직원별책무매핑'!$E:$E,MATCH(B18,'15_직원별책무매핑'!$B:$B,0)),0)</f>
        <v>0</v>
      </c>
      <c r="M18" s="4" t="str">
        <f t="shared" si="1"/>
        <v>BIM컨설팅_G5-S</v>
      </c>
      <c r="N18" s="1"/>
    </row>
    <row r="19" spans="1:14" ht="22.05" customHeight="1" x14ac:dyDescent="0.6">
      <c r="A19" s="12">
        <v>14</v>
      </c>
      <c r="B19" s="16" t="s">
        <v>221</v>
      </c>
      <c r="C19" s="1" t="s">
        <v>222</v>
      </c>
      <c r="D19" s="1" t="s">
        <v>175</v>
      </c>
      <c r="E19" s="1" t="s">
        <v>176</v>
      </c>
      <c r="F19" s="1" t="s">
        <v>177</v>
      </c>
      <c r="G19" s="16" t="s">
        <v>197</v>
      </c>
      <c r="H19" s="17" t="s">
        <v>209</v>
      </c>
      <c r="I19" s="16" t="s">
        <v>223</v>
      </c>
      <c r="J19" s="13">
        <f t="shared" ca="1" si="0"/>
        <v>9.1999999999999993</v>
      </c>
      <c r="K19" s="18">
        <v>56500000</v>
      </c>
      <c r="L19" s="13">
        <f>IFERROR(INDEX('15_직원별책무매핑'!$E:$E,MATCH(B19,'15_직원별책무매핑'!$B:$B,0)),0)</f>
        <v>0</v>
      </c>
      <c r="M19" s="4" t="str">
        <f t="shared" si="1"/>
        <v>BIM컨설팅_G5-S</v>
      </c>
      <c r="N19" s="1"/>
    </row>
    <row r="20" spans="1:14" ht="22.05" customHeight="1" x14ac:dyDescent="0.6">
      <c r="A20" s="12">
        <v>15</v>
      </c>
      <c r="B20" s="16" t="s">
        <v>224</v>
      </c>
      <c r="C20" s="1" t="s">
        <v>225</v>
      </c>
      <c r="D20" s="1" t="s">
        <v>175</v>
      </c>
      <c r="E20" s="1" t="s">
        <v>176</v>
      </c>
      <c r="F20" s="1" t="s">
        <v>177</v>
      </c>
      <c r="G20" s="16" t="s">
        <v>226</v>
      </c>
      <c r="H20" s="17" t="s">
        <v>209</v>
      </c>
      <c r="I20" s="16" t="s">
        <v>227</v>
      </c>
      <c r="J20" s="13">
        <f t="shared" ca="1" si="0"/>
        <v>9.1</v>
      </c>
      <c r="K20" s="18">
        <v>53160000</v>
      </c>
      <c r="L20" s="13">
        <f>IFERROR(INDEX('15_직원별책무매핑'!$E:$E,MATCH(B20,'15_직원별책무매핑'!$B:$B,0)),0)</f>
        <v>0</v>
      </c>
      <c r="M20" s="4" t="str">
        <f t="shared" si="1"/>
        <v>BIM컨설팅_G5-S</v>
      </c>
      <c r="N20" s="1"/>
    </row>
    <row r="21" spans="1:14" ht="22.05" customHeight="1" x14ac:dyDescent="0.6">
      <c r="A21" s="12">
        <v>16</v>
      </c>
      <c r="B21" s="16" t="s">
        <v>228</v>
      </c>
      <c r="C21" s="1" t="s">
        <v>229</v>
      </c>
      <c r="D21" s="1" t="s">
        <v>175</v>
      </c>
      <c r="E21" s="1" t="s">
        <v>176</v>
      </c>
      <c r="F21" s="1" t="s">
        <v>177</v>
      </c>
      <c r="G21" s="16" t="s">
        <v>226</v>
      </c>
      <c r="H21" s="17" t="s">
        <v>209</v>
      </c>
      <c r="I21" s="16" t="s">
        <v>230</v>
      </c>
      <c r="J21" s="13">
        <f t="shared" ca="1" si="0"/>
        <v>9.1</v>
      </c>
      <c r="K21" s="18">
        <v>53750000</v>
      </c>
      <c r="L21" s="13">
        <f>IFERROR(INDEX('15_직원별책무매핑'!$E:$E,MATCH(B21,'15_직원별책무매핑'!$B:$B,0)),0)</f>
        <v>0</v>
      </c>
      <c r="M21" s="4" t="str">
        <f t="shared" si="1"/>
        <v>BIM컨설팅_G5-S</v>
      </c>
      <c r="N21" s="1"/>
    </row>
    <row r="22" spans="1:14" ht="22.05" customHeight="1" x14ac:dyDescent="0.6">
      <c r="A22" s="12">
        <v>17</v>
      </c>
      <c r="B22" s="16" t="s">
        <v>231</v>
      </c>
      <c r="C22" s="1" t="s">
        <v>232</v>
      </c>
      <c r="D22" s="1" t="s">
        <v>194</v>
      </c>
      <c r="E22" s="1" t="s">
        <v>195</v>
      </c>
      <c r="F22" s="1" t="s">
        <v>196</v>
      </c>
      <c r="G22" s="16" t="s">
        <v>233</v>
      </c>
      <c r="H22" s="17" t="s">
        <v>234</v>
      </c>
      <c r="I22" s="16" t="s">
        <v>235</v>
      </c>
      <c r="J22" s="13">
        <f t="shared" ca="1" si="0"/>
        <v>8</v>
      </c>
      <c r="K22" s="18">
        <v>49240000</v>
      </c>
      <c r="L22" s="13">
        <f>IFERROR(INDEX('15_직원별책무매핑'!$E:$E,MATCH(B22,'15_직원별책무매핑'!$B:$B,0)),0)</f>
        <v>0</v>
      </c>
      <c r="M22" s="4" t="str">
        <f t="shared" si="1"/>
        <v>교육_G4</v>
      </c>
      <c r="N22" s="1"/>
    </row>
    <row r="23" spans="1:14" ht="22.05" customHeight="1" x14ac:dyDescent="0.6">
      <c r="A23" s="12">
        <v>18</v>
      </c>
      <c r="B23" s="16" t="s">
        <v>236</v>
      </c>
      <c r="C23" s="1" t="s">
        <v>237</v>
      </c>
      <c r="D23" s="1" t="s">
        <v>175</v>
      </c>
      <c r="E23" s="1" t="s">
        <v>176</v>
      </c>
      <c r="F23" s="1" t="s">
        <v>177</v>
      </c>
      <c r="G23" s="16" t="s">
        <v>233</v>
      </c>
      <c r="H23" s="17" t="s">
        <v>234</v>
      </c>
      <c r="I23" s="16" t="s">
        <v>238</v>
      </c>
      <c r="J23" s="13">
        <f t="shared" ca="1" si="0"/>
        <v>7.9</v>
      </c>
      <c r="K23" s="18">
        <v>48650000</v>
      </c>
      <c r="L23" s="13">
        <f>IFERROR(INDEX('15_직원별책무매핑'!$E:$E,MATCH(B23,'15_직원별책무매핑'!$B:$B,0)),0)</f>
        <v>0</v>
      </c>
      <c r="M23" s="4" t="str">
        <f t="shared" si="1"/>
        <v>BIM컨설팅_G4</v>
      </c>
      <c r="N23" s="1"/>
    </row>
    <row r="24" spans="1:14" ht="22.05" customHeight="1" x14ac:dyDescent="0.6">
      <c r="A24" s="12">
        <v>19</v>
      </c>
      <c r="B24" s="16" t="s">
        <v>239</v>
      </c>
      <c r="C24" s="1" t="s">
        <v>240</v>
      </c>
      <c r="D24" s="1" t="s">
        <v>175</v>
      </c>
      <c r="E24" s="1" t="s">
        <v>176</v>
      </c>
      <c r="F24" s="1" t="s">
        <v>177</v>
      </c>
      <c r="G24" s="16" t="s">
        <v>233</v>
      </c>
      <c r="H24" s="17" t="s">
        <v>241</v>
      </c>
      <c r="I24" s="16" t="s">
        <v>242</v>
      </c>
      <c r="J24" s="13">
        <f t="shared" ca="1" si="0"/>
        <v>7.8</v>
      </c>
      <c r="K24" s="18">
        <v>47500000</v>
      </c>
      <c r="L24" s="13">
        <f>IFERROR(INDEX('15_직원별책무매핑'!$E:$E,MATCH(B24,'15_직원별책무매핑'!$B:$B,0)),0)</f>
        <v>0</v>
      </c>
      <c r="M24" s="4" t="str">
        <f t="shared" si="1"/>
        <v>BIM컨설팅_G3</v>
      </c>
      <c r="N24" s="1"/>
    </row>
    <row r="25" spans="1:14" ht="22.05" customHeight="1" x14ac:dyDescent="0.6">
      <c r="A25" s="12">
        <v>20</v>
      </c>
      <c r="B25" s="16" t="s">
        <v>243</v>
      </c>
      <c r="C25" s="1" t="s">
        <v>244</v>
      </c>
      <c r="D25" s="1" t="s">
        <v>194</v>
      </c>
      <c r="E25" s="1" t="s">
        <v>202</v>
      </c>
      <c r="F25" s="1" t="s">
        <v>196</v>
      </c>
      <c r="G25" s="16" t="s">
        <v>245</v>
      </c>
      <c r="H25" s="17" t="s">
        <v>241</v>
      </c>
      <c r="I25" s="16" t="s">
        <v>246</v>
      </c>
      <c r="J25" s="13">
        <f t="shared" ca="1" si="0"/>
        <v>7.8</v>
      </c>
      <c r="K25" s="18">
        <v>43060000</v>
      </c>
      <c r="L25" s="13">
        <f>IFERROR(INDEX('15_직원별책무매핑'!$E:$E,MATCH(B25,'15_직원별책무매핑'!$B:$B,0)),0)</f>
        <v>0</v>
      </c>
      <c r="M25" s="4" t="str">
        <f t="shared" si="1"/>
        <v>기술지원_G3</v>
      </c>
      <c r="N25" s="1"/>
    </row>
    <row r="26" spans="1:14" ht="22.05" customHeight="1" x14ac:dyDescent="0.6">
      <c r="A26" s="12">
        <v>21</v>
      </c>
      <c r="B26" s="16" t="s">
        <v>247</v>
      </c>
      <c r="C26" s="1" t="s">
        <v>248</v>
      </c>
      <c r="D26" s="1" t="s">
        <v>175</v>
      </c>
      <c r="E26" s="1" t="s">
        <v>176</v>
      </c>
      <c r="F26" s="1" t="s">
        <v>177</v>
      </c>
      <c r="G26" s="16" t="s">
        <v>245</v>
      </c>
      <c r="H26" s="17" t="s">
        <v>249</v>
      </c>
      <c r="I26" s="16" t="s">
        <v>250</v>
      </c>
      <c r="J26" s="13">
        <f t="shared" ca="1" si="0"/>
        <v>6.7</v>
      </c>
      <c r="K26" s="18">
        <v>42500000</v>
      </c>
      <c r="L26" s="13">
        <f>IFERROR(INDEX('15_직원별책무매핑'!$E:$E,MATCH(B26,'15_직원별책무매핑'!$B:$B,0)),0)</f>
        <v>0</v>
      </c>
      <c r="M26" s="4" t="str">
        <f t="shared" si="1"/>
        <v>BIM컨설팅_G2</v>
      </c>
      <c r="N26" s="1"/>
    </row>
    <row r="27" spans="1:14" ht="22.05" customHeight="1" x14ac:dyDescent="0.6">
      <c r="A27" s="12">
        <v>22</v>
      </c>
      <c r="B27" s="16" t="s">
        <v>251</v>
      </c>
      <c r="C27" s="1" t="s">
        <v>252</v>
      </c>
      <c r="D27" s="1" t="s">
        <v>175</v>
      </c>
      <c r="E27" s="1" t="s">
        <v>176</v>
      </c>
      <c r="F27" s="1" t="s">
        <v>177</v>
      </c>
      <c r="G27" s="16" t="s">
        <v>245</v>
      </c>
      <c r="H27" s="17" t="s">
        <v>249</v>
      </c>
      <c r="I27" s="16" t="s">
        <v>253</v>
      </c>
      <c r="J27" s="13">
        <f t="shared" ca="1" si="0"/>
        <v>6.6</v>
      </c>
      <c r="K27" s="18">
        <v>42500000</v>
      </c>
      <c r="L27" s="13">
        <f>IFERROR(INDEX('15_직원별책무매핑'!$E:$E,MATCH(B27,'15_직원별책무매핑'!$B:$B,0)),0)</f>
        <v>0</v>
      </c>
      <c r="M27" s="4" t="str">
        <f t="shared" si="1"/>
        <v>BIM컨설팅_G2</v>
      </c>
      <c r="N27" s="1"/>
    </row>
    <row r="28" spans="1:14" ht="22.05" customHeight="1" x14ac:dyDescent="0.6">
      <c r="A28" s="12">
        <v>23</v>
      </c>
      <c r="B28" s="16" t="s">
        <v>254</v>
      </c>
      <c r="C28" s="1" t="s">
        <v>255</v>
      </c>
      <c r="D28" s="1" t="s">
        <v>175</v>
      </c>
      <c r="E28" s="1" t="s">
        <v>176</v>
      </c>
      <c r="F28" s="1" t="s">
        <v>177</v>
      </c>
      <c r="G28" s="16" t="s">
        <v>245</v>
      </c>
      <c r="H28" s="17" t="s">
        <v>249</v>
      </c>
      <c r="I28" s="16" t="s">
        <v>256</v>
      </c>
      <c r="J28" s="13">
        <f t="shared" ca="1" si="0"/>
        <v>6.5</v>
      </c>
      <c r="K28" s="18">
        <v>42500000</v>
      </c>
      <c r="L28" s="13">
        <f>IFERROR(INDEX('15_직원별책무매핑'!$E:$E,MATCH(B28,'15_직원별책무매핑'!$B:$B,0)),0)</f>
        <v>0</v>
      </c>
      <c r="M28" s="4" t="str">
        <f t="shared" si="1"/>
        <v>BIM컨설팅_G2</v>
      </c>
      <c r="N28" s="1"/>
    </row>
    <row r="29" spans="1:14" ht="22.05" customHeight="1" x14ac:dyDescent="0.6">
      <c r="A29" s="12">
        <v>24</v>
      </c>
      <c r="B29" s="16" t="s">
        <v>257</v>
      </c>
      <c r="C29" s="1" t="s">
        <v>258</v>
      </c>
      <c r="D29" s="1" t="s">
        <v>175</v>
      </c>
      <c r="E29" s="1" t="s">
        <v>176</v>
      </c>
      <c r="F29" s="1" t="s">
        <v>177</v>
      </c>
      <c r="G29" s="16" t="s">
        <v>245</v>
      </c>
      <c r="H29" s="17" t="s">
        <v>249</v>
      </c>
      <c r="I29" s="16" t="s">
        <v>259</v>
      </c>
      <c r="J29" s="13">
        <f t="shared" ca="1" si="0"/>
        <v>6.5</v>
      </c>
      <c r="K29" s="18">
        <v>42500000</v>
      </c>
      <c r="L29" s="13">
        <f>IFERROR(INDEX('15_직원별책무매핑'!$E:$E,MATCH(B29,'15_직원별책무매핑'!$B:$B,0)),0)</f>
        <v>0</v>
      </c>
      <c r="M29" s="4" t="str">
        <f t="shared" si="1"/>
        <v>BIM컨설팅_G2</v>
      </c>
      <c r="N29" s="1"/>
    </row>
    <row r="30" spans="1:14" ht="22.05" customHeight="1" x14ac:dyDescent="0.6">
      <c r="A30" s="12">
        <v>25</v>
      </c>
      <c r="B30" s="16" t="s">
        <v>260</v>
      </c>
      <c r="C30" s="1" t="s">
        <v>261</v>
      </c>
      <c r="D30" s="1" t="s">
        <v>168</v>
      </c>
      <c r="E30" s="1" t="s">
        <v>169</v>
      </c>
      <c r="F30" s="1" t="s">
        <v>177</v>
      </c>
      <c r="G30" s="16" t="s">
        <v>245</v>
      </c>
      <c r="H30" s="17" t="s">
        <v>249</v>
      </c>
      <c r="I30" s="16" t="s">
        <v>262</v>
      </c>
      <c r="J30" s="13">
        <f t="shared" ca="1" si="0"/>
        <v>6.3</v>
      </c>
      <c r="K30" s="18">
        <v>42500000</v>
      </c>
      <c r="L30" s="13">
        <f>IFERROR(INDEX('15_직원별책무매핑'!$E:$E,MATCH(B30,'15_직원별책무매핑'!$B:$B,0)),0)</f>
        <v>0</v>
      </c>
      <c r="M30" s="4" t="str">
        <f t="shared" si="1"/>
        <v>연구개발(R&amp;D)_G2</v>
      </c>
      <c r="N30" s="1"/>
    </row>
    <row r="31" spans="1:14" ht="22.05" customHeight="1" x14ac:dyDescent="0.6">
      <c r="A31" s="12">
        <v>26</v>
      </c>
      <c r="B31" s="16" t="s">
        <v>263</v>
      </c>
      <c r="C31" s="1" t="s">
        <v>264</v>
      </c>
      <c r="D31" s="1" t="s">
        <v>181</v>
      </c>
      <c r="E31" s="1" t="s">
        <v>182</v>
      </c>
      <c r="F31" s="1" t="s">
        <v>216</v>
      </c>
      <c r="G31" s="16" t="s">
        <v>265</v>
      </c>
      <c r="H31" s="17" t="s">
        <v>266</v>
      </c>
      <c r="I31" s="16" t="s">
        <v>267</v>
      </c>
      <c r="J31" s="13">
        <f t="shared" ca="1" si="0"/>
        <v>6.2</v>
      </c>
      <c r="K31" s="18">
        <v>34935000</v>
      </c>
      <c r="L31" s="13">
        <f>IFERROR(INDEX('15_직원별책무매핑'!$E:$E,MATCH(B31,'15_직원별책무매핑'!$B:$B,0)),0)</f>
        <v>0</v>
      </c>
      <c r="M31" s="4" t="str">
        <f t="shared" si="1"/>
        <v>경영전략기획_G1</v>
      </c>
      <c r="N31" s="1"/>
    </row>
    <row r="32" spans="1:14" ht="22.05" customHeight="1" x14ac:dyDescent="0.6">
      <c r="A32" s="12">
        <v>27</v>
      </c>
      <c r="B32" s="16" t="s">
        <v>268</v>
      </c>
      <c r="C32" s="1" t="s">
        <v>269</v>
      </c>
      <c r="D32" s="1" t="s">
        <v>194</v>
      </c>
      <c r="E32" s="1" t="s">
        <v>195</v>
      </c>
      <c r="F32" s="1" t="s">
        <v>196</v>
      </c>
      <c r="G32" s="16" t="s">
        <v>265</v>
      </c>
      <c r="H32" s="17" t="s">
        <v>249</v>
      </c>
      <c r="I32" s="16" t="s">
        <v>270</v>
      </c>
      <c r="J32" s="13">
        <f t="shared" ca="1" si="0"/>
        <v>6.1</v>
      </c>
      <c r="K32" s="18">
        <v>35000000</v>
      </c>
      <c r="L32" s="13">
        <f>IFERROR(INDEX('15_직원별책무매핑'!$E:$E,MATCH(B32,'15_직원별책무매핑'!$B:$B,0)),0)</f>
        <v>0</v>
      </c>
      <c r="M32" s="4" t="str">
        <f t="shared" si="1"/>
        <v>교육_G2</v>
      </c>
      <c r="N32" s="1"/>
    </row>
    <row r="33" spans="1:14" ht="22.05" customHeight="1" x14ac:dyDescent="0.6">
      <c r="A33" s="12">
        <v>28</v>
      </c>
      <c r="B33" s="16" t="s">
        <v>271</v>
      </c>
      <c r="C33" s="1" t="s">
        <v>272</v>
      </c>
      <c r="D33" s="1" t="s">
        <v>175</v>
      </c>
      <c r="E33" s="1" t="s">
        <v>176</v>
      </c>
      <c r="F33" s="1" t="s">
        <v>177</v>
      </c>
      <c r="G33" s="16" t="s">
        <v>265</v>
      </c>
      <c r="H33" s="17" t="s">
        <v>266</v>
      </c>
      <c r="I33" s="16" t="s">
        <v>273</v>
      </c>
      <c r="J33" s="13">
        <f t="shared" ca="1" si="0"/>
        <v>6.1</v>
      </c>
      <c r="K33" s="18">
        <v>36000000</v>
      </c>
      <c r="L33" s="13">
        <f>IFERROR(INDEX('15_직원별책무매핑'!$E:$E,MATCH(B33,'15_직원별책무매핑'!$B:$B,0)),0)</f>
        <v>0</v>
      </c>
      <c r="M33" s="4" t="str">
        <f t="shared" si="1"/>
        <v>BIM컨설팅_G1</v>
      </c>
      <c r="N33" s="1"/>
    </row>
    <row r="34" spans="1:14" ht="22.05" customHeight="1" x14ac:dyDescent="0.6">
      <c r="A34" s="12">
        <v>29</v>
      </c>
      <c r="B34" s="16" t="s">
        <v>274</v>
      </c>
      <c r="C34" s="1" t="s">
        <v>275</v>
      </c>
      <c r="D34" s="1" t="s">
        <v>175</v>
      </c>
      <c r="E34" s="1" t="s">
        <v>176</v>
      </c>
      <c r="F34" s="1" t="s">
        <v>177</v>
      </c>
      <c r="G34" s="16" t="s">
        <v>265</v>
      </c>
      <c r="H34" s="17" t="s">
        <v>266</v>
      </c>
      <c r="I34" s="16" t="s">
        <v>276</v>
      </c>
      <c r="J34" s="13">
        <f t="shared" ca="1" si="0"/>
        <v>5</v>
      </c>
      <c r="K34" s="18">
        <v>36000000</v>
      </c>
      <c r="L34" s="13">
        <f>IFERROR(INDEX('15_직원별책무매핑'!$E:$E,MATCH(B34,'15_직원별책무매핑'!$B:$B,0)),0)</f>
        <v>0</v>
      </c>
      <c r="M34" s="4" t="str">
        <f t="shared" si="1"/>
        <v>BIM컨설팅_G1</v>
      </c>
      <c r="N34" s="1"/>
    </row>
    <row r="35" spans="1:14" ht="22.05" customHeight="1" x14ac:dyDescent="0.6">
      <c r="A35" s="12">
        <v>30</v>
      </c>
      <c r="B35" s="16" t="s">
        <v>277</v>
      </c>
      <c r="C35" s="1" t="s">
        <v>278</v>
      </c>
      <c r="D35" s="1" t="s">
        <v>175</v>
      </c>
      <c r="E35" s="1" t="s">
        <v>176</v>
      </c>
      <c r="F35" s="1" t="s">
        <v>177</v>
      </c>
      <c r="G35" s="16" t="s">
        <v>265</v>
      </c>
      <c r="H35" s="17" t="s">
        <v>266</v>
      </c>
      <c r="I35" s="16" t="s">
        <v>279</v>
      </c>
      <c r="J35" s="13">
        <f t="shared" ca="1" si="0"/>
        <v>4.9000000000000004</v>
      </c>
      <c r="K35" s="18">
        <v>36540000</v>
      </c>
      <c r="L35" s="13">
        <f>IFERROR(INDEX('15_직원별책무매핑'!$E:$E,MATCH(B35,'15_직원별책무매핑'!$B:$B,0)),0)</f>
        <v>0</v>
      </c>
      <c r="M35" s="4" t="str">
        <f t="shared" si="1"/>
        <v>BIM컨설팅_G1</v>
      </c>
      <c r="N35" s="1"/>
    </row>
    <row r="36" spans="1:14" ht="22.05" customHeight="1" x14ac:dyDescent="0.6">
      <c r="A36" s="12">
        <v>31</v>
      </c>
      <c r="B36" s="16" t="s">
        <v>280</v>
      </c>
      <c r="C36" s="1" t="s">
        <v>281</v>
      </c>
      <c r="D36" s="1" t="s">
        <v>175</v>
      </c>
      <c r="E36" s="1" t="s">
        <v>176</v>
      </c>
      <c r="F36" s="1" t="s">
        <v>177</v>
      </c>
      <c r="G36" s="16" t="s">
        <v>265</v>
      </c>
      <c r="H36" s="17" t="s">
        <v>266</v>
      </c>
      <c r="I36" s="16" t="s">
        <v>282</v>
      </c>
      <c r="J36" s="13">
        <f t="shared" ca="1" si="0"/>
        <v>4.8</v>
      </c>
      <c r="K36" s="18">
        <v>37090000</v>
      </c>
      <c r="L36" s="13">
        <f>IFERROR(INDEX('15_직원별책무매핑'!$E:$E,MATCH(B36,'15_직원별책무매핑'!$B:$B,0)),0)</f>
        <v>0</v>
      </c>
      <c r="M36" s="4" t="str">
        <f t="shared" si="1"/>
        <v>BIM컨설팅_G1</v>
      </c>
      <c r="N36" s="1"/>
    </row>
    <row r="37" spans="1:14" ht="22.05" customHeight="1" x14ac:dyDescent="0.6">
      <c r="A37" s="12">
        <v>32</v>
      </c>
      <c r="B37" s="16" t="s">
        <v>283</v>
      </c>
      <c r="C37" s="1" t="s">
        <v>284</v>
      </c>
      <c r="D37" s="1" t="s">
        <v>175</v>
      </c>
      <c r="E37" s="1" t="s">
        <v>176</v>
      </c>
      <c r="F37" s="1" t="s">
        <v>177</v>
      </c>
      <c r="G37" s="16" t="s">
        <v>285</v>
      </c>
      <c r="H37" s="17" t="s">
        <v>266</v>
      </c>
      <c r="I37" s="16" t="s">
        <v>286</v>
      </c>
      <c r="J37" s="13">
        <f t="shared" ca="1" si="0"/>
        <v>4.8</v>
      </c>
      <c r="K37" s="18">
        <v>32000000</v>
      </c>
      <c r="L37" s="13">
        <f>IFERROR(INDEX('15_직원별책무매핑'!$E:$E,MATCH(B37,'15_직원별책무매핑'!$B:$B,0)),0)</f>
        <v>0</v>
      </c>
      <c r="M37" s="4" t="str">
        <f t="shared" si="1"/>
        <v>BIM컨설팅_G1</v>
      </c>
      <c r="N37" s="1"/>
    </row>
    <row r="38" spans="1:14" ht="22.05" customHeight="1" x14ac:dyDescent="0.6">
      <c r="A38" s="12">
        <v>33</v>
      </c>
      <c r="B38" s="16" t="s">
        <v>287</v>
      </c>
      <c r="C38" s="1" t="s">
        <v>288</v>
      </c>
      <c r="D38" s="1" t="s">
        <v>175</v>
      </c>
      <c r="E38" s="1" t="s">
        <v>176</v>
      </c>
      <c r="F38" s="1" t="s">
        <v>177</v>
      </c>
      <c r="G38" s="16" t="s">
        <v>285</v>
      </c>
      <c r="H38" s="17" t="s">
        <v>266</v>
      </c>
      <c r="I38" s="16" t="s">
        <v>289</v>
      </c>
      <c r="J38" s="13">
        <f t="shared" ca="1" si="0"/>
        <v>3.7</v>
      </c>
      <c r="K38" s="18">
        <v>32000000</v>
      </c>
      <c r="L38" s="13">
        <f>IFERROR(INDEX('15_직원별책무매핑'!$E:$E,MATCH(B38,'15_직원별책무매핑'!$B:$B,0)),0)</f>
        <v>0</v>
      </c>
      <c r="M38" s="4" t="str">
        <f t="shared" si="1"/>
        <v>BIM컨설팅_G1</v>
      </c>
      <c r="N38" s="1"/>
    </row>
    <row r="39" spans="1:14" ht="22.05" customHeight="1" x14ac:dyDescent="0.6">
      <c r="A39" s="12">
        <v>34</v>
      </c>
      <c r="B39" s="16" t="s">
        <v>290</v>
      </c>
      <c r="C39" s="1" t="s">
        <v>291</v>
      </c>
      <c r="D39" s="1" t="s">
        <v>175</v>
      </c>
      <c r="E39" s="1" t="s">
        <v>176</v>
      </c>
      <c r="F39" s="1" t="s">
        <v>177</v>
      </c>
      <c r="G39" s="16" t="s">
        <v>285</v>
      </c>
      <c r="H39" s="17" t="s">
        <v>266</v>
      </c>
      <c r="I39" s="16" t="s">
        <v>292</v>
      </c>
      <c r="J39" s="13">
        <f t="shared" ca="1" si="0"/>
        <v>3.6</v>
      </c>
      <c r="K39" s="18">
        <v>32000000</v>
      </c>
      <c r="L39" s="13">
        <f>IFERROR(INDEX('15_직원별책무매핑'!$E:$E,MATCH(B39,'15_직원별책무매핑'!$B:$B,0)),0)</f>
        <v>0</v>
      </c>
      <c r="M39" s="4" t="str">
        <f t="shared" si="1"/>
        <v>BIM컨설팅_G1</v>
      </c>
      <c r="N39" s="1"/>
    </row>
    <row r="42" spans="1:14" x14ac:dyDescent="0.6">
      <c r="A42" s="84" t="s">
        <v>293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7"/>
    </row>
    <row r="43" spans="1:14" ht="33.75" x14ac:dyDescent="0.6">
      <c r="A43" s="9" t="s">
        <v>151</v>
      </c>
      <c r="B43" s="9" t="s">
        <v>294</v>
      </c>
      <c r="L43">
        <f>IFERROR(INDEX('15_직원별책무매핑'!$E:$E,MATCH(B43,'15_직원별책무매핑'!$B:$B,0)),0)</f>
        <v>0</v>
      </c>
    </row>
    <row r="44" spans="1:14" x14ac:dyDescent="0.6">
      <c r="A44" s="19" t="s">
        <v>164</v>
      </c>
      <c r="B44" s="13">
        <f>COUNTIF(H6:H85,"G6")</f>
        <v>6</v>
      </c>
      <c r="L44">
        <f>IFERROR(INDEX('15_직원별책무매핑'!$E:$E,MATCH(B44,'15_직원별책무매핑'!$B:$B,0)),0)</f>
        <v>0</v>
      </c>
    </row>
    <row r="45" spans="1:14" ht="33.75" x14ac:dyDescent="0.6">
      <c r="A45" s="19" t="s">
        <v>198</v>
      </c>
      <c r="B45" s="13">
        <f>COUNTIF(H6:H85,"G5-M")</f>
        <v>4</v>
      </c>
      <c r="L45">
        <f>IFERROR(INDEX('15_직원별책무매핑'!$E:$E,MATCH(B45,'15_직원별책무매핑'!$B:$B,0)),0)</f>
        <v>0</v>
      </c>
    </row>
    <row r="46" spans="1:14" x14ac:dyDescent="0.6">
      <c r="A46" s="19" t="s">
        <v>209</v>
      </c>
      <c r="B46" s="13">
        <f>COUNTIF(H6:H85,"G5-S")</f>
        <v>6</v>
      </c>
      <c r="L46">
        <f>IFERROR(INDEX('15_직원별책무매핑'!$E:$E,MATCH(B46,'15_직원별책무매핑'!$B:$B,0)),0)</f>
        <v>0</v>
      </c>
    </row>
    <row r="47" spans="1:14" x14ac:dyDescent="0.6">
      <c r="A47" s="19" t="s">
        <v>234</v>
      </c>
      <c r="B47" s="13">
        <f>COUNTIF(H6:H85,"G4")</f>
        <v>2</v>
      </c>
      <c r="L47">
        <f>IFERROR(INDEX('15_직원별책무매핑'!$E:$E,MATCH(B47,'15_직원별책무매핑'!$B:$B,0)),0)</f>
        <v>0</v>
      </c>
    </row>
    <row r="48" spans="1:14" x14ac:dyDescent="0.6">
      <c r="A48" s="19" t="s">
        <v>241</v>
      </c>
      <c r="B48" s="13">
        <f>COUNTIF(H6:H85,"G3")</f>
        <v>2</v>
      </c>
      <c r="L48">
        <f>IFERROR(INDEX('15_직원별책무매핑'!$E:$E,MATCH(B48,'15_직원별책무매핑'!$B:$B,0)),0)</f>
        <v>0</v>
      </c>
    </row>
    <row r="49" spans="1:12" x14ac:dyDescent="0.6">
      <c r="A49" s="19" t="s">
        <v>249</v>
      </c>
      <c r="B49" s="13">
        <f>COUNTIF(H6:H85,"G2")</f>
        <v>6</v>
      </c>
      <c r="L49">
        <f>IFERROR(INDEX('15_직원별책무매핑'!$E:$E,MATCH(B49,'15_직원별책무매핑'!$B:$B,0)),0)</f>
        <v>0</v>
      </c>
    </row>
    <row r="50" spans="1:12" x14ac:dyDescent="0.6">
      <c r="A50" s="19" t="s">
        <v>266</v>
      </c>
      <c r="B50" s="13">
        <f>COUNTIF(H6:H85,"G1")</f>
        <v>8</v>
      </c>
    </row>
  </sheetData>
  <mergeCells count="3">
    <mergeCell ref="A42:N42"/>
    <mergeCell ref="A2:N2"/>
    <mergeCell ref="A1:N1"/>
  </mergeCells>
  <phoneticPr fontId="16" type="noConversion"/>
  <dataValidations count="1">
    <dataValidation type="list" sqref="H6:H85" xr:uid="{00000000-0002-0000-0200-000000000000}">
      <formula1>"G6,G5-M,G5-S,G4,G3,G2,G1"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J68"/>
  <sheetViews>
    <sheetView tabSelected="1" topLeftCell="A3" workbookViewId="0">
      <selection activeCell="A54" sqref="A54"/>
    </sheetView>
  </sheetViews>
  <sheetFormatPr defaultRowHeight="16.899999999999999" x14ac:dyDescent="0.6"/>
  <cols>
    <col min="1" max="1" width="16" customWidth="1"/>
    <col min="2" max="4" width="14" customWidth="1"/>
    <col min="5" max="5" width="12" customWidth="1"/>
    <col min="6" max="6" width="10" customWidth="1"/>
    <col min="7" max="7" width="30" customWidth="1"/>
    <col min="8" max="10" width="12" customWidth="1"/>
  </cols>
  <sheetData>
    <row r="1" spans="1:10" ht="30" customHeight="1" x14ac:dyDescent="0.6">
      <c r="A1" s="82" t="s">
        <v>295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ht="22.05" customHeight="1" x14ac:dyDescent="0.6">
      <c r="A2" s="80" t="s">
        <v>296</v>
      </c>
      <c r="B2" s="66"/>
      <c r="C2" s="66"/>
      <c r="D2" s="66"/>
      <c r="E2" s="66"/>
      <c r="F2" s="66"/>
      <c r="G2" s="66"/>
      <c r="H2" s="66"/>
      <c r="I2" s="66"/>
      <c r="J2" s="67"/>
    </row>
    <row r="4" spans="1:10" ht="24" customHeight="1" x14ac:dyDescent="0.6">
      <c r="A4" s="83" t="s">
        <v>297</v>
      </c>
      <c r="B4" s="66"/>
      <c r="C4" s="66"/>
      <c r="D4" s="66"/>
      <c r="E4" s="66"/>
      <c r="F4" s="66"/>
      <c r="G4" s="66"/>
      <c r="H4" s="66"/>
      <c r="I4" s="66"/>
      <c r="J4" s="67"/>
    </row>
    <row r="5" spans="1:10" x14ac:dyDescent="0.6">
      <c r="A5" s="2" t="s">
        <v>298</v>
      </c>
      <c r="B5" s="16" t="s">
        <v>299</v>
      </c>
      <c r="C5" s="85" t="s">
        <v>300</v>
      </c>
      <c r="D5" s="66"/>
      <c r="E5" s="66"/>
      <c r="F5" s="66"/>
      <c r="G5" s="66"/>
      <c r="H5" s="66"/>
      <c r="I5" s="66"/>
      <c r="J5" s="67"/>
    </row>
    <row r="6" spans="1:10" x14ac:dyDescent="0.6">
      <c r="A6" s="2" t="s">
        <v>301</v>
      </c>
      <c r="B6" s="16" t="s">
        <v>302</v>
      </c>
      <c r="C6" s="85" t="s">
        <v>303</v>
      </c>
      <c r="D6" s="66"/>
      <c r="E6" s="66"/>
      <c r="F6" s="66"/>
      <c r="G6" s="66"/>
      <c r="H6" s="66"/>
      <c r="I6" s="66"/>
      <c r="J6" s="67"/>
    </row>
    <row r="7" spans="1:10" x14ac:dyDescent="0.6">
      <c r="A7" s="2" t="s">
        <v>304</v>
      </c>
      <c r="B7" s="20">
        <v>0.5</v>
      </c>
      <c r="C7" s="85" t="s">
        <v>305</v>
      </c>
      <c r="D7" s="66"/>
      <c r="E7" s="66"/>
      <c r="F7" s="66"/>
      <c r="G7" s="66"/>
      <c r="H7" s="66"/>
      <c r="I7" s="66"/>
      <c r="J7" s="67"/>
    </row>
    <row r="8" spans="1:10" x14ac:dyDescent="0.6">
      <c r="A8" s="2" t="s">
        <v>306</v>
      </c>
      <c r="B8" s="16">
        <f>1-B7</f>
        <v>0.5</v>
      </c>
      <c r="C8" s="85" t="s">
        <v>307</v>
      </c>
      <c r="D8" s="66"/>
      <c r="E8" s="66"/>
      <c r="F8" s="66"/>
      <c r="G8" s="66"/>
      <c r="H8" s="66"/>
      <c r="I8" s="66"/>
      <c r="J8" s="67"/>
    </row>
    <row r="10" spans="1:10" ht="24" customHeight="1" x14ac:dyDescent="0.6">
      <c r="A10" s="2" t="s">
        <v>308</v>
      </c>
      <c r="B10" s="9" t="s">
        <v>129</v>
      </c>
      <c r="C10" s="9" t="s">
        <v>130</v>
      </c>
      <c r="D10" s="9" t="s">
        <v>131</v>
      </c>
      <c r="E10" s="9" t="s">
        <v>132</v>
      </c>
      <c r="F10" s="9" t="s">
        <v>133</v>
      </c>
    </row>
    <row r="11" spans="1:10" x14ac:dyDescent="0.6">
      <c r="B11" s="21">
        <v>0.1</v>
      </c>
      <c r="C11" s="21">
        <v>0.15</v>
      </c>
      <c r="D11" s="21">
        <v>0.5</v>
      </c>
      <c r="E11" s="21">
        <v>0.15</v>
      </c>
      <c r="F11" s="21">
        <v>0.1</v>
      </c>
    </row>
    <row r="14" spans="1:10" ht="24" customHeight="1" x14ac:dyDescent="0.6">
      <c r="A14" s="83" t="s">
        <v>309</v>
      </c>
      <c r="B14" s="66"/>
      <c r="C14" s="66"/>
      <c r="D14" s="66"/>
      <c r="E14" s="66"/>
      <c r="F14" s="66"/>
      <c r="G14" s="66"/>
      <c r="H14" s="66"/>
      <c r="I14" s="66"/>
      <c r="J14" s="67"/>
    </row>
    <row r="15" spans="1:10" ht="28.05" customHeight="1" x14ac:dyDescent="0.6">
      <c r="A15" s="9" t="s">
        <v>151</v>
      </c>
      <c r="B15" s="9" t="s">
        <v>310</v>
      </c>
      <c r="C15" s="9" t="s">
        <v>311</v>
      </c>
      <c r="D15" s="9" t="s">
        <v>312</v>
      </c>
      <c r="E15" s="9" t="s">
        <v>313</v>
      </c>
      <c r="F15" s="9" t="s">
        <v>314</v>
      </c>
      <c r="G15" s="9" t="s">
        <v>315</v>
      </c>
    </row>
    <row r="16" spans="1:10" x14ac:dyDescent="0.6">
      <c r="A16" s="19" t="s">
        <v>164</v>
      </c>
      <c r="B16" s="21">
        <v>0.4</v>
      </c>
      <c r="C16" s="21">
        <v>0.25</v>
      </c>
      <c r="D16" s="21">
        <v>0.35</v>
      </c>
      <c r="E16" s="22">
        <f t="shared" ref="E16:E22" si="0">B16+C16+D16</f>
        <v>1</v>
      </c>
      <c r="F16" s="13" t="str">
        <f t="shared" ref="F16:F22" si="1">IF(E16=1,"✓ OK","✗ ≠100%")</f>
        <v>✓ OK</v>
      </c>
      <c r="G16" s="85" t="s">
        <v>316</v>
      </c>
      <c r="H16" s="66"/>
      <c r="I16" s="66"/>
      <c r="J16" s="67"/>
    </row>
    <row r="17" spans="1:10" x14ac:dyDescent="0.6">
      <c r="A17" s="19" t="s">
        <v>198</v>
      </c>
      <c r="B17" s="21">
        <v>0.35</v>
      </c>
      <c r="C17" s="21">
        <v>0.3</v>
      </c>
      <c r="D17" s="21">
        <v>0.35</v>
      </c>
      <c r="E17" s="22">
        <f t="shared" si="0"/>
        <v>0.99999999999999989</v>
      </c>
      <c r="F17" s="13" t="str">
        <f t="shared" si="1"/>
        <v>✓ OK</v>
      </c>
      <c r="G17" s="85" t="s">
        <v>317</v>
      </c>
      <c r="H17" s="66"/>
      <c r="I17" s="66"/>
      <c r="J17" s="67"/>
    </row>
    <row r="18" spans="1:10" x14ac:dyDescent="0.6">
      <c r="A18" s="19" t="s">
        <v>209</v>
      </c>
      <c r="B18" s="21">
        <v>0.3</v>
      </c>
      <c r="C18" s="21">
        <v>0.3</v>
      </c>
      <c r="D18" s="21">
        <v>0.4</v>
      </c>
      <c r="E18" s="22">
        <f t="shared" si="0"/>
        <v>1</v>
      </c>
      <c r="F18" s="13" t="str">
        <f t="shared" si="1"/>
        <v>✓ OK</v>
      </c>
      <c r="G18" s="85" t="s">
        <v>318</v>
      </c>
      <c r="H18" s="66"/>
      <c r="I18" s="66"/>
      <c r="J18" s="67"/>
    </row>
    <row r="19" spans="1:10" x14ac:dyDescent="0.6">
      <c r="A19" s="19" t="s">
        <v>234</v>
      </c>
      <c r="B19" s="21">
        <v>0.3</v>
      </c>
      <c r="C19" s="21">
        <v>0.3</v>
      </c>
      <c r="D19" s="21">
        <v>0.4</v>
      </c>
      <c r="E19" s="22">
        <f t="shared" si="0"/>
        <v>1</v>
      </c>
      <c r="F19" s="13" t="str">
        <f t="shared" si="1"/>
        <v>✓ OK</v>
      </c>
      <c r="G19" s="85" t="s">
        <v>319</v>
      </c>
      <c r="H19" s="66"/>
      <c r="I19" s="66"/>
      <c r="J19" s="67"/>
    </row>
    <row r="20" spans="1:10" x14ac:dyDescent="0.6">
      <c r="A20" s="19" t="s">
        <v>241</v>
      </c>
      <c r="B20" s="21">
        <v>0.25</v>
      </c>
      <c r="C20" s="21">
        <v>0.3</v>
      </c>
      <c r="D20" s="21">
        <v>0.45</v>
      </c>
      <c r="E20" s="22">
        <f t="shared" si="0"/>
        <v>1</v>
      </c>
      <c r="F20" s="13" t="str">
        <f t="shared" si="1"/>
        <v>✓ OK</v>
      </c>
      <c r="G20" s="85" t="s">
        <v>320</v>
      </c>
      <c r="H20" s="66"/>
      <c r="I20" s="66"/>
      <c r="J20" s="67"/>
    </row>
    <row r="21" spans="1:10" x14ac:dyDescent="0.6">
      <c r="A21" s="19" t="s">
        <v>249</v>
      </c>
      <c r="B21" s="21">
        <v>0.2</v>
      </c>
      <c r="C21" s="21">
        <v>0.35</v>
      </c>
      <c r="D21" s="21">
        <v>0.45</v>
      </c>
      <c r="E21" s="22">
        <f t="shared" si="0"/>
        <v>1</v>
      </c>
      <c r="F21" s="13" t="str">
        <f t="shared" si="1"/>
        <v>✓ OK</v>
      </c>
      <c r="G21" s="85" t="s">
        <v>321</v>
      </c>
      <c r="H21" s="66"/>
      <c r="I21" s="66"/>
      <c r="J21" s="67"/>
    </row>
    <row r="22" spans="1:10" x14ac:dyDescent="0.6">
      <c r="A22" s="19" t="s">
        <v>266</v>
      </c>
      <c r="B22" s="21">
        <v>0.15</v>
      </c>
      <c r="C22" s="21">
        <v>0.35</v>
      </c>
      <c r="D22" s="21">
        <v>0.5</v>
      </c>
      <c r="E22" s="22">
        <f t="shared" si="0"/>
        <v>1</v>
      </c>
      <c r="F22" s="13" t="str">
        <f t="shared" si="1"/>
        <v>✓ OK</v>
      </c>
      <c r="G22" s="85" t="s">
        <v>322</v>
      </c>
      <c r="H22" s="66"/>
      <c r="I22" s="66"/>
      <c r="J22" s="67"/>
    </row>
    <row r="24" spans="1:10" ht="24" customHeight="1" x14ac:dyDescent="0.6">
      <c r="A24" s="83" t="s">
        <v>323</v>
      </c>
      <c r="B24" s="66"/>
      <c r="C24" s="66"/>
      <c r="D24" s="66"/>
      <c r="E24" s="66"/>
      <c r="F24" s="66"/>
      <c r="G24" s="66"/>
      <c r="H24" s="66"/>
      <c r="I24" s="66"/>
      <c r="J24" s="67"/>
    </row>
    <row r="25" spans="1:10" x14ac:dyDescent="0.6">
      <c r="A25" s="9" t="s">
        <v>324</v>
      </c>
      <c r="B25" s="9" t="s">
        <v>129</v>
      </c>
      <c r="C25" s="9" t="s">
        <v>130</v>
      </c>
      <c r="D25" s="9" t="s">
        <v>131</v>
      </c>
      <c r="E25" s="9" t="s">
        <v>132</v>
      </c>
      <c r="F25" s="9" t="s">
        <v>133</v>
      </c>
      <c r="G25" s="9" t="s">
        <v>157</v>
      </c>
    </row>
    <row r="26" spans="1:10" x14ac:dyDescent="0.6">
      <c r="A26" s="2" t="s">
        <v>325</v>
      </c>
      <c r="B26" s="23">
        <v>0.06</v>
      </c>
      <c r="C26" s="23">
        <v>0.05</v>
      </c>
      <c r="D26" s="23">
        <v>0.04</v>
      </c>
      <c r="E26" s="23">
        <v>0.03</v>
      </c>
      <c r="F26" s="23">
        <v>0.02</v>
      </c>
      <c r="G26" s="3" t="s">
        <v>326</v>
      </c>
    </row>
    <row r="27" spans="1:10" x14ac:dyDescent="0.6">
      <c r="A27" s="2" t="s">
        <v>327</v>
      </c>
      <c r="B27" s="21">
        <v>0.2</v>
      </c>
      <c r="C27" s="21">
        <v>0.15</v>
      </c>
      <c r="D27" s="21">
        <v>0.1</v>
      </c>
      <c r="E27" s="21">
        <v>0.05</v>
      </c>
      <c r="F27" s="21">
        <v>0</v>
      </c>
      <c r="G27" s="3" t="s">
        <v>328</v>
      </c>
    </row>
    <row r="28" spans="1:10" x14ac:dyDescent="0.6">
      <c r="A28" s="2" t="s">
        <v>329</v>
      </c>
      <c r="B28" s="23">
        <v>0.01</v>
      </c>
      <c r="C28" s="85" t="s">
        <v>330</v>
      </c>
      <c r="D28" s="66"/>
      <c r="E28" s="66"/>
      <c r="F28" s="67"/>
      <c r="G28" s="3" t="s">
        <v>331</v>
      </c>
    </row>
    <row r="30" spans="1:10" ht="24" customHeight="1" x14ac:dyDescent="0.6">
      <c r="A30" s="83" t="s">
        <v>332</v>
      </c>
      <c r="B30" s="66"/>
      <c r="C30" s="66"/>
      <c r="D30" s="66"/>
      <c r="E30" s="66"/>
      <c r="F30" s="66"/>
      <c r="G30" s="66"/>
      <c r="H30" s="66"/>
      <c r="I30" s="66"/>
      <c r="J30" s="67"/>
    </row>
    <row r="31" spans="1:10" ht="28.05" customHeight="1" x14ac:dyDescent="0.6">
      <c r="A31" s="9" t="s">
        <v>151</v>
      </c>
      <c r="B31" s="9" t="s">
        <v>333</v>
      </c>
      <c r="C31" s="9" t="s">
        <v>334</v>
      </c>
      <c r="D31" s="9" t="s">
        <v>335</v>
      </c>
      <c r="E31" s="9" t="s">
        <v>336</v>
      </c>
    </row>
    <row r="32" spans="1:10" x14ac:dyDescent="0.6">
      <c r="A32" s="19" t="s">
        <v>164</v>
      </c>
      <c r="B32" s="18">
        <v>58000000</v>
      </c>
      <c r="C32" s="18">
        <v>69000000</v>
      </c>
      <c r="D32" s="18">
        <v>80000000</v>
      </c>
      <c r="E32" s="24">
        <f t="shared" ref="E32:E38" si="2">(D32-B32)/B32</f>
        <v>0.37931034482758619</v>
      </c>
    </row>
    <row r="33" spans="1:10" x14ac:dyDescent="0.6">
      <c r="A33" s="19" t="s">
        <v>198</v>
      </c>
      <c r="B33" s="18">
        <v>53000000</v>
      </c>
      <c r="C33" s="18">
        <v>63000000</v>
      </c>
      <c r="D33" s="18">
        <v>73000000</v>
      </c>
      <c r="E33" s="24">
        <f t="shared" si="2"/>
        <v>0.37735849056603776</v>
      </c>
    </row>
    <row r="34" spans="1:10" x14ac:dyDescent="0.6">
      <c r="A34" s="19" t="s">
        <v>209</v>
      </c>
      <c r="B34" s="18">
        <v>53000000</v>
      </c>
      <c r="C34" s="18">
        <v>63000000</v>
      </c>
      <c r="D34" s="18">
        <v>73000000</v>
      </c>
      <c r="E34" s="24">
        <f t="shared" si="2"/>
        <v>0.37735849056603776</v>
      </c>
    </row>
    <row r="35" spans="1:10" x14ac:dyDescent="0.6">
      <c r="A35" s="19" t="s">
        <v>234</v>
      </c>
      <c r="B35" s="18">
        <v>49000000</v>
      </c>
      <c r="C35" s="18">
        <v>57500000</v>
      </c>
      <c r="D35" s="18">
        <v>66000000</v>
      </c>
      <c r="E35" s="24">
        <f t="shared" si="2"/>
        <v>0.34693877551020408</v>
      </c>
    </row>
    <row r="36" spans="1:10" x14ac:dyDescent="0.6">
      <c r="A36" s="19" t="s">
        <v>241</v>
      </c>
      <c r="B36" s="18">
        <v>42000000</v>
      </c>
      <c r="C36" s="18">
        <v>49500000</v>
      </c>
      <c r="D36" s="18">
        <v>57000000</v>
      </c>
      <c r="E36" s="24">
        <f t="shared" si="2"/>
        <v>0.35714285714285715</v>
      </c>
    </row>
    <row r="37" spans="1:10" x14ac:dyDescent="0.6">
      <c r="A37" s="19" t="s">
        <v>249</v>
      </c>
      <c r="B37" s="18">
        <v>36000000</v>
      </c>
      <c r="C37" s="18">
        <v>42500000</v>
      </c>
      <c r="D37" s="18">
        <v>49000000</v>
      </c>
      <c r="E37" s="24">
        <f t="shared" si="2"/>
        <v>0.3611111111111111</v>
      </c>
    </row>
    <row r="38" spans="1:10" x14ac:dyDescent="0.6">
      <c r="A38" s="19" t="s">
        <v>266</v>
      </c>
      <c r="B38" s="18">
        <v>33000000</v>
      </c>
      <c r="C38" s="18">
        <v>38500000</v>
      </c>
      <c r="D38" s="18">
        <v>44000000</v>
      </c>
      <c r="E38" s="24">
        <f t="shared" si="2"/>
        <v>0.33333333333333331</v>
      </c>
    </row>
    <row r="40" spans="1:10" ht="24" customHeight="1" x14ac:dyDescent="0.6">
      <c r="A40" s="83" t="s">
        <v>337</v>
      </c>
      <c r="B40" s="66"/>
      <c r="C40" s="66"/>
      <c r="D40" s="66"/>
      <c r="E40" s="66"/>
      <c r="F40" s="66"/>
      <c r="G40" s="66"/>
      <c r="H40" s="66"/>
      <c r="I40" s="66"/>
      <c r="J40" s="67"/>
    </row>
    <row r="41" spans="1:10" ht="28.05" customHeight="1" x14ac:dyDescent="0.6">
      <c r="A41" s="9" t="s">
        <v>144</v>
      </c>
      <c r="B41" s="9" t="s">
        <v>338</v>
      </c>
      <c r="C41" s="9" t="s">
        <v>339</v>
      </c>
      <c r="D41" s="9" t="s">
        <v>340</v>
      </c>
      <c r="E41" s="9" t="s">
        <v>341</v>
      </c>
    </row>
    <row r="42" spans="1:10" x14ac:dyDescent="0.6">
      <c r="A42" s="12" t="s">
        <v>342</v>
      </c>
      <c r="B42" s="19" t="s">
        <v>343</v>
      </c>
      <c r="C42" s="10" t="s">
        <v>344</v>
      </c>
      <c r="D42" s="21">
        <v>0.15</v>
      </c>
      <c r="E42" s="85" t="s">
        <v>345</v>
      </c>
      <c r="F42" s="66"/>
      <c r="G42" s="66"/>
      <c r="H42" s="66"/>
      <c r="I42" s="66"/>
      <c r="J42" s="67"/>
    </row>
    <row r="43" spans="1:10" x14ac:dyDescent="0.6">
      <c r="A43" s="12" t="s">
        <v>346</v>
      </c>
      <c r="B43" s="19" t="s">
        <v>343</v>
      </c>
      <c r="C43" s="10" t="s">
        <v>347</v>
      </c>
      <c r="D43" s="21">
        <v>0.1</v>
      </c>
      <c r="E43" s="85" t="s">
        <v>348</v>
      </c>
      <c r="F43" s="66"/>
      <c r="G43" s="66"/>
      <c r="H43" s="66"/>
      <c r="I43" s="66"/>
      <c r="J43" s="67"/>
    </row>
    <row r="44" spans="1:10" x14ac:dyDescent="0.6">
      <c r="A44" s="12" t="s">
        <v>349</v>
      </c>
      <c r="B44" s="19" t="s">
        <v>343</v>
      </c>
      <c r="C44" s="10" t="s">
        <v>350</v>
      </c>
      <c r="D44" s="21">
        <v>0.1</v>
      </c>
      <c r="E44" s="85" t="s">
        <v>351</v>
      </c>
      <c r="F44" s="66"/>
      <c r="G44" s="66"/>
      <c r="H44" s="66"/>
      <c r="I44" s="66"/>
      <c r="J44" s="67"/>
    </row>
    <row r="45" spans="1:10" x14ac:dyDescent="0.6">
      <c r="A45" s="12" t="s">
        <v>352</v>
      </c>
      <c r="B45" s="19" t="s">
        <v>353</v>
      </c>
      <c r="C45" s="10" t="s">
        <v>354</v>
      </c>
      <c r="D45" s="21">
        <v>0.1</v>
      </c>
      <c r="E45" s="85" t="s">
        <v>355</v>
      </c>
      <c r="F45" s="66"/>
      <c r="G45" s="66"/>
      <c r="H45" s="66"/>
      <c r="I45" s="66"/>
      <c r="J45" s="67"/>
    </row>
    <row r="46" spans="1:10" x14ac:dyDescent="0.6">
      <c r="A46" s="12" t="s">
        <v>356</v>
      </c>
      <c r="B46" s="19" t="s">
        <v>353</v>
      </c>
      <c r="C46" s="10" t="s">
        <v>357</v>
      </c>
      <c r="D46" s="21">
        <v>0.1</v>
      </c>
      <c r="E46" s="85" t="s">
        <v>358</v>
      </c>
      <c r="F46" s="66"/>
      <c r="G46" s="66"/>
      <c r="H46" s="66"/>
      <c r="I46" s="66"/>
      <c r="J46" s="67"/>
    </row>
    <row r="47" spans="1:10" x14ac:dyDescent="0.6">
      <c r="A47" s="12" t="s">
        <v>359</v>
      </c>
      <c r="B47" s="19" t="s">
        <v>353</v>
      </c>
      <c r="C47" s="10" t="s">
        <v>360</v>
      </c>
      <c r="D47" s="21">
        <v>0.1</v>
      </c>
      <c r="E47" s="85" t="s">
        <v>361</v>
      </c>
      <c r="F47" s="66"/>
      <c r="G47" s="66"/>
      <c r="H47" s="66"/>
      <c r="I47" s="66"/>
      <c r="J47" s="67"/>
    </row>
    <row r="48" spans="1:10" x14ac:dyDescent="0.6">
      <c r="A48" s="12" t="s">
        <v>362</v>
      </c>
      <c r="B48" s="19" t="s">
        <v>363</v>
      </c>
      <c r="C48" s="10" t="s">
        <v>364</v>
      </c>
      <c r="D48" s="21">
        <v>0.1</v>
      </c>
      <c r="E48" s="85" t="s">
        <v>365</v>
      </c>
      <c r="F48" s="66"/>
      <c r="G48" s="66"/>
      <c r="H48" s="66"/>
      <c r="I48" s="66"/>
      <c r="J48" s="67"/>
    </row>
    <row r="49" spans="1:10" x14ac:dyDescent="0.6">
      <c r="A49" s="12" t="s">
        <v>366</v>
      </c>
      <c r="B49" s="19" t="s">
        <v>363</v>
      </c>
      <c r="C49" s="10" t="s">
        <v>367</v>
      </c>
      <c r="D49" s="21">
        <v>0.1</v>
      </c>
      <c r="E49" s="85" t="s">
        <v>368</v>
      </c>
      <c r="F49" s="66"/>
      <c r="G49" s="66"/>
      <c r="H49" s="66"/>
      <c r="I49" s="66"/>
      <c r="J49" s="67"/>
    </row>
    <row r="50" spans="1:10" x14ac:dyDescent="0.6">
      <c r="A50" s="12" t="s">
        <v>369</v>
      </c>
      <c r="B50" s="19" t="s">
        <v>370</v>
      </c>
      <c r="C50" s="10" t="s">
        <v>371</v>
      </c>
      <c r="D50" s="21">
        <v>0.05</v>
      </c>
      <c r="E50" s="85" t="s">
        <v>372</v>
      </c>
      <c r="F50" s="66"/>
      <c r="G50" s="66"/>
      <c r="H50" s="66"/>
      <c r="I50" s="66"/>
      <c r="J50" s="67"/>
    </row>
    <row r="51" spans="1:10" x14ac:dyDescent="0.6">
      <c r="A51" s="12" t="s">
        <v>373</v>
      </c>
      <c r="B51" s="19" t="s">
        <v>370</v>
      </c>
      <c r="C51" s="10" t="s">
        <v>374</v>
      </c>
      <c r="D51" s="21">
        <v>0.05</v>
      </c>
      <c r="E51" s="85" t="s">
        <v>375</v>
      </c>
      <c r="F51" s="66"/>
      <c r="G51" s="66"/>
      <c r="H51" s="66"/>
      <c r="I51" s="66"/>
      <c r="J51" s="67"/>
    </row>
    <row r="52" spans="1:10" x14ac:dyDescent="0.6">
      <c r="A52" s="12" t="s">
        <v>376</v>
      </c>
      <c r="B52" s="19" t="s">
        <v>370</v>
      </c>
      <c r="C52" s="10" t="s">
        <v>377</v>
      </c>
      <c r="D52" s="21">
        <v>0.05</v>
      </c>
      <c r="E52" s="85" t="s">
        <v>378</v>
      </c>
      <c r="F52" s="66"/>
      <c r="G52" s="66"/>
      <c r="H52" s="66"/>
      <c r="I52" s="66"/>
      <c r="J52" s="67"/>
    </row>
    <row r="66" spans="1:10" ht="24" customHeight="1" x14ac:dyDescent="0.6">
      <c r="A66" s="83" t="s">
        <v>379</v>
      </c>
      <c r="B66" s="66"/>
      <c r="C66" s="66"/>
      <c r="D66" s="66"/>
      <c r="E66" s="66"/>
      <c r="F66" s="66"/>
      <c r="G66" s="66"/>
      <c r="H66" s="66"/>
      <c r="I66" s="66"/>
      <c r="J66" s="67"/>
    </row>
    <row r="67" spans="1:10" ht="24" customHeight="1" x14ac:dyDescent="0.6">
      <c r="A67" s="2" t="s">
        <v>380</v>
      </c>
      <c r="B67" s="59">
        <v>0.5</v>
      </c>
      <c r="C67" s="85" t="s">
        <v>381</v>
      </c>
      <c r="D67" s="66"/>
      <c r="E67" s="66"/>
      <c r="F67" s="66"/>
      <c r="G67" s="66"/>
      <c r="H67" s="66"/>
      <c r="I67" s="66"/>
      <c r="J67" s="67"/>
    </row>
    <row r="68" spans="1:10" ht="24" customHeight="1" x14ac:dyDescent="0.6">
      <c r="A68" s="2" t="s">
        <v>382</v>
      </c>
      <c r="B68" s="60">
        <f>1-B67</f>
        <v>0.5</v>
      </c>
      <c r="C68" s="85" t="s">
        <v>383</v>
      </c>
      <c r="D68" s="66"/>
      <c r="E68" s="66"/>
      <c r="F68" s="66"/>
      <c r="G68" s="66"/>
      <c r="H68" s="66"/>
      <c r="I68" s="66"/>
      <c r="J68" s="67"/>
    </row>
  </sheetData>
  <mergeCells count="33">
    <mergeCell ref="A66:J66"/>
    <mergeCell ref="G18:J18"/>
    <mergeCell ref="C7:J7"/>
    <mergeCell ref="E42:J42"/>
    <mergeCell ref="C67:J67"/>
    <mergeCell ref="E52:J52"/>
    <mergeCell ref="E48:J48"/>
    <mergeCell ref="E51:J51"/>
    <mergeCell ref="E44:J44"/>
    <mergeCell ref="A1:J1"/>
    <mergeCell ref="G17:J17"/>
    <mergeCell ref="E47:J47"/>
    <mergeCell ref="E43:J43"/>
    <mergeCell ref="E50:J50"/>
    <mergeCell ref="G19:J19"/>
    <mergeCell ref="C8:J8"/>
    <mergeCell ref="A2:J2"/>
    <mergeCell ref="A14:J14"/>
    <mergeCell ref="C68:J68"/>
    <mergeCell ref="C6:J6"/>
    <mergeCell ref="G20:J20"/>
    <mergeCell ref="A4:J4"/>
    <mergeCell ref="G16:J16"/>
    <mergeCell ref="C5:J5"/>
    <mergeCell ref="C28:F28"/>
    <mergeCell ref="G22:J22"/>
    <mergeCell ref="E49:J49"/>
    <mergeCell ref="E46:J46"/>
    <mergeCell ref="A40:J40"/>
    <mergeCell ref="E45:J45"/>
    <mergeCell ref="A30:J30"/>
    <mergeCell ref="G21:J21"/>
    <mergeCell ref="A24:J24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K11"/>
  <sheetViews>
    <sheetView zoomScale="85" zoomScaleNormal="85" workbookViewId="0">
      <selection sqref="A1:K1"/>
    </sheetView>
  </sheetViews>
  <sheetFormatPr defaultRowHeight="16.899999999999999" x14ac:dyDescent="0.6"/>
  <cols>
    <col min="1" max="1" width="5" customWidth="1"/>
    <col min="2" max="2" width="22" customWidth="1"/>
    <col min="3" max="3" width="30" customWidth="1"/>
    <col min="4" max="4" width="8" customWidth="1"/>
    <col min="5" max="5" width="10" customWidth="1"/>
    <col min="6" max="10" width="9" customWidth="1"/>
    <col min="11" max="11" width="11" customWidth="1"/>
  </cols>
  <sheetData>
    <row r="1" spans="1:11" ht="28.05" customHeight="1" x14ac:dyDescent="0.6">
      <c r="A1" s="82" t="s">
        <v>384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x14ac:dyDescent="0.6">
      <c r="A2" s="80" t="s">
        <v>385</v>
      </c>
      <c r="B2" s="66"/>
      <c r="C2" s="66"/>
      <c r="D2" s="66"/>
      <c r="E2" s="66"/>
      <c r="F2" s="66"/>
      <c r="G2" s="66"/>
      <c r="H2" s="66"/>
      <c r="I2" s="66"/>
      <c r="J2" s="66"/>
      <c r="K2" s="67"/>
    </row>
    <row r="5" spans="1:11" x14ac:dyDescent="0.6">
      <c r="A5" s="15" t="s">
        <v>144</v>
      </c>
      <c r="B5" s="15" t="s">
        <v>386</v>
      </c>
      <c r="C5" s="15" t="s">
        <v>387</v>
      </c>
      <c r="D5" s="15" t="s">
        <v>340</v>
      </c>
      <c r="E5" s="15" t="s">
        <v>388</v>
      </c>
      <c r="F5" s="15" t="s">
        <v>389</v>
      </c>
      <c r="G5" s="15" t="s">
        <v>390</v>
      </c>
      <c r="H5" s="15" t="s">
        <v>391</v>
      </c>
      <c r="I5" s="15" t="s">
        <v>392</v>
      </c>
      <c r="J5" s="15" t="s">
        <v>393</v>
      </c>
      <c r="K5" s="15" t="s">
        <v>394</v>
      </c>
    </row>
    <row r="6" spans="1:11" x14ac:dyDescent="0.6">
      <c r="A6" s="12">
        <v>1</v>
      </c>
      <c r="B6" s="10" t="s">
        <v>395</v>
      </c>
      <c r="C6" s="3" t="s">
        <v>396</v>
      </c>
      <c r="D6" s="21">
        <v>0.4</v>
      </c>
      <c r="E6" s="23">
        <v>0.12</v>
      </c>
      <c r="F6" s="23">
        <v>0.15</v>
      </c>
      <c r="G6" s="23">
        <v>0.12</v>
      </c>
      <c r="H6" s="23">
        <v>0.1</v>
      </c>
      <c r="I6" s="23">
        <v>0.08</v>
      </c>
      <c r="J6" s="23">
        <v>0.06</v>
      </c>
      <c r="K6" s="23"/>
    </row>
    <row r="7" spans="1:11" x14ac:dyDescent="0.6">
      <c r="A7" s="12">
        <v>2</v>
      </c>
      <c r="B7" s="10" t="s">
        <v>397</v>
      </c>
      <c r="C7" s="3" t="s">
        <v>398</v>
      </c>
      <c r="D7" s="21">
        <v>0.35</v>
      </c>
      <c r="E7" s="23">
        <v>7.0000000000000007E-2</v>
      </c>
      <c r="F7" s="23">
        <v>0.08</v>
      </c>
      <c r="G7" s="23">
        <v>7.0000000000000007E-2</v>
      </c>
      <c r="H7" s="23">
        <v>0.06</v>
      </c>
      <c r="I7" s="23">
        <v>0.05</v>
      </c>
      <c r="J7" s="23">
        <v>0.04</v>
      </c>
      <c r="K7" s="23"/>
    </row>
    <row r="8" spans="1:11" ht="33.75" x14ac:dyDescent="0.6">
      <c r="A8" s="12">
        <v>3</v>
      </c>
      <c r="B8" s="10" t="s">
        <v>399</v>
      </c>
      <c r="C8" s="3" t="s">
        <v>400</v>
      </c>
      <c r="D8" s="21">
        <v>0.25</v>
      </c>
      <c r="E8" s="23">
        <v>0.92</v>
      </c>
      <c r="F8" s="23">
        <v>0.93</v>
      </c>
      <c r="G8" s="23">
        <v>0.92</v>
      </c>
      <c r="H8" s="23">
        <v>0.91</v>
      </c>
      <c r="I8" s="23">
        <v>0.9</v>
      </c>
      <c r="J8" s="23">
        <v>0.89</v>
      </c>
      <c r="K8" s="23"/>
    </row>
    <row r="10" spans="1:11" x14ac:dyDescent="0.6">
      <c r="A10" s="83" t="s">
        <v>401</v>
      </c>
      <c r="B10" s="66"/>
      <c r="C10" s="66"/>
      <c r="D10" s="66"/>
      <c r="E10" s="66"/>
      <c r="F10" s="66"/>
      <c r="G10" s="66"/>
      <c r="H10" s="66"/>
      <c r="I10" s="66"/>
      <c r="J10" s="66"/>
      <c r="K10" s="67"/>
    </row>
    <row r="11" spans="1:11" ht="50.65" x14ac:dyDescent="0.6">
      <c r="A11" s="2" t="s">
        <v>402</v>
      </c>
      <c r="B11" s="14" t="str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85" t="s">
        <v>403</v>
      </c>
      <c r="D11" s="66"/>
      <c r="E11" s="66"/>
      <c r="F11" s="66"/>
      <c r="G11" s="66"/>
      <c r="H11" s="66"/>
      <c r="I11" s="66"/>
      <c r="J11" s="66"/>
      <c r="K11" s="67"/>
    </row>
  </sheetData>
  <mergeCells count="4">
    <mergeCell ref="A2:K2"/>
    <mergeCell ref="A1:K1"/>
    <mergeCell ref="C11:K11"/>
    <mergeCell ref="A10:K10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4B5"/>
  </sheetPr>
  <dimension ref="A1:U91"/>
  <sheetViews>
    <sheetView workbookViewId="0">
      <pane xSplit="3" ySplit="5" topLeftCell="D6" activePane="bottomRight" state="frozen"/>
      <selection pane="topRight"/>
      <selection pane="bottomLeft"/>
      <selection pane="bottomRight" activeCell="I6" sqref="I6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2" customWidth="1"/>
    <col min="9" max="9" width="11" customWidth="1"/>
    <col min="10" max="11" width="5" customWidth="1"/>
    <col min="12" max="12" width="8" customWidth="1"/>
    <col min="13" max="15" width="9" customWidth="1"/>
    <col min="16" max="16" width="8" customWidth="1"/>
    <col min="17" max="17" width="25" customWidth="1"/>
  </cols>
  <sheetData>
    <row r="1" spans="1:21" ht="30" customHeight="1" x14ac:dyDescent="0.6">
      <c r="A1" s="82" t="s">
        <v>404</v>
      </c>
      <c r="B1" s="86"/>
      <c r="C1" s="86"/>
      <c r="D1" s="86"/>
      <c r="E1" s="86"/>
      <c r="F1" s="86"/>
      <c r="G1" s="86"/>
      <c r="H1" s="86"/>
      <c r="I1" s="86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24" customHeight="1" x14ac:dyDescent="0.6">
      <c r="A2" s="74" t="s">
        <v>405</v>
      </c>
      <c r="B2" s="86"/>
      <c r="C2" s="86"/>
      <c r="D2" s="86"/>
      <c r="E2" s="86"/>
      <c r="F2" s="86"/>
      <c r="G2" s="86"/>
      <c r="H2" s="86"/>
      <c r="I2" s="86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1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spans="1:21" ht="24" customHeight="1" x14ac:dyDescent="0.6">
      <c r="A4" s="87" t="s">
        <v>406</v>
      </c>
      <c r="B4" s="86"/>
      <c r="C4" s="86"/>
      <c r="D4" s="86"/>
      <c r="E4" s="86"/>
      <c r="F4" s="86"/>
      <c r="G4" s="86"/>
      <c r="H4" s="86"/>
      <c r="I4" s="86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spans="1:21" ht="28.05" customHeight="1" x14ac:dyDescent="0.6">
      <c r="A5" s="15" t="s">
        <v>144</v>
      </c>
      <c r="B5" s="15" t="s">
        <v>145</v>
      </c>
      <c r="C5" s="15" t="s">
        <v>146</v>
      </c>
      <c r="D5" s="15" t="s">
        <v>148</v>
      </c>
      <c r="E5" s="15" t="s">
        <v>151</v>
      </c>
      <c r="F5" s="15" t="s">
        <v>407</v>
      </c>
      <c r="G5" s="15" t="s">
        <v>408</v>
      </c>
      <c r="H5" s="15" t="s">
        <v>409</v>
      </c>
      <c r="I5" s="15" t="s">
        <v>410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spans="1:21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'01_인적정보'!E6</f>
        <v>프로젝트영업</v>
      </c>
      <c r="E6" s="11" t="str">
        <f>'01_인적정보'!H6</f>
        <v>G6</v>
      </c>
      <c r="F6" s="13">
        <f>'07a_상반기입력'!G6</f>
        <v>0</v>
      </c>
      <c r="G6" s="13">
        <f>'07a_상반기입력'!H6</f>
        <v>0</v>
      </c>
      <c r="H6" s="39">
        <f>IFERROR(IF(AND(F6&lt;&gt;"",G6&lt;&gt;""),'02_의사결정·종합결과'!$B$67*IF(F6="S",5,IF(F6="A",4,IF(F6="B",3,IF(F6="C",2,IF(F6="D",1,0)))))+'02_의사결정·종합결과'!$B$68*IF(G6="S",5,IF(G6="A",4,IF(G6="B",3,IF(G6="C",2,IF(G6="D",1,0))))),IF(F6&lt;&gt;"",IF(F6="S",5,IF(F6="A",4,IF(F6="B",3,IF(F6="C",2,IF(F6="D",1,0))))),IF(G6&lt;&gt;"",IF(G6="S",5,IF(G6="A",4,IF(G6="B",3,IF(G6="C",2,IF(G6="D",1,0))))),""))),"")</f>
        <v>0</v>
      </c>
      <c r="I6" s="40" t="str">
        <f t="shared" ref="I6:I39" si="0">IF(H6="","",IF(H6&gt;=4.5,"S",IF(H6&gt;=3.5,"A",IF(H6&gt;=2.5,"B",IF(H6&gt;=1.5,"C","D")))))</f>
        <v>D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</row>
    <row r="7" spans="1:21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'01_인적정보'!E7</f>
        <v>연구개발(R&amp;D)</v>
      </c>
      <c r="E7" s="11" t="str">
        <f>'01_인적정보'!H7</f>
        <v>G6</v>
      </c>
      <c r="F7" s="13">
        <f>'07a_상반기입력'!G7</f>
        <v>0</v>
      </c>
      <c r="G7" s="13">
        <f>'07a_상반기입력'!H7</f>
        <v>0</v>
      </c>
      <c r="H7" s="39">
        <f>IFERROR(IF(AND(F7&lt;&gt;"",G7&lt;&gt;""),'02_의사결정·종합결과'!$B$67*IF(F7="S",5,IF(F7="A",4,IF(F7="B",3,IF(F7="C",2,IF(F7="D",1,0)))))+'02_의사결정·종합결과'!$B$68*IF(G7="S",5,IF(G7="A",4,IF(G7="B",3,IF(G7="C",2,IF(G7="D",1,0))))),IF(F7&lt;&gt;"",IF(F7="S",5,IF(F7="A",4,IF(F7="B",3,IF(F7="C",2,IF(F7="D",1,0))))),IF(G7&lt;&gt;"",IF(G7="S",5,IF(G7="A",4,IF(G7="B",3,IF(G7="C",2,IF(G7="D",1,0))))),""))),"")</f>
        <v>0</v>
      </c>
      <c r="I7" s="40" t="str">
        <f t="shared" si="0"/>
        <v>D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</row>
    <row r="8" spans="1:21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'01_인적정보'!E8</f>
        <v>BIM컨설팅</v>
      </c>
      <c r="E8" s="11" t="str">
        <f>'01_인적정보'!H8</f>
        <v>G6</v>
      </c>
      <c r="F8" s="13">
        <f>'07a_상반기입력'!G8</f>
        <v>0</v>
      </c>
      <c r="G8" s="13">
        <f>'07a_상반기입력'!H8</f>
        <v>0</v>
      </c>
      <c r="H8" s="39">
        <f>IFERROR(IF(AND(F8&lt;&gt;"",G8&lt;&gt;""),'02_의사결정·종합결과'!$B$67*IF(F8="S",5,IF(F8="A",4,IF(F8="B",3,IF(F8="C",2,IF(F8="D",1,0)))))+'02_의사결정·종합결과'!$B$68*IF(G8="S",5,IF(G8="A",4,IF(G8="B",3,IF(G8="C",2,IF(G8="D",1,0))))),IF(F8&lt;&gt;"",IF(F8="S",5,IF(F8="A",4,IF(F8="B",3,IF(F8="C",2,IF(F8="D",1,0))))),IF(G8&lt;&gt;"",IF(G8="S",5,IF(G8="A",4,IF(G8="B",3,IF(G8="C",2,IF(G8="D",1,0))))),""))),"")</f>
        <v>0</v>
      </c>
      <c r="I8" s="40" t="str">
        <f t="shared" si="0"/>
        <v>D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9" spans="1:21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'01_인적정보'!E9</f>
        <v>경영전략기획</v>
      </c>
      <c r="E9" s="11" t="str">
        <f>'01_인적정보'!H9</f>
        <v>G6</v>
      </c>
      <c r="F9" s="13">
        <f>'07a_상반기입력'!G9</f>
        <v>0</v>
      </c>
      <c r="G9" s="13">
        <f>'07a_상반기입력'!H9</f>
        <v>0</v>
      </c>
      <c r="H9" s="39">
        <f>IFERROR(IF(AND(F9&lt;&gt;"",G9&lt;&gt;""),'02_의사결정·종합결과'!$B$67*IF(F9="S",5,IF(F9="A",4,IF(F9="B",3,IF(F9="C",2,IF(F9="D",1,0)))))+'02_의사결정·종합결과'!$B$68*IF(G9="S",5,IF(G9="A",4,IF(G9="B",3,IF(G9="C",2,IF(G9="D",1,0))))),IF(F9&lt;&gt;"",IF(F9="S",5,IF(F9="A",4,IF(F9="B",3,IF(F9="C",2,IF(F9="D",1,0))))),IF(G9&lt;&gt;"",IF(G9="S",5,IF(G9="A",4,IF(G9="B",3,IF(G9="C",2,IF(G9="D",1,0))))),""))),"")</f>
        <v>0</v>
      </c>
      <c r="I9" s="40" t="str">
        <f t="shared" si="0"/>
        <v>D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</row>
    <row r="10" spans="1:21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'01_인적정보'!E10</f>
        <v>경영전략기획</v>
      </c>
      <c r="E10" s="11" t="str">
        <f>'01_인적정보'!H10</f>
        <v>G6</v>
      </c>
      <c r="F10" s="13">
        <f>'07a_상반기입력'!G10</f>
        <v>0</v>
      </c>
      <c r="G10" s="13">
        <f>'07a_상반기입력'!H10</f>
        <v>0</v>
      </c>
      <c r="H10" s="39">
        <f>IFERROR(IF(AND(F10&lt;&gt;"",G10&lt;&gt;""),'02_의사결정·종합결과'!$B$67*IF(F10="S",5,IF(F10="A",4,IF(F10="B",3,IF(F10="C",2,IF(F10="D",1,0)))))+'02_의사결정·종합결과'!$B$68*IF(G10="S",5,IF(G10="A",4,IF(G10="B",3,IF(G10="C",2,IF(G10="D",1,0))))),IF(F10&lt;&gt;"",IF(F10="S",5,IF(F10="A",4,IF(F10="B",3,IF(F10="C",2,IF(F10="D",1,0))))),IF(G10&lt;&gt;"",IF(G10="S",5,IF(G10="A",4,IF(G10="B",3,IF(G10="C",2,IF(G10="D",1,0))))),""))),"")</f>
        <v>0</v>
      </c>
      <c r="I10" s="40" t="str">
        <f t="shared" si="0"/>
        <v>D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spans="1:21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'01_인적정보'!E11</f>
        <v>경영전략기획</v>
      </c>
      <c r="E11" s="11" t="str">
        <f>'01_인적정보'!H11</f>
        <v>G6</v>
      </c>
      <c r="F11" s="13">
        <f>'07a_상반기입력'!G11</f>
        <v>0</v>
      </c>
      <c r="G11" s="13">
        <f>'07a_상반기입력'!H11</f>
        <v>0</v>
      </c>
      <c r="H11" s="39">
        <f>IFERROR(IF(AND(F11&lt;&gt;"",G11&lt;&gt;""),'02_의사결정·종합결과'!$B$67*IF(F11="S",5,IF(F11="A",4,IF(F11="B",3,IF(F11="C",2,IF(F11="D",1,0)))))+'02_의사결정·종합결과'!$B$68*IF(G11="S",5,IF(G11="A",4,IF(G11="B",3,IF(G11="C",2,IF(G11="D",1,0))))),IF(F11&lt;&gt;"",IF(F11="S",5,IF(F11="A",4,IF(F11="B",3,IF(F11="C",2,IF(F11="D",1,0))))),IF(G11&lt;&gt;"",IF(G11="S",5,IF(G11="A",4,IF(G11="B",3,IF(G11="C",2,IF(G11="D",1,0))))),""))),"")</f>
        <v>0</v>
      </c>
      <c r="I11" s="40" t="str">
        <f t="shared" si="0"/>
        <v>D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</row>
    <row r="12" spans="1:21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'01_인적정보'!E12</f>
        <v>교육</v>
      </c>
      <c r="E12" s="11" t="str">
        <f>'01_인적정보'!H12</f>
        <v>G5-M</v>
      </c>
      <c r="F12" s="13">
        <f>'07a_상반기입력'!G12</f>
        <v>0</v>
      </c>
      <c r="G12" s="13">
        <f>'07a_상반기입력'!H12</f>
        <v>0</v>
      </c>
      <c r="H12" s="39">
        <f>IFERROR(IF(AND(F12&lt;&gt;"",G12&lt;&gt;""),'02_의사결정·종합결과'!$B$67*IF(F12="S",5,IF(F12="A",4,IF(F12="B",3,IF(F12="C",2,IF(F12="D",1,0)))))+'02_의사결정·종합결과'!$B$68*IF(G12="S",5,IF(G12="A",4,IF(G12="B",3,IF(G12="C",2,IF(G12="D",1,0))))),IF(F12&lt;&gt;"",IF(F12="S",5,IF(F12="A",4,IF(F12="B",3,IF(F12="C",2,IF(F12="D",1,0))))),IF(G12&lt;&gt;"",IF(G12="S",5,IF(G12="A",4,IF(G12="B",3,IF(G12="C",2,IF(G12="D",1,0))))),""))),"")</f>
        <v>0</v>
      </c>
      <c r="I12" s="40" t="str">
        <f t="shared" si="0"/>
        <v>D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spans="1:21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'01_인적정보'!E13</f>
        <v>기술지원</v>
      </c>
      <c r="E13" s="11" t="str">
        <f>'01_인적정보'!H13</f>
        <v>G5-M</v>
      </c>
      <c r="F13" s="13">
        <f>'07a_상반기입력'!G13</f>
        <v>0</v>
      </c>
      <c r="G13" s="13">
        <f>'07a_상반기입력'!H13</f>
        <v>0</v>
      </c>
      <c r="H13" s="39">
        <f>IFERROR(IF(AND(F13&lt;&gt;"",G13&lt;&gt;""),'02_의사결정·종합결과'!$B$67*IF(F13="S",5,IF(F13="A",4,IF(F13="B",3,IF(F13="C",2,IF(F13="D",1,0)))))+'02_의사결정·종합결과'!$B$68*IF(G13="S",5,IF(G13="A",4,IF(G13="B",3,IF(G13="C",2,IF(G13="D",1,0))))),IF(F13&lt;&gt;"",IF(F13="S",5,IF(F13="A",4,IF(F13="B",3,IF(F13="C",2,IF(F13="D",1,0))))),IF(G13&lt;&gt;"",IF(G13="S",5,IF(G13="A",4,IF(G13="B",3,IF(G13="C",2,IF(G13="D",1,0))))),""))),"")</f>
        <v>0</v>
      </c>
      <c r="I13" s="40" t="str">
        <f t="shared" si="0"/>
        <v>D</v>
      </c>
      <c r="J13" s="58"/>
      <c r="K13" s="58"/>
      <c r="L13" s="63"/>
      <c r="M13" s="58"/>
      <c r="N13" s="58"/>
      <c r="O13" s="58"/>
      <c r="P13" s="64"/>
      <c r="Q13" s="58"/>
      <c r="R13" s="58"/>
      <c r="S13" s="58"/>
      <c r="T13" s="58"/>
      <c r="U13" s="58"/>
    </row>
    <row r="14" spans="1:21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'01_인적정보'!E14</f>
        <v>BIM컨설팅</v>
      </c>
      <c r="E14" s="11" t="str">
        <f>'01_인적정보'!H14</f>
        <v>G5-M</v>
      </c>
      <c r="F14" s="13">
        <f>'07a_상반기입력'!G14</f>
        <v>0</v>
      </c>
      <c r="G14" s="13">
        <f>'07a_상반기입력'!H14</f>
        <v>0</v>
      </c>
      <c r="H14" s="39">
        <f>IFERROR(IF(AND(F14&lt;&gt;"",G14&lt;&gt;""),'02_의사결정·종합결과'!$B$67*IF(F14="S",5,IF(F14="A",4,IF(F14="B",3,IF(F14="C",2,IF(F14="D",1,0)))))+'02_의사결정·종합결과'!$B$68*IF(G14="S",5,IF(G14="A",4,IF(G14="B",3,IF(G14="C",2,IF(G14="D",1,0))))),IF(F14&lt;&gt;"",IF(F14="S",5,IF(F14="A",4,IF(F14="B",3,IF(F14="C",2,IF(F14="D",1,0))))),IF(G14&lt;&gt;"",IF(G14="S",5,IF(G14="A",4,IF(G14="B",3,IF(G14="C",2,IF(G14="D",1,0))))),""))),"")</f>
        <v>0</v>
      </c>
      <c r="I14" s="40" t="str">
        <f t="shared" si="0"/>
        <v>D</v>
      </c>
      <c r="J14" s="58"/>
      <c r="K14" s="58"/>
      <c r="L14" s="63"/>
      <c r="M14" s="58"/>
      <c r="N14" s="58"/>
      <c r="O14" s="58"/>
      <c r="P14" s="64"/>
      <c r="Q14" s="58"/>
      <c r="R14" s="58"/>
      <c r="S14" s="58"/>
      <c r="T14" s="58"/>
      <c r="U14" s="58"/>
    </row>
    <row r="15" spans="1:21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'01_인적정보'!E15</f>
        <v>BIM컨설팅</v>
      </c>
      <c r="E15" s="11" t="str">
        <f>'01_인적정보'!H15</f>
        <v>G5-S</v>
      </c>
      <c r="F15" s="13">
        <f>'07a_상반기입력'!G15</f>
        <v>0</v>
      </c>
      <c r="G15" s="13">
        <f>'07a_상반기입력'!H15</f>
        <v>0</v>
      </c>
      <c r="H15" s="39">
        <f>IFERROR(IF(AND(F15&lt;&gt;"",G15&lt;&gt;""),'02_의사결정·종합결과'!$B$67*IF(F15="S",5,IF(F15="A",4,IF(F15="B",3,IF(F15="C",2,IF(F15="D",1,0)))))+'02_의사결정·종합결과'!$B$68*IF(G15="S",5,IF(G15="A",4,IF(G15="B",3,IF(G15="C",2,IF(G15="D",1,0))))),IF(F15&lt;&gt;"",IF(F15="S",5,IF(F15="A",4,IF(F15="B",3,IF(F15="C",2,IF(F15="D",1,0))))),IF(G15&lt;&gt;"",IF(G15="S",5,IF(G15="A",4,IF(G15="B",3,IF(G15="C",2,IF(G15="D",1,0))))),""))),"")</f>
        <v>0</v>
      </c>
      <c r="I15" s="40" t="str">
        <f t="shared" si="0"/>
        <v>D</v>
      </c>
      <c r="J15" s="58"/>
      <c r="K15" s="58"/>
      <c r="L15" s="63"/>
      <c r="M15" s="58"/>
      <c r="N15" s="58"/>
      <c r="O15" s="58"/>
      <c r="P15" s="64"/>
      <c r="Q15" s="58"/>
      <c r="R15" s="58"/>
      <c r="S15" s="58"/>
      <c r="T15" s="58"/>
      <c r="U15" s="58"/>
    </row>
    <row r="16" spans="1:21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'01_인적정보'!E16</f>
        <v>BIM컨설팅</v>
      </c>
      <c r="E16" s="11" t="str">
        <f>'01_인적정보'!H16</f>
        <v>G5-S</v>
      </c>
      <c r="F16" s="13">
        <f>'07a_상반기입력'!G16</f>
        <v>0</v>
      </c>
      <c r="G16" s="13">
        <f>'07a_상반기입력'!H16</f>
        <v>0</v>
      </c>
      <c r="H16" s="39">
        <f>IFERROR(IF(AND(F16&lt;&gt;"",G16&lt;&gt;""),'02_의사결정·종합결과'!$B$67*IF(F16="S",5,IF(F16="A",4,IF(F16="B",3,IF(F16="C",2,IF(F16="D",1,0)))))+'02_의사결정·종합결과'!$B$68*IF(G16="S",5,IF(G16="A",4,IF(G16="B",3,IF(G16="C",2,IF(G16="D",1,0))))),IF(F16&lt;&gt;"",IF(F16="S",5,IF(F16="A",4,IF(F16="B",3,IF(F16="C",2,IF(F16="D",1,0))))),IF(G16&lt;&gt;"",IF(G16="S",5,IF(G16="A",4,IF(G16="B",3,IF(G16="C",2,IF(G16="D",1,0))))),""))),"")</f>
        <v>0</v>
      </c>
      <c r="I16" s="40" t="str">
        <f t="shared" si="0"/>
        <v>D</v>
      </c>
      <c r="J16" s="58"/>
      <c r="K16" s="58"/>
      <c r="L16" s="63"/>
      <c r="M16" s="58"/>
      <c r="N16" s="58"/>
      <c r="O16" s="58"/>
      <c r="P16" s="64"/>
      <c r="Q16" s="58"/>
      <c r="R16" s="58"/>
      <c r="S16" s="58"/>
      <c r="T16" s="58"/>
      <c r="U16" s="58"/>
    </row>
    <row r="17" spans="1:21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'01_인적정보'!E17</f>
        <v>경영전략기획</v>
      </c>
      <c r="E17" s="11" t="str">
        <f>'01_인적정보'!H17</f>
        <v>G5-M</v>
      </c>
      <c r="F17" s="13">
        <f>'07a_상반기입력'!G17</f>
        <v>0</v>
      </c>
      <c r="G17" s="13">
        <f>'07a_상반기입력'!H17</f>
        <v>0</v>
      </c>
      <c r="H17" s="39">
        <f>IFERROR(IF(AND(F17&lt;&gt;"",G17&lt;&gt;""),'02_의사결정·종합결과'!$B$67*IF(F17="S",5,IF(F17="A",4,IF(F17="B",3,IF(F17="C",2,IF(F17="D",1,0)))))+'02_의사결정·종합결과'!$B$68*IF(G17="S",5,IF(G17="A",4,IF(G17="B",3,IF(G17="C",2,IF(G17="D",1,0))))),IF(F17&lt;&gt;"",IF(F17="S",5,IF(F17="A",4,IF(F17="B",3,IF(F17="C",2,IF(F17="D",1,0))))),IF(G17&lt;&gt;"",IF(G17="S",5,IF(G17="A",4,IF(G17="B",3,IF(G17="C",2,IF(G17="D",1,0))))),""))),"")</f>
        <v>0</v>
      </c>
      <c r="I17" s="40" t="str">
        <f t="shared" si="0"/>
        <v>D</v>
      </c>
      <c r="J17" s="58"/>
      <c r="K17" s="58"/>
      <c r="L17" s="63"/>
      <c r="M17" s="58"/>
      <c r="N17" s="58"/>
      <c r="O17" s="58"/>
      <c r="P17" s="64"/>
      <c r="Q17" s="58"/>
      <c r="R17" s="58"/>
      <c r="S17" s="58"/>
      <c r="T17" s="58"/>
      <c r="U17" s="58"/>
    </row>
    <row r="18" spans="1:21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'01_인적정보'!E18</f>
        <v>BIM컨설팅</v>
      </c>
      <c r="E18" s="11" t="str">
        <f>'01_인적정보'!H18</f>
        <v>G5-S</v>
      </c>
      <c r="F18" s="13">
        <f>'07a_상반기입력'!G18</f>
        <v>0</v>
      </c>
      <c r="G18" s="13">
        <f>'07a_상반기입력'!H18</f>
        <v>0</v>
      </c>
      <c r="H18" s="39">
        <f>IFERROR(IF(AND(F18&lt;&gt;"",G18&lt;&gt;""),'02_의사결정·종합결과'!$B$67*IF(F18="S",5,IF(F18="A",4,IF(F18="B",3,IF(F18="C",2,IF(F18="D",1,0)))))+'02_의사결정·종합결과'!$B$68*IF(G18="S",5,IF(G18="A",4,IF(G18="B",3,IF(G18="C",2,IF(G18="D",1,0))))),IF(F18&lt;&gt;"",IF(F18="S",5,IF(F18="A",4,IF(F18="B",3,IF(F18="C",2,IF(F18="D",1,0))))),IF(G18&lt;&gt;"",IF(G18="S",5,IF(G18="A",4,IF(G18="B",3,IF(G18="C",2,IF(G18="D",1,0))))),""))),"")</f>
        <v>0</v>
      </c>
      <c r="I18" s="40" t="str">
        <f t="shared" si="0"/>
        <v>D</v>
      </c>
      <c r="J18" s="58"/>
      <c r="K18" s="58"/>
      <c r="L18" s="63"/>
      <c r="M18" s="58"/>
      <c r="N18" s="58"/>
      <c r="O18" s="58"/>
      <c r="P18" s="64"/>
      <c r="Q18" s="58"/>
      <c r="R18" s="58"/>
      <c r="S18" s="58"/>
      <c r="T18" s="58"/>
      <c r="U18" s="58"/>
    </row>
    <row r="19" spans="1:21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'01_인적정보'!E19</f>
        <v>BIM컨설팅</v>
      </c>
      <c r="E19" s="11" t="str">
        <f>'01_인적정보'!H19</f>
        <v>G5-S</v>
      </c>
      <c r="F19" s="13">
        <f>'07a_상반기입력'!G19</f>
        <v>0</v>
      </c>
      <c r="G19" s="13">
        <f>'07a_상반기입력'!H19</f>
        <v>0</v>
      </c>
      <c r="H19" s="39">
        <f>IFERROR(IF(AND(F19&lt;&gt;"",G19&lt;&gt;""),'02_의사결정·종합결과'!$B$67*IF(F19="S",5,IF(F19="A",4,IF(F19="B",3,IF(F19="C",2,IF(F19="D",1,0)))))+'02_의사결정·종합결과'!$B$68*IF(G19="S",5,IF(G19="A",4,IF(G19="B",3,IF(G19="C",2,IF(G19="D",1,0))))),IF(F19&lt;&gt;"",IF(F19="S",5,IF(F19="A",4,IF(F19="B",3,IF(F19="C",2,IF(F19="D",1,0))))),IF(G19&lt;&gt;"",IF(G19="S",5,IF(G19="A",4,IF(G19="B",3,IF(G19="C",2,IF(G19="D",1,0))))),""))),"")</f>
        <v>0</v>
      </c>
      <c r="I19" s="40" t="str">
        <f t="shared" si="0"/>
        <v>D</v>
      </c>
      <c r="J19" s="58"/>
      <c r="K19" s="58"/>
      <c r="L19" s="63"/>
      <c r="M19" s="58"/>
      <c r="N19" s="58"/>
      <c r="O19" s="58"/>
      <c r="P19" s="64"/>
      <c r="Q19" s="58"/>
      <c r="R19" s="58"/>
      <c r="S19" s="58"/>
      <c r="T19" s="58"/>
      <c r="U19" s="58"/>
    </row>
    <row r="20" spans="1:21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'01_인적정보'!E20</f>
        <v>BIM컨설팅</v>
      </c>
      <c r="E20" s="11" t="str">
        <f>'01_인적정보'!H20</f>
        <v>G5-S</v>
      </c>
      <c r="F20" s="13">
        <f>'07a_상반기입력'!G20</f>
        <v>0</v>
      </c>
      <c r="G20" s="13">
        <f>'07a_상반기입력'!H20</f>
        <v>0</v>
      </c>
      <c r="H20" s="39">
        <f>IFERROR(IF(AND(F20&lt;&gt;"",G20&lt;&gt;""),'02_의사결정·종합결과'!$B$67*IF(F20="S",5,IF(F20="A",4,IF(F20="B",3,IF(F20="C",2,IF(F20="D",1,0)))))+'02_의사결정·종합결과'!$B$68*IF(G20="S",5,IF(G20="A",4,IF(G20="B",3,IF(G20="C",2,IF(G20="D",1,0))))),IF(F20&lt;&gt;"",IF(F20="S",5,IF(F20="A",4,IF(F20="B",3,IF(F20="C",2,IF(F20="D",1,0))))),IF(G20&lt;&gt;"",IF(G20="S",5,IF(G20="A",4,IF(G20="B",3,IF(G20="C",2,IF(G20="D",1,0))))),""))),"")</f>
        <v>0</v>
      </c>
      <c r="I20" s="40" t="str">
        <f t="shared" si="0"/>
        <v>D</v>
      </c>
      <c r="J20" s="58"/>
      <c r="K20" s="58"/>
      <c r="L20" s="63"/>
      <c r="M20" s="58"/>
      <c r="N20" s="58"/>
      <c r="O20" s="58"/>
      <c r="P20" s="64"/>
      <c r="Q20" s="58"/>
      <c r="R20" s="58"/>
      <c r="S20" s="58"/>
      <c r="T20" s="58"/>
      <c r="U20" s="58"/>
    </row>
    <row r="21" spans="1:21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'01_인적정보'!E21</f>
        <v>BIM컨설팅</v>
      </c>
      <c r="E21" s="11" t="str">
        <f>'01_인적정보'!H21</f>
        <v>G5-S</v>
      </c>
      <c r="F21" s="13">
        <f>'07a_상반기입력'!G21</f>
        <v>0</v>
      </c>
      <c r="G21" s="13">
        <f>'07a_상반기입력'!H21</f>
        <v>0</v>
      </c>
      <c r="H21" s="39">
        <f>IFERROR(IF(AND(F21&lt;&gt;"",G21&lt;&gt;""),'02_의사결정·종합결과'!$B$67*IF(F21="S",5,IF(F21="A",4,IF(F21="B",3,IF(F21="C",2,IF(F21="D",1,0)))))+'02_의사결정·종합결과'!$B$68*IF(G21="S",5,IF(G21="A",4,IF(G21="B",3,IF(G21="C",2,IF(G21="D",1,0))))),IF(F21&lt;&gt;"",IF(F21="S",5,IF(F21="A",4,IF(F21="B",3,IF(F21="C",2,IF(F21="D",1,0))))),IF(G21&lt;&gt;"",IF(G21="S",5,IF(G21="A",4,IF(G21="B",3,IF(G21="C",2,IF(G21="D",1,0))))),""))),"")</f>
        <v>0</v>
      </c>
      <c r="I21" s="40" t="str">
        <f t="shared" si="0"/>
        <v>D</v>
      </c>
      <c r="J21" s="58"/>
      <c r="K21" s="58"/>
      <c r="L21" s="63"/>
      <c r="M21" s="58"/>
      <c r="N21" s="58"/>
      <c r="O21" s="58"/>
      <c r="P21" s="64"/>
      <c r="Q21" s="58"/>
      <c r="R21" s="58"/>
      <c r="S21" s="58"/>
      <c r="T21" s="58"/>
      <c r="U21" s="58"/>
    </row>
    <row r="22" spans="1:21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'01_인적정보'!E22</f>
        <v>교육</v>
      </c>
      <c r="E22" s="11" t="str">
        <f>'01_인적정보'!H22</f>
        <v>G4</v>
      </c>
      <c r="F22" s="13">
        <f>'07a_상반기입력'!G22</f>
        <v>0</v>
      </c>
      <c r="G22" s="13">
        <f>'07a_상반기입력'!H22</f>
        <v>0</v>
      </c>
      <c r="H22" s="39">
        <f>IFERROR(IF(AND(F22&lt;&gt;"",G22&lt;&gt;""),'02_의사결정·종합결과'!$B$67*IF(F22="S",5,IF(F22="A",4,IF(F22="B",3,IF(F22="C",2,IF(F22="D",1,0)))))+'02_의사결정·종합결과'!$B$68*IF(G22="S",5,IF(G22="A",4,IF(G22="B",3,IF(G22="C",2,IF(G22="D",1,0))))),IF(F22&lt;&gt;"",IF(F22="S",5,IF(F22="A",4,IF(F22="B",3,IF(F22="C",2,IF(F22="D",1,0))))),IF(G22&lt;&gt;"",IF(G22="S",5,IF(G22="A",4,IF(G22="B",3,IF(G22="C",2,IF(G22="D",1,0))))),""))),"")</f>
        <v>0</v>
      </c>
      <c r="I22" s="40" t="str">
        <f t="shared" si="0"/>
        <v>D</v>
      </c>
      <c r="J22" s="58"/>
      <c r="K22" s="58"/>
      <c r="L22" s="63"/>
      <c r="M22" s="58"/>
      <c r="N22" s="58"/>
      <c r="O22" s="58"/>
      <c r="P22" s="64"/>
      <c r="Q22" s="58"/>
      <c r="R22" s="58"/>
      <c r="S22" s="58"/>
      <c r="T22" s="58"/>
      <c r="U22" s="58"/>
    </row>
    <row r="23" spans="1:21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'01_인적정보'!E23</f>
        <v>BIM컨설팅</v>
      </c>
      <c r="E23" s="11" t="str">
        <f>'01_인적정보'!H23</f>
        <v>G4</v>
      </c>
      <c r="F23" s="13">
        <f>'07a_상반기입력'!G23</f>
        <v>0</v>
      </c>
      <c r="G23" s="13">
        <f>'07a_상반기입력'!H23</f>
        <v>0</v>
      </c>
      <c r="H23" s="39">
        <f>IFERROR(IF(AND(F23&lt;&gt;"",G23&lt;&gt;""),'02_의사결정·종합결과'!$B$67*IF(F23="S",5,IF(F23="A",4,IF(F23="B",3,IF(F23="C",2,IF(F23="D",1,0)))))+'02_의사결정·종합결과'!$B$68*IF(G23="S",5,IF(G23="A",4,IF(G23="B",3,IF(G23="C",2,IF(G23="D",1,0))))),IF(F23&lt;&gt;"",IF(F23="S",5,IF(F23="A",4,IF(F23="B",3,IF(F23="C",2,IF(F23="D",1,0))))),IF(G23&lt;&gt;"",IF(G23="S",5,IF(G23="A",4,IF(G23="B",3,IF(G23="C",2,IF(G23="D",1,0))))),""))),"")</f>
        <v>0</v>
      </c>
      <c r="I23" s="40" t="str">
        <f t="shared" si="0"/>
        <v>D</v>
      </c>
      <c r="J23" s="58"/>
      <c r="K23" s="58"/>
      <c r="L23" s="63"/>
      <c r="M23" s="58"/>
      <c r="N23" s="58"/>
      <c r="O23" s="58"/>
      <c r="P23" s="64"/>
      <c r="Q23" s="58"/>
      <c r="R23" s="58"/>
      <c r="S23" s="58"/>
      <c r="T23" s="58"/>
      <c r="U23" s="58"/>
    </row>
    <row r="24" spans="1:21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'01_인적정보'!E24</f>
        <v>BIM컨설팅</v>
      </c>
      <c r="E24" s="11" t="str">
        <f>'01_인적정보'!H24</f>
        <v>G3</v>
      </c>
      <c r="F24" s="13">
        <f>'07a_상반기입력'!G24</f>
        <v>0</v>
      </c>
      <c r="G24" s="13">
        <f>'07a_상반기입력'!H24</f>
        <v>0</v>
      </c>
      <c r="H24" s="39">
        <f>IFERROR(IF(AND(F24&lt;&gt;"",G24&lt;&gt;""),'02_의사결정·종합결과'!$B$67*IF(F24="S",5,IF(F24="A",4,IF(F24="B",3,IF(F24="C",2,IF(F24="D",1,0)))))+'02_의사결정·종합결과'!$B$68*IF(G24="S",5,IF(G24="A",4,IF(G24="B",3,IF(G24="C",2,IF(G24="D",1,0))))),IF(F24&lt;&gt;"",IF(F24="S",5,IF(F24="A",4,IF(F24="B",3,IF(F24="C",2,IF(F24="D",1,0))))),IF(G24&lt;&gt;"",IF(G24="S",5,IF(G24="A",4,IF(G24="B",3,IF(G24="C",2,IF(G24="D",1,0))))),""))),"")</f>
        <v>0</v>
      </c>
      <c r="I24" s="40" t="str">
        <f t="shared" si="0"/>
        <v>D</v>
      </c>
      <c r="J24" s="58"/>
      <c r="K24" s="58"/>
      <c r="L24" s="63"/>
      <c r="M24" s="58"/>
      <c r="N24" s="58"/>
      <c r="O24" s="58"/>
      <c r="P24" s="64"/>
      <c r="Q24" s="58"/>
      <c r="R24" s="58"/>
      <c r="S24" s="58"/>
      <c r="T24" s="58"/>
      <c r="U24" s="58"/>
    </row>
    <row r="25" spans="1:21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'01_인적정보'!E25</f>
        <v>기술지원</v>
      </c>
      <c r="E25" s="11" t="str">
        <f>'01_인적정보'!H25</f>
        <v>G3</v>
      </c>
      <c r="F25" s="13">
        <f>'07a_상반기입력'!G25</f>
        <v>0</v>
      </c>
      <c r="G25" s="13">
        <f>'07a_상반기입력'!H25</f>
        <v>0</v>
      </c>
      <c r="H25" s="39">
        <f>IFERROR(IF(AND(F25&lt;&gt;"",G25&lt;&gt;""),'02_의사결정·종합결과'!$B$67*IF(F25="S",5,IF(F25="A",4,IF(F25="B",3,IF(F25="C",2,IF(F25="D",1,0)))))+'02_의사결정·종합결과'!$B$68*IF(G25="S",5,IF(G25="A",4,IF(G25="B",3,IF(G25="C",2,IF(G25="D",1,0))))),IF(F25&lt;&gt;"",IF(F25="S",5,IF(F25="A",4,IF(F25="B",3,IF(F25="C",2,IF(F25="D",1,0))))),IF(G25&lt;&gt;"",IF(G25="S",5,IF(G25="A",4,IF(G25="B",3,IF(G25="C",2,IF(G25="D",1,0))))),""))),"")</f>
        <v>0</v>
      </c>
      <c r="I25" s="40" t="str">
        <f t="shared" si="0"/>
        <v>D</v>
      </c>
      <c r="J25" s="58"/>
      <c r="K25" s="58"/>
      <c r="L25" s="63"/>
      <c r="M25" s="58"/>
      <c r="N25" s="58"/>
      <c r="O25" s="58"/>
      <c r="P25" s="64"/>
      <c r="Q25" s="58"/>
      <c r="R25" s="58"/>
      <c r="S25" s="58"/>
      <c r="T25" s="58"/>
      <c r="U25" s="58"/>
    </row>
    <row r="26" spans="1:21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'01_인적정보'!E26</f>
        <v>BIM컨설팅</v>
      </c>
      <c r="E26" s="11" t="str">
        <f>'01_인적정보'!H26</f>
        <v>G2</v>
      </c>
      <c r="F26" s="13">
        <f>'07a_상반기입력'!G26</f>
        <v>0</v>
      </c>
      <c r="G26" s="13">
        <f>'07a_상반기입력'!H26</f>
        <v>0</v>
      </c>
      <c r="H26" s="39">
        <f>IFERROR(IF(AND(F26&lt;&gt;"",G26&lt;&gt;""),'02_의사결정·종합결과'!$B$67*IF(F26="S",5,IF(F26="A",4,IF(F26="B",3,IF(F26="C",2,IF(F26="D",1,0)))))+'02_의사결정·종합결과'!$B$68*IF(G26="S",5,IF(G26="A",4,IF(G26="B",3,IF(G26="C",2,IF(G26="D",1,0))))),IF(F26&lt;&gt;"",IF(F26="S",5,IF(F26="A",4,IF(F26="B",3,IF(F26="C",2,IF(F26="D",1,0))))),IF(G26&lt;&gt;"",IF(G26="S",5,IF(G26="A",4,IF(G26="B",3,IF(G26="C",2,IF(G26="D",1,0))))),""))),"")</f>
        <v>0</v>
      </c>
      <c r="I26" s="40" t="str">
        <f t="shared" si="0"/>
        <v>D</v>
      </c>
      <c r="J26" s="58"/>
      <c r="K26" s="58"/>
      <c r="L26" s="63"/>
      <c r="M26" s="58"/>
      <c r="N26" s="58"/>
      <c r="O26" s="58"/>
      <c r="P26" s="64"/>
      <c r="Q26" s="58"/>
      <c r="R26" s="58"/>
      <c r="S26" s="58"/>
      <c r="T26" s="58"/>
      <c r="U26" s="58"/>
    </row>
    <row r="27" spans="1:21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'01_인적정보'!E27</f>
        <v>BIM컨설팅</v>
      </c>
      <c r="E27" s="11" t="str">
        <f>'01_인적정보'!H27</f>
        <v>G2</v>
      </c>
      <c r="F27" s="13">
        <f>'07a_상반기입력'!G27</f>
        <v>0</v>
      </c>
      <c r="G27" s="13">
        <f>'07a_상반기입력'!H27</f>
        <v>0</v>
      </c>
      <c r="H27" s="39">
        <f>IFERROR(IF(AND(F27&lt;&gt;"",G27&lt;&gt;""),'02_의사결정·종합결과'!$B$67*IF(F27="S",5,IF(F27="A",4,IF(F27="B",3,IF(F27="C",2,IF(F27="D",1,0)))))+'02_의사결정·종합결과'!$B$68*IF(G27="S",5,IF(G27="A",4,IF(G27="B",3,IF(G27="C",2,IF(G27="D",1,0))))),IF(F27&lt;&gt;"",IF(F27="S",5,IF(F27="A",4,IF(F27="B",3,IF(F27="C",2,IF(F27="D",1,0))))),IF(G27&lt;&gt;"",IF(G27="S",5,IF(G27="A",4,IF(G27="B",3,IF(G27="C",2,IF(G27="D",1,0))))),""))),"")</f>
        <v>0</v>
      </c>
      <c r="I27" s="40" t="str">
        <f t="shared" si="0"/>
        <v>D</v>
      </c>
      <c r="J27" s="58"/>
      <c r="K27" s="58"/>
      <c r="L27" s="63"/>
      <c r="M27" s="58"/>
      <c r="N27" s="58"/>
      <c r="O27" s="58"/>
      <c r="P27" s="64"/>
      <c r="Q27" s="58"/>
      <c r="R27" s="58"/>
      <c r="S27" s="58"/>
      <c r="T27" s="58"/>
      <c r="U27" s="58"/>
    </row>
    <row r="28" spans="1:21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'01_인적정보'!E28</f>
        <v>BIM컨설팅</v>
      </c>
      <c r="E28" s="11" t="str">
        <f>'01_인적정보'!H28</f>
        <v>G2</v>
      </c>
      <c r="F28" s="13">
        <f>'07a_상반기입력'!G28</f>
        <v>0</v>
      </c>
      <c r="G28" s="13">
        <f>'07a_상반기입력'!H28</f>
        <v>0</v>
      </c>
      <c r="H28" s="39">
        <f>IFERROR(IF(AND(F28&lt;&gt;"",G28&lt;&gt;""),'02_의사결정·종합결과'!$B$67*IF(F28="S",5,IF(F28="A",4,IF(F28="B",3,IF(F28="C",2,IF(F28="D",1,0)))))+'02_의사결정·종합결과'!$B$68*IF(G28="S",5,IF(G28="A",4,IF(G28="B",3,IF(G28="C",2,IF(G28="D",1,0))))),IF(F28&lt;&gt;"",IF(F28="S",5,IF(F28="A",4,IF(F28="B",3,IF(F28="C",2,IF(F28="D",1,0))))),IF(G28&lt;&gt;"",IF(G28="S",5,IF(G28="A",4,IF(G28="B",3,IF(G28="C",2,IF(G28="D",1,0))))),""))),"")</f>
        <v>0</v>
      </c>
      <c r="I28" s="40" t="str">
        <f t="shared" si="0"/>
        <v>D</v>
      </c>
      <c r="J28" s="58"/>
      <c r="K28" s="58"/>
      <c r="L28" s="63"/>
      <c r="M28" s="58"/>
      <c r="N28" s="58"/>
      <c r="O28" s="58"/>
      <c r="P28" s="64"/>
      <c r="Q28" s="58"/>
      <c r="R28" s="58"/>
      <c r="S28" s="58"/>
      <c r="T28" s="58"/>
      <c r="U28" s="58"/>
    </row>
    <row r="29" spans="1:21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'01_인적정보'!E29</f>
        <v>BIM컨설팅</v>
      </c>
      <c r="E29" s="11" t="str">
        <f>'01_인적정보'!H29</f>
        <v>G2</v>
      </c>
      <c r="F29" s="13">
        <f>'07a_상반기입력'!G29</f>
        <v>0</v>
      </c>
      <c r="G29" s="13">
        <f>'07a_상반기입력'!H29</f>
        <v>0</v>
      </c>
      <c r="H29" s="39">
        <f>IFERROR(IF(AND(F29&lt;&gt;"",G29&lt;&gt;""),'02_의사결정·종합결과'!$B$67*IF(F29="S",5,IF(F29="A",4,IF(F29="B",3,IF(F29="C",2,IF(F29="D",1,0)))))+'02_의사결정·종합결과'!$B$68*IF(G29="S",5,IF(G29="A",4,IF(G29="B",3,IF(G29="C",2,IF(G29="D",1,0))))),IF(F29&lt;&gt;"",IF(F29="S",5,IF(F29="A",4,IF(F29="B",3,IF(F29="C",2,IF(F29="D",1,0))))),IF(G29&lt;&gt;"",IF(G29="S",5,IF(G29="A",4,IF(G29="B",3,IF(G29="C",2,IF(G29="D",1,0))))),""))),"")</f>
        <v>0</v>
      </c>
      <c r="I29" s="40" t="str">
        <f t="shared" si="0"/>
        <v>D</v>
      </c>
      <c r="J29" s="58"/>
      <c r="K29" s="58"/>
      <c r="L29" s="63"/>
      <c r="M29" s="58"/>
      <c r="N29" s="58"/>
      <c r="O29" s="58"/>
      <c r="P29" s="64"/>
      <c r="Q29" s="58"/>
      <c r="R29" s="58"/>
      <c r="S29" s="58"/>
      <c r="T29" s="58"/>
      <c r="U29" s="58"/>
    </row>
    <row r="30" spans="1:21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'01_인적정보'!E30</f>
        <v>연구개발(R&amp;D)</v>
      </c>
      <c r="E30" s="11" t="str">
        <f>'01_인적정보'!H30</f>
        <v>G2</v>
      </c>
      <c r="F30" s="13">
        <f>'07a_상반기입력'!G30</f>
        <v>0</v>
      </c>
      <c r="G30" s="13">
        <f>'07a_상반기입력'!H30</f>
        <v>0</v>
      </c>
      <c r="H30" s="39">
        <f>IFERROR(IF(AND(F30&lt;&gt;"",G30&lt;&gt;""),'02_의사결정·종합결과'!$B$67*IF(F30="S",5,IF(F30="A",4,IF(F30="B",3,IF(F30="C",2,IF(F30="D",1,0)))))+'02_의사결정·종합결과'!$B$68*IF(G30="S",5,IF(G30="A",4,IF(G30="B",3,IF(G30="C",2,IF(G30="D",1,0))))),IF(F30&lt;&gt;"",IF(F30="S",5,IF(F30="A",4,IF(F30="B",3,IF(F30="C",2,IF(F30="D",1,0))))),IF(G30&lt;&gt;"",IF(G30="S",5,IF(G30="A",4,IF(G30="B",3,IF(G30="C",2,IF(G30="D",1,0))))),""))),"")</f>
        <v>0</v>
      </c>
      <c r="I30" s="40" t="str">
        <f t="shared" si="0"/>
        <v>D</v>
      </c>
      <c r="J30" s="58"/>
      <c r="K30" s="58"/>
      <c r="L30" s="63"/>
      <c r="M30" s="58"/>
      <c r="N30" s="58"/>
      <c r="O30" s="58"/>
      <c r="P30" s="64"/>
      <c r="Q30" s="58"/>
      <c r="R30" s="58"/>
      <c r="S30" s="58"/>
      <c r="T30" s="58"/>
      <c r="U30" s="58"/>
    </row>
    <row r="31" spans="1:21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'01_인적정보'!E31</f>
        <v>경영전략기획</v>
      </c>
      <c r="E31" s="11" t="str">
        <f>'01_인적정보'!H31</f>
        <v>G1</v>
      </c>
      <c r="F31" s="13">
        <f>'07a_상반기입력'!G31</f>
        <v>0</v>
      </c>
      <c r="G31" s="13">
        <f>'07a_상반기입력'!H31</f>
        <v>0</v>
      </c>
      <c r="H31" s="39">
        <f>IFERROR(IF(AND(F31&lt;&gt;"",G31&lt;&gt;""),'02_의사결정·종합결과'!$B$67*IF(F31="S",5,IF(F31="A",4,IF(F31="B",3,IF(F31="C",2,IF(F31="D",1,0)))))+'02_의사결정·종합결과'!$B$68*IF(G31="S",5,IF(G31="A",4,IF(G31="B",3,IF(G31="C",2,IF(G31="D",1,0))))),IF(F31&lt;&gt;"",IF(F31="S",5,IF(F31="A",4,IF(F31="B",3,IF(F31="C",2,IF(F31="D",1,0))))),IF(G31&lt;&gt;"",IF(G31="S",5,IF(G31="A",4,IF(G31="B",3,IF(G31="C",2,IF(G31="D",1,0))))),""))),"")</f>
        <v>0</v>
      </c>
      <c r="I31" s="40" t="str">
        <f t="shared" si="0"/>
        <v>D</v>
      </c>
      <c r="J31" s="58"/>
      <c r="K31" s="58"/>
      <c r="L31" s="63"/>
      <c r="M31" s="58"/>
      <c r="N31" s="58"/>
      <c r="O31" s="58"/>
      <c r="P31" s="64"/>
      <c r="Q31" s="58"/>
      <c r="R31" s="58"/>
      <c r="S31" s="58"/>
      <c r="T31" s="58"/>
      <c r="U31" s="58"/>
    </row>
    <row r="32" spans="1:21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'01_인적정보'!E32</f>
        <v>교육</v>
      </c>
      <c r="E32" s="11" t="str">
        <f>'01_인적정보'!H32</f>
        <v>G2</v>
      </c>
      <c r="F32" s="13">
        <f>'07a_상반기입력'!G32</f>
        <v>0</v>
      </c>
      <c r="G32" s="13">
        <f>'07a_상반기입력'!H32</f>
        <v>0</v>
      </c>
      <c r="H32" s="39">
        <f>IFERROR(IF(AND(F32&lt;&gt;"",G32&lt;&gt;""),'02_의사결정·종합결과'!$B$67*IF(F32="S",5,IF(F32="A",4,IF(F32="B",3,IF(F32="C",2,IF(F32="D",1,0)))))+'02_의사결정·종합결과'!$B$68*IF(G32="S",5,IF(G32="A",4,IF(G32="B",3,IF(G32="C",2,IF(G32="D",1,0))))),IF(F32&lt;&gt;"",IF(F32="S",5,IF(F32="A",4,IF(F32="B",3,IF(F32="C",2,IF(F32="D",1,0))))),IF(G32&lt;&gt;"",IF(G32="S",5,IF(G32="A",4,IF(G32="B",3,IF(G32="C",2,IF(G32="D",1,0))))),""))),"")</f>
        <v>0</v>
      </c>
      <c r="I32" s="40" t="str">
        <f t="shared" si="0"/>
        <v>D</v>
      </c>
      <c r="J32" s="58"/>
      <c r="K32" s="58"/>
      <c r="L32" s="63"/>
      <c r="M32" s="58"/>
      <c r="N32" s="58"/>
      <c r="O32" s="58"/>
      <c r="P32" s="64"/>
      <c r="Q32" s="58"/>
      <c r="R32" s="58"/>
      <c r="S32" s="58"/>
      <c r="T32" s="58"/>
      <c r="U32" s="58"/>
    </row>
    <row r="33" spans="1:21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'01_인적정보'!E33</f>
        <v>BIM컨설팅</v>
      </c>
      <c r="E33" s="11" t="str">
        <f>'01_인적정보'!H33</f>
        <v>G1</v>
      </c>
      <c r="F33" s="13">
        <f>'07a_상반기입력'!G33</f>
        <v>0</v>
      </c>
      <c r="G33" s="13">
        <f>'07a_상반기입력'!H33</f>
        <v>0</v>
      </c>
      <c r="H33" s="39">
        <f>IFERROR(IF(AND(F33&lt;&gt;"",G33&lt;&gt;""),'02_의사결정·종합결과'!$B$67*IF(F33="S",5,IF(F33="A",4,IF(F33="B",3,IF(F33="C",2,IF(F33="D",1,0)))))+'02_의사결정·종합결과'!$B$68*IF(G33="S",5,IF(G33="A",4,IF(G33="B",3,IF(G33="C",2,IF(G33="D",1,0))))),IF(F33&lt;&gt;"",IF(F33="S",5,IF(F33="A",4,IF(F33="B",3,IF(F33="C",2,IF(F33="D",1,0))))),IF(G33&lt;&gt;"",IF(G33="S",5,IF(G33="A",4,IF(G33="B",3,IF(G33="C",2,IF(G33="D",1,0))))),""))),"")</f>
        <v>0</v>
      </c>
      <c r="I33" s="40" t="str">
        <f t="shared" si="0"/>
        <v>D</v>
      </c>
      <c r="J33" s="58"/>
      <c r="K33" s="58"/>
      <c r="L33" s="63"/>
      <c r="M33" s="58"/>
      <c r="N33" s="58"/>
      <c r="O33" s="58"/>
      <c r="P33" s="64"/>
      <c r="Q33" s="58"/>
      <c r="R33" s="58"/>
      <c r="S33" s="58"/>
      <c r="T33" s="58"/>
      <c r="U33" s="58"/>
    </row>
    <row r="34" spans="1:21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'01_인적정보'!E34</f>
        <v>BIM컨설팅</v>
      </c>
      <c r="E34" s="11" t="str">
        <f>'01_인적정보'!H34</f>
        <v>G1</v>
      </c>
      <c r="F34" s="13">
        <f>'07a_상반기입력'!G34</f>
        <v>0</v>
      </c>
      <c r="G34" s="13">
        <f>'07a_상반기입력'!H34</f>
        <v>0</v>
      </c>
      <c r="H34" s="39">
        <f>IFERROR(IF(AND(F34&lt;&gt;"",G34&lt;&gt;""),'02_의사결정·종합결과'!$B$67*IF(F34="S",5,IF(F34="A",4,IF(F34="B",3,IF(F34="C",2,IF(F34="D",1,0)))))+'02_의사결정·종합결과'!$B$68*IF(G34="S",5,IF(G34="A",4,IF(G34="B",3,IF(G34="C",2,IF(G34="D",1,0))))),IF(F34&lt;&gt;"",IF(F34="S",5,IF(F34="A",4,IF(F34="B",3,IF(F34="C",2,IF(F34="D",1,0))))),IF(G34&lt;&gt;"",IF(G34="S",5,IF(G34="A",4,IF(G34="B",3,IF(G34="C",2,IF(G34="D",1,0))))),""))),"")</f>
        <v>0</v>
      </c>
      <c r="I34" s="40" t="str">
        <f t="shared" si="0"/>
        <v>D</v>
      </c>
      <c r="J34" s="58"/>
      <c r="K34" s="58"/>
      <c r="L34" s="63"/>
      <c r="M34" s="58"/>
      <c r="N34" s="58"/>
      <c r="O34" s="58"/>
      <c r="P34" s="64"/>
      <c r="Q34" s="58"/>
      <c r="R34" s="58"/>
      <c r="S34" s="58"/>
      <c r="T34" s="58"/>
      <c r="U34" s="58"/>
    </row>
    <row r="35" spans="1:21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'01_인적정보'!E35</f>
        <v>BIM컨설팅</v>
      </c>
      <c r="E35" s="11" t="str">
        <f>'01_인적정보'!H35</f>
        <v>G1</v>
      </c>
      <c r="F35" s="13">
        <f>'07a_상반기입력'!G35</f>
        <v>0</v>
      </c>
      <c r="G35" s="13">
        <f>'07a_상반기입력'!H35</f>
        <v>0</v>
      </c>
      <c r="H35" s="39">
        <f>IFERROR(IF(AND(F35&lt;&gt;"",G35&lt;&gt;""),'02_의사결정·종합결과'!$B$67*IF(F35="S",5,IF(F35="A",4,IF(F35="B",3,IF(F35="C",2,IF(F35="D",1,0)))))+'02_의사결정·종합결과'!$B$68*IF(G35="S",5,IF(G35="A",4,IF(G35="B",3,IF(G35="C",2,IF(G35="D",1,0))))),IF(F35&lt;&gt;"",IF(F35="S",5,IF(F35="A",4,IF(F35="B",3,IF(F35="C",2,IF(F35="D",1,0))))),IF(G35&lt;&gt;"",IF(G35="S",5,IF(G35="A",4,IF(G35="B",3,IF(G35="C",2,IF(G35="D",1,0))))),""))),"")</f>
        <v>0</v>
      </c>
      <c r="I35" s="40" t="str">
        <f t="shared" si="0"/>
        <v>D</v>
      </c>
      <c r="J35" s="58"/>
      <c r="K35" s="58"/>
      <c r="L35" s="63"/>
      <c r="M35" s="58"/>
      <c r="N35" s="58"/>
      <c r="O35" s="58"/>
      <c r="P35" s="64"/>
      <c r="Q35" s="58"/>
      <c r="R35" s="58"/>
      <c r="S35" s="58"/>
      <c r="T35" s="58"/>
      <c r="U35" s="58"/>
    </row>
    <row r="36" spans="1:21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'01_인적정보'!E36</f>
        <v>BIM컨설팅</v>
      </c>
      <c r="E36" s="11" t="str">
        <f>'01_인적정보'!H36</f>
        <v>G1</v>
      </c>
      <c r="F36" s="13">
        <f>'07a_상반기입력'!G36</f>
        <v>0</v>
      </c>
      <c r="G36" s="13">
        <f>'07a_상반기입력'!H36</f>
        <v>0</v>
      </c>
      <c r="H36" s="39">
        <f>IFERROR(IF(AND(F36&lt;&gt;"",G36&lt;&gt;""),'02_의사결정·종합결과'!$B$67*IF(F36="S",5,IF(F36="A",4,IF(F36="B",3,IF(F36="C",2,IF(F36="D",1,0)))))+'02_의사결정·종합결과'!$B$68*IF(G36="S",5,IF(G36="A",4,IF(G36="B",3,IF(G36="C",2,IF(G36="D",1,0))))),IF(F36&lt;&gt;"",IF(F36="S",5,IF(F36="A",4,IF(F36="B",3,IF(F36="C",2,IF(F36="D",1,0))))),IF(G36&lt;&gt;"",IF(G36="S",5,IF(G36="A",4,IF(G36="B",3,IF(G36="C",2,IF(G36="D",1,0))))),""))),"")</f>
        <v>0</v>
      </c>
      <c r="I36" s="40" t="str">
        <f t="shared" si="0"/>
        <v>D</v>
      </c>
      <c r="J36" s="58"/>
      <c r="K36" s="58"/>
      <c r="L36" s="63"/>
      <c r="M36" s="58"/>
      <c r="N36" s="58"/>
      <c r="O36" s="58"/>
      <c r="P36" s="64"/>
      <c r="Q36" s="58"/>
      <c r="R36" s="58"/>
      <c r="S36" s="58"/>
      <c r="T36" s="58"/>
      <c r="U36" s="58"/>
    </row>
    <row r="37" spans="1:21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'01_인적정보'!E37</f>
        <v>BIM컨설팅</v>
      </c>
      <c r="E37" s="11" t="str">
        <f>'01_인적정보'!H37</f>
        <v>G1</v>
      </c>
      <c r="F37" s="13">
        <f>'07a_상반기입력'!G37</f>
        <v>0</v>
      </c>
      <c r="G37" s="13">
        <f>'07a_상반기입력'!H37</f>
        <v>0</v>
      </c>
      <c r="H37" s="39">
        <f>IFERROR(IF(AND(F37&lt;&gt;"",G37&lt;&gt;""),'02_의사결정·종합결과'!$B$67*IF(F37="S",5,IF(F37="A",4,IF(F37="B",3,IF(F37="C",2,IF(F37="D",1,0)))))+'02_의사결정·종합결과'!$B$68*IF(G37="S",5,IF(G37="A",4,IF(G37="B",3,IF(G37="C",2,IF(G37="D",1,0))))),IF(F37&lt;&gt;"",IF(F37="S",5,IF(F37="A",4,IF(F37="B",3,IF(F37="C",2,IF(F37="D",1,0))))),IF(G37&lt;&gt;"",IF(G37="S",5,IF(G37="A",4,IF(G37="B",3,IF(G37="C",2,IF(G37="D",1,0))))),""))),"")</f>
        <v>0</v>
      </c>
      <c r="I37" s="40" t="str">
        <f t="shared" si="0"/>
        <v>D</v>
      </c>
      <c r="J37" s="58"/>
      <c r="K37" s="58"/>
      <c r="L37" s="63"/>
      <c r="M37" s="58"/>
      <c r="N37" s="58"/>
      <c r="O37" s="58"/>
      <c r="P37" s="64"/>
      <c r="Q37" s="58"/>
      <c r="R37" s="58"/>
      <c r="S37" s="58"/>
      <c r="T37" s="58"/>
      <c r="U37" s="58"/>
    </row>
    <row r="38" spans="1:21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'01_인적정보'!E38</f>
        <v>BIM컨설팅</v>
      </c>
      <c r="E38" s="11" t="str">
        <f>'01_인적정보'!H38</f>
        <v>G1</v>
      </c>
      <c r="F38" s="13">
        <f>'07a_상반기입력'!G38</f>
        <v>0</v>
      </c>
      <c r="G38" s="13">
        <f>'07a_상반기입력'!H38</f>
        <v>0</v>
      </c>
      <c r="H38" s="39">
        <f>IFERROR(IF(AND(F38&lt;&gt;"",G38&lt;&gt;""),'02_의사결정·종합결과'!$B$67*IF(F38="S",5,IF(F38="A",4,IF(F38="B",3,IF(F38="C",2,IF(F38="D",1,0)))))+'02_의사결정·종합결과'!$B$68*IF(G38="S",5,IF(G38="A",4,IF(G38="B",3,IF(G38="C",2,IF(G38="D",1,0))))),IF(F38&lt;&gt;"",IF(F38="S",5,IF(F38="A",4,IF(F38="B",3,IF(F38="C",2,IF(F38="D",1,0))))),IF(G38&lt;&gt;"",IF(G38="S",5,IF(G38="A",4,IF(G38="B",3,IF(G38="C",2,IF(G38="D",1,0))))),""))),"")</f>
        <v>0</v>
      </c>
      <c r="I38" s="40" t="str">
        <f t="shared" si="0"/>
        <v>D</v>
      </c>
      <c r="J38" s="58"/>
      <c r="K38" s="58"/>
      <c r="L38" s="63"/>
      <c r="M38" s="58"/>
      <c r="N38" s="58"/>
      <c r="O38" s="58"/>
      <c r="P38" s="64"/>
      <c r="Q38" s="58"/>
      <c r="R38" s="58"/>
      <c r="S38" s="58"/>
      <c r="T38" s="58"/>
      <c r="U38" s="58"/>
    </row>
    <row r="39" spans="1:21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'01_인적정보'!E39</f>
        <v>BIM컨설팅</v>
      </c>
      <c r="E39" s="11" t="str">
        <f>'01_인적정보'!H39</f>
        <v>G1</v>
      </c>
      <c r="F39" s="13">
        <f>'07a_상반기입력'!G39</f>
        <v>0</v>
      </c>
      <c r="G39" s="13">
        <f>'07a_상반기입력'!H39</f>
        <v>0</v>
      </c>
      <c r="H39" s="39">
        <f>IFERROR(IF(AND(F39&lt;&gt;"",G39&lt;&gt;""),'02_의사결정·종합결과'!$B$67*IF(F39="S",5,IF(F39="A",4,IF(F39="B",3,IF(F39="C",2,IF(F39="D",1,0)))))+'02_의사결정·종합결과'!$B$68*IF(G39="S",5,IF(G39="A",4,IF(G39="B",3,IF(G39="C",2,IF(G39="D",1,0))))),IF(F39&lt;&gt;"",IF(F39="S",5,IF(F39="A",4,IF(F39="B",3,IF(F39="C",2,IF(F39="D",1,0))))),IF(G39&lt;&gt;"",IF(G39="S",5,IF(G39="A",4,IF(G39="B",3,IF(G39="C",2,IF(G39="D",1,0))))),""))),"")</f>
        <v>0</v>
      </c>
      <c r="I39" s="40" t="str">
        <f t="shared" si="0"/>
        <v>D</v>
      </c>
      <c r="J39" s="58"/>
      <c r="K39" s="58"/>
      <c r="L39" s="63"/>
      <c r="M39" s="58"/>
      <c r="N39" s="58"/>
      <c r="O39" s="58"/>
      <c r="P39" s="64"/>
      <c r="Q39" s="58"/>
      <c r="R39" s="58"/>
      <c r="S39" s="58"/>
      <c r="T39" s="58"/>
      <c r="U39" s="58"/>
    </row>
    <row r="40" spans="1:21" ht="22.05" customHeight="1" x14ac:dyDescent="0.6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63"/>
      <c r="M40" s="58"/>
      <c r="N40" s="58"/>
      <c r="O40" s="58"/>
      <c r="P40" s="64"/>
      <c r="Q40" s="58"/>
      <c r="R40" s="58"/>
      <c r="S40" s="58"/>
      <c r="T40" s="58"/>
      <c r="U40" s="58"/>
    </row>
    <row r="41" spans="1:21" ht="22.05" customHeight="1" x14ac:dyDescent="0.6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63"/>
      <c r="M41" s="58"/>
      <c r="N41" s="58"/>
      <c r="O41" s="58"/>
      <c r="P41" s="64"/>
      <c r="Q41" s="58"/>
      <c r="R41" s="58"/>
      <c r="S41" s="58"/>
      <c r="T41" s="58"/>
      <c r="U41" s="58"/>
    </row>
    <row r="42" spans="1:21" ht="22.05" customHeight="1" x14ac:dyDescent="0.6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63"/>
      <c r="M42" s="58"/>
      <c r="N42" s="58"/>
      <c r="O42" s="58"/>
      <c r="P42" s="64"/>
      <c r="Q42" s="58"/>
      <c r="R42" s="58"/>
      <c r="S42" s="58"/>
      <c r="T42" s="58"/>
      <c r="U42" s="58"/>
    </row>
    <row r="43" spans="1:21" ht="22.05" customHeight="1" x14ac:dyDescent="0.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63"/>
      <c r="M43" s="58"/>
      <c r="N43" s="58"/>
      <c r="O43" s="58"/>
      <c r="P43" s="64"/>
      <c r="Q43" s="58"/>
      <c r="R43" s="58"/>
      <c r="S43" s="58"/>
      <c r="T43" s="58"/>
      <c r="U43" s="58"/>
    </row>
    <row r="44" spans="1:21" ht="24" customHeight="1" x14ac:dyDescent="0.6">
      <c r="A44" s="87" t="s">
        <v>411</v>
      </c>
      <c r="B44" s="86"/>
      <c r="C44" s="86"/>
      <c r="D44" s="86"/>
      <c r="E44" s="86"/>
      <c r="F44" s="86"/>
      <c r="G44" s="86"/>
      <c r="H44" s="86"/>
      <c r="I44" s="86"/>
      <c r="J44" s="58"/>
      <c r="K44" s="58"/>
      <c r="L44" s="63"/>
      <c r="M44" s="58"/>
      <c r="N44" s="58"/>
      <c r="O44" s="58"/>
      <c r="P44" s="64"/>
      <c r="Q44" s="58"/>
      <c r="R44" s="58"/>
      <c r="S44" s="58"/>
      <c r="T44" s="58"/>
      <c r="U44" s="58"/>
    </row>
    <row r="45" spans="1:21" ht="28.05" customHeight="1" x14ac:dyDescent="0.6">
      <c r="A45" s="15" t="s">
        <v>144</v>
      </c>
      <c r="B45" s="15" t="s">
        <v>145</v>
      </c>
      <c r="C45" s="15" t="s">
        <v>146</v>
      </c>
      <c r="D45" s="15" t="s">
        <v>148</v>
      </c>
      <c r="E45" s="15" t="s">
        <v>151</v>
      </c>
      <c r="F45" s="15" t="s">
        <v>407</v>
      </c>
      <c r="G45" s="15" t="s">
        <v>408</v>
      </c>
      <c r="H45" s="15" t="s">
        <v>409</v>
      </c>
      <c r="I45" s="15" t="s">
        <v>410</v>
      </c>
      <c r="J45" s="58"/>
      <c r="K45" s="58"/>
      <c r="L45" s="63"/>
      <c r="M45" s="58"/>
      <c r="N45" s="58"/>
      <c r="O45" s="58"/>
      <c r="P45" s="64"/>
      <c r="Q45" s="58"/>
      <c r="R45" s="58"/>
      <c r="S45" s="58"/>
      <c r="T45" s="58"/>
      <c r="U45" s="58"/>
    </row>
    <row r="46" spans="1:21" ht="22.05" customHeight="1" x14ac:dyDescent="0.6">
      <c r="A46" s="25">
        <f>'01_인적정보'!A6</f>
        <v>1</v>
      </c>
      <c r="B46" s="25" t="str">
        <f>'01_인적정보'!B6</f>
        <v>BSS-001</v>
      </c>
      <c r="C46" s="5" t="str">
        <f>'01_인적정보'!C6</f>
        <v>이화형</v>
      </c>
      <c r="D46" s="5" t="str">
        <f>'01_인적정보'!E6</f>
        <v>프로젝트영업</v>
      </c>
      <c r="E46" s="11" t="str">
        <f>'01_인적정보'!H6</f>
        <v>G6</v>
      </c>
      <c r="F46" s="13">
        <f>'07b_하반기입력'!G6</f>
        <v>0</v>
      </c>
      <c r="G46" s="13">
        <f>'07b_하반기입력'!H6</f>
        <v>0</v>
      </c>
      <c r="H46" s="39">
        <f>IFERROR(IF(AND(F46&lt;&gt;"",G46&lt;&gt;""),'02_의사결정·종합결과'!$B$67*IF(F46="S",5,IF(F46="A",4,IF(F46="B",3,IF(F46="C",2,IF(F46="D",1,0)))))+'02_의사결정·종합결과'!$B$68*IF(G46="S",5,IF(G46="A",4,IF(G46="B",3,IF(G46="C",2,IF(G46="D",1,0))))),IF(F46&lt;&gt;"",IF(F46="S",5,IF(F46="A",4,IF(F46="B",3,IF(F46="C",2,IF(F46="D",1,0))))),IF(G46&lt;&gt;"",IF(G46="S",5,IF(G46="A",4,IF(G46="B",3,IF(G46="C",2,IF(G46="D",1,0))))),""))),"")</f>
        <v>0</v>
      </c>
      <c r="I46" s="40" t="str">
        <f t="shared" ref="I46:I79" si="1">IF(H46="","",IF(H46&gt;=4.5,"S",IF(H46&gt;=3.5,"A",IF(H46&gt;=2.5,"B",IF(H46&gt;=1.5,"C","D")))))</f>
        <v>D</v>
      </c>
      <c r="J46" s="58"/>
      <c r="K46" s="58"/>
      <c r="L46" s="63"/>
      <c r="M46" s="58"/>
      <c r="N46" s="58"/>
      <c r="O46" s="58"/>
      <c r="P46" s="64"/>
      <c r="Q46" s="58"/>
      <c r="R46" s="58"/>
      <c r="S46" s="58"/>
      <c r="T46" s="58"/>
      <c r="U46" s="58"/>
    </row>
    <row r="47" spans="1:21" ht="22.05" customHeight="1" x14ac:dyDescent="0.6">
      <c r="A47" s="25">
        <f>'01_인적정보'!A7</f>
        <v>2</v>
      </c>
      <c r="B47" s="25" t="str">
        <f>'01_인적정보'!B7</f>
        <v>BSS-002</v>
      </c>
      <c r="C47" s="5" t="str">
        <f>'01_인적정보'!C7</f>
        <v>강전용</v>
      </c>
      <c r="D47" s="5" t="str">
        <f>'01_인적정보'!E7</f>
        <v>연구개발(R&amp;D)</v>
      </c>
      <c r="E47" s="11" t="str">
        <f>'01_인적정보'!H7</f>
        <v>G6</v>
      </c>
      <c r="F47" s="13">
        <f>'07b_하반기입력'!G7</f>
        <v>0</v>
      </c>
      <c r="G47" s="13">
        <f>'07b_하반기입력'!H7</f>
        <v>0</v>
      </c>
      <c r="H47" s="39">
        <f>IFERROR(IF(AND(F47&lt;&gt;"",G47&lt;&gt;""),'02_의사결정·종합결과'!$B$67*IF(F47="S",5,IF(F47="A",4,IF(F47="B",3,IF(F47="C",2,IF(F47="D",1,0)))))+'02_의사결정·종합결과'!$B$68*IF(G47="S",5,IF(G47="A",4,IF(G47="B",3,IF(G47="C",2,IF(G47="D",1,0))))),IF(F47&lt;&gt;"",IF(F47="S",5,IF(F47="A",4,IF(F47="B",3,IF(F47="C",2,IF(F47="D",1,0))))),IF(G47&lt;&gt;"",IF(G47="S",5,IF(G47="A",4,IF(G47="B",3,IF(G47="C",2,IF(G47="D",1,0))))),""))),"")</f>
        <v>0</v>
      </c>
      <c r="I47" s="40" t="str">
        <f t="shared" si="1"/>
        <v>D</v>
      </c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</row>
    <row r="48" spans="1:21" ht="22.05" customHeight="1" x14ac:dyDescent="0.6">
      <c r="A48" s="25">
        <f>'01_인적정보'!A8</f>
        <v>3</v>
      </c>
      <c r="B48" s="25" t="str">
        <f>'01_인적정보'!B8</f>
        <v>BSS-003</v>
      </c>
      <c r="C48" s="5" t="str">
        <f>'01_인적정보'!C8</f>
        <v>김현민</v>
      </c>
      <c r="D48" s="5" t="str">
        <f>'01_인적정보'!E8</f>
        <v>BIM컨설팅</v>
      </c>
      <c r="E48" s="11" t="str">
        <f>'01_인적정보'!H8</f>
        <v>G6</v>
      </c>
      <c r="F48" s="13">
        <f>'07b_하반기입력'!G8</f>
        <v>0</v>
      </c>
      <c r="G48" s="13">
        <f>'07b_하반기입력'!H8</f>
        <v>0</v>
      </c>
      <c r="H48" s="39">
        <f>IFERROR(IF(AND(F48&lt;&gt;"",G48&lt;&gt;""),'02_의사결정·종합결과'!$B$67*IF(F48="S",5,IF(F48="A",4,IF(F48="B",3,IF(F48="C",2,IF(F48="D",1,0)))))+'02_의사결정·종합결과'!$B$68*IF(G48="S",5,IF(G48="A",4,IF(G48="B",3,IF(G48="C",2,IF(G48="D",1,0))))),IF(F48&lt;&gt;"",IF(F48="S",5,IF(F48="A",4,IF(F48="B",3,IF(F48="C",2,IF(F48="D",1,0))))),IF(G48&lt;&gt;"",IF(G48="S",5,IF(G48="A",4,IF(G48="B",3,IF(G48="C",2,IF(G48="D",1,0))))),""))),"")</f>
        <v>0</v>
      </c>
      <c r="I48" s="40" t="str">
        <f t="shared" si="1"/>
        <v>D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</row>
    <row r="49" spans="1:21" ht="22.05" customHeight="1" x14ac:dyDescent="0.6">
      <c r="A49" s="25">
        <f>'01_인적정보'!A9</f>
        <v>4</v>
      </c>
      <c r="B49" s="25" t="str">
        <f>'01_인적정보'!B9</f>
        <v>BSS-004</v>
      </c>
      <c r="C49" s="5" t="str">
        <f>'01_인적정보'!C9</f>
        <v>이일곤</v>
      </c>
      <c r="D49" s="5" t="str">
        <f>'01_인적정보'!E9</f>
        <v>경영전략기획</v>
      </c>
      <c r="E49" s="11" t="str">
        <f>'01_인적정보'!H9</f>
        <v>G6</v>
      </c>
      <c r="F49" s="13">
        <f>'07b_하반기입력'!G9</f>
        <v>0</v>
      </c>
      <c r="G49" s="13">
        <f>'07b_하반기입력'!H9</f>
        <v>0</v>
      </c>
      <c r="H49" s="39">
        <f>IFERROR(IF(AND(F49&lt;&gt;"",G49&lt;&gt;""),'02_의사결정·종합결과'!$B$67*IF(F49="S",5,IF(F49="A",4,IF(F49="B",3,IF(F49="C",2,IF(F49="D",1,0)))))+'02_의사결정·종합결과'!$B$68*IF(G49="S",5,IF(G49="A",4,IF(G49="B",3,IF(G49="C",2,IF(G49="D",1,0))))),IF(F49&lt;&gt;"",IF(F49="S",5,IF(F49="A",4,IF(F49="B",3,IF(F49="C",2,IF(F49="D",1,0))))),IF(G49&lt;&gt;"",IF(G49="S",5,IF(G49="A",4,IF(G49="B",3,IF(G49="C",2,IF(G49="D",1,0))))),""))),"")</f>
        <v>0</v>
      </c>
      <c r="I49" s="40" t="str">
        <f t="shared" si="1"/>
        <v>D</v>
      </c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</row>
    <row r="50" spans="1:21" ht="22.05" customHeight="1" x14ac:dyDescent="0.6">
      <c r="A50" s="25">
        <f>'01_인적정보'!A10</f>
        <v>5</v>
      </c>
      <c r="B50" s="25" t="str">
        <f>'01_인적정보'!B10</f>
        <v>BSS-005</v>
      </c>
      <c r="C50" s="5" t="str">
        <f>'01_인적정보'!C10</f>
        <v>송헌영</v>
      </c>
      <c r="D50" s="5" t="str">
        <f>'01_인적정보'!E10</f>
        <v>경영전략기획</v>
      </c>
      <c r="E50" s="11" t="str">
        <f>'01_인적정보'!H10</f>
        <v>G6</v>
      </c>
      <c r="F50" s="13">
        <f>'07b_하반기입력'!G10</f>
        <v>0</v>
      </c>
      <c r="G50" s="13">
        <f>'07b_하반기입력'!H10</f>
        <v>0</v>
      </c>
      <c r="H50" s="39">
        <f>IFERROR(IF(AND(F50&lt;&gt;"",G50&lt;&gt;""),'02_의사결정·종합결과'!$B$67*IF(F50="S",5,IF(F50="A",4,IF(F50="B",3,IF(F50="C",2,IF(F50="D",1,0)))))+'02_의사결정·종합결과'!$B$68*IF(G50="S",5,IF(G50="A",4,IF(G50="B",3,IF(G50="C",2,IF(G50="D",1,0))))),IF(F50&lt;&gt;"",IF(F50="S",5,IF(F50="A",4,IF(F50="B",3,IF(F50="C",2,IF(F50="D",1,0))))),IF(G50&lt;&gt;"",IF(G50="S",5,IF(G50="A",4,IF(G50="B",3,IF(G50="C",2,IF(G50="D",1,0))))),""))),"")</f>
        <v>0</v>
      </c>
      <c r="I50" s="40" t="str">
        <f t="shared" si="1"/>
        <v>D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</row>
    <row r="51" spans="1:21" ht="22.05" customHeight="1" x14ac:dyDescent="0.6">
      <c r="A51" s="25">
        <f>'01_인적정보'!A11</f>
        <v>6</v>
      </c>
      <c r="B51" s="25" t="str">
        <f>'01_인적정보'!B11</f>
        <v>BSS-006</v>
      </c>
      <c r="C51" s="5" t="str">
        <f>'01_인적정보'!C11</f>
        <v>이재용</v>
      </c>
      <c r="D51" s="5" t="str">
        <f>'01_인적정보'!E11</f>
        <v>경영전략기획</v>
      </c>
      <c r="E51" s="11" t="str">
        <f>'01_인적정보'!H11</f>
        <v>G6</v>
      </c>
      <c r="F51" s="13">
        <f>'07b_하반기입력'!G11</f>
        <v>0</v>
      </c>
      <c r="G51" s="13">
        <f>'07b_하반기입력'!H11</f>
        <v>0</v>
      </c>
      <c r="H51" s="39">
        <f>IFERROR(IF(AND(F51&lt;&gt;"",G51&lt;&gt;""),'02_의사결정·종합결과'!$B$67*IF(F51="S",5,IF(F51="A",4,IF(F51="B",3,IF(F51="C",2,IF(F51="D",1,0)))))+'02_의사결정·종합결과'!$B$68*IF(G51="S",5,IF(G51="A",4,IF(G51="B",3,IF(G51="C",2,IF(G51="D",1,0))))),IF(F51&lt;&gt;"",IF(F51="S",5,IF(F51="A",4,IF(F51="B",3,IF(F51="C",2,IF(F51="D",1,0))))),IF(G51&lt;&gt;"",IF(G51="S",5,IF(G51="A",4,IF(G51="B",3,IF(G51="C",2,IF(G51="D",1,0))))),""))),"")</f>
        <v>0</v>
      </c>
      <c r="I51" s="40" t="str">
        <f t="shared" si="1"/>
        <v>D</v>
      </c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</row>
    <row r="52" spans="1:21" ht="22.05" customHeight="1" x14ac:dyDescent="0.6">
      <c r="A52" s="25">
        <f>'01_인적정보'!A12</f>
        <v>7</v>
      </c>
      <c r="B52" s="25" t="str">
        <f>'01_인적정보'!B12</f>
        <v>BSS-007</v>
      </c>
      <c r="C52" s="5" t="str">
        <f>'01_인적정보'!C12</f>
        <v>이진행</v>
      </c>
      <c r="D52" s="5" t="str">
        <f>'01_인적정보'!E12</f>
        <v>교육</v>
      </c>
      <c r="E52" s="11" t="str">
        <f>'01_인적정보'!H12</f>
        <v>G5-M</v>
      </c>
      <c r="F52" s="13">
        <f>'07b_하반기입력'!G12</f>
        <v>0</v>
      </c>
      <c r="G52" s="13">
        <f>'07b_하반기입력'!H12</f>
        <v>0</v>
      </c>
      <c r="H52" s="39">
        <f>IFERROR(IF(AND(F52&lt;&gt;"",G52&lt;&gt;""),'02_의사결정·종합결과'!$B$67*IF(F52="S",5,IF(F52="A",4,IF(F52="B",3,IF(F52="C",2,IF(F52="D",1,0)))))+'02_의사결정·종합결과'!$B$68*IF(G52="S",5,IF(G52="A",4,IF(G52="B",3,IF(G52="C",2,IF(G52="D",1,0))))),IF(F52&lt;&gt;"",IF(F52="S",5,IF(F52="A",4,IF(F52="B",3,IF(F52="C",2,IF(F52="D",1,0))))),IF(G52&lt;&gt;"",IF(G52="S",5,IF(G52="A",4,IF(G52="B",3,IF(G52="C",2,IF(G52="D",1,0))))),""))),"")</f>
        <v>0</v>
      </c>
      <c r="I52" s="40" t="str">
        <f t="shared" si="1"/>
        <v>D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</row>
    <row r="53" spans="1:21" ht="22.05" customHeight="1" x14ac:dyDescent="0.6">
      <c r="A53" s="25">
        <f>'01_인적정보'!A13</f>
        <v>8</v>
      </c>
      <c r="B53" s="25" t="str">
        <f>'01_인적정보'!B13</f>
        <v>BSS-008</v>
      </c>
      <c r="C53" s="5" t="str">
        <f>'01_인적정보'!C13</f>
        <v>김민수</v>
      </c>
      <c r="D53" s="5" t="str">
        <f>'01_인적정보'!E13</f>
        <v>기술지원</v>
      </c>
      <c r="E53" s="11" t="str">
        <f>'01_인적정보'!H13</f>
        <v>G5-M</v>
      </c>
      <c r="F53" s="13">
        <f>'07b_하반기입력'!G13</f>
        <v>0</v>
      </c>
      <c r="G53" s="13">
        <f>'07b_하반기입력'!H13</f>
        <v>0</v>
      </c>
      <c r="H53" s="39">
        <f>IFERROR(IF(AND(F53&lt;&gt;"",G53&lt;&gt;""),'02_의사결정·종합결과'!$B$67*IF(F53="S",5,IF(F53="A",4,IF(F53="B",3,IF(F53="C",2,IF(F53="D",1,0)))))+'02_의사결정·종합결과'!$B$68*IF(G53="S",5,IF(G53="A",4,IF(G53="B",3,IF(G53="C",2,IF(G53="D",1,0))))),IF(F53&lt;&gt;"",IF(F53="S",5,IF(F53="A",4,IF(F53="B",3,IF(F53="C",2,IF(F53="D",1,0))))),IF(G53&lt;&gt;"",IF(G53="S",5,IF(G53="A",4,IF(G53="B",3,IF(G53="C",2,IF(G53="D",1,0))))),""))),"")</f>
        <v>0</v>
      </c>
      <c r="I53" s="40" t="str">
        <f t="shared" si="1"/>
        <v>D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</row>
    <row r="54" spans="1:21" ht="22.05" customHeight="1" x14ac:dyDescent="0.6">
      <c r="A54" s="25">
        <f>'01_인적정보'!A14</f>
        <v>9</v>
      </c>
      <c r="B54" s="25" t="str">
        <f>'01_인적정보'!B14</f>
        <v>BSS-009</v>
      </c>
      <c r="C54" s="5" t="str">
        <f>'01_인적정보'!C14</f>
        <v>박남식</v>
      </c>
      <c r="D54" s="5" t="str">
        <f>'01_인적정보'!E14</f>
        <v>BIM컨설팅</v>
      </c>
      <c r="E54" s="11" t="str">
        <f>'01_인적정보'!H14</f>
        <v>G5-M</v>
      </c>
      <c r="F54" s="13">
        <f>'07b_하반기입력'!G14</f>
        <v>0</v>
      </c>
      <c r="G54" s="13">
        <f>'07b_하반기입력'!H14</f>
        <v>0</v>
      </c>
      <c r="H54" s="39">
        <f>IFERROR(IF(AND(F54&lt;&gt;"",G54&lt;&gt;""),'02_의사결정·종합결과'!$B$67*IF(F54="S",5,IF(F54="A",4,IF(F54="B",3,IF(F54="C",2,IF(F54="D",1,0)))))+'02_의사결정·종합결과'!$B$68*IF(G54="S",5,IF(G54="A",4,IF(G54="B",3,IF(G54="C",2,IF(G54="D",1,0))))),IF(F54&lt;&gt;"",IF(F54="S",5,IF(F54="A",4,IF(F54="B",3,IF(F54="C",2,IF(F54="D",1,0))))),IF(G54&lt;&gt;"",IF(G54="S",5,IF(G54="A",4,IF(G54="B",3,IF(G54="C",2,IF(G54="D",1,0))))),""))),"")</f>
        <v>0</v>
      </c>
      <c r="I54" s="40" t="str">
        <f t="shared" si="1"/>
        <v>D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</row>
    <row r="55" spans="1:21" ht="22.05" customHeight="1" x14ac:dyDescent="0.6">
      <c r="A55" s="25">
        <f>'01_인적정보'!A15</f>
        <v>10</v>
      </c>
      <c r="B55" s="25" t="str">
        <f>'01_인적정보'!B15</f>
        <v>BSS-010</v>
      </c>
      <c r="C55" s="5" t="str">
        <f>'01_인적정보'!C15</f>
        <v>신재민</v>
      </c>
      <c r="D55" s="5" t="str">
        <f>'01_인적정보'!E15</f>
        <v>BIM컨설팅</v>
      </c>
      <c r="E55" s="11" t="str">
        <f>'01_인적정보'!H15</f>
        <v>G5-S</v>
      </c>
      <c r="F55" s="13">
        <f>'07b_하반기입력'!G15</f>
        <v>0</v>
      </c>
      <c r="G55" s="13">
        <f>'07b_하반기입력'!H15</f>
        <v>0</v>
      </c>
      <c r="H55" s="39">
        <f>IFERROR(IF(AND(F55&lt;&gt;"",G55&lt;&gt;""),'02_의사결정·종합결과'!$B$67*IF(F55="S",5,IF(F55="A",4,IF(F55="B",3,IF(F55="C",2,IF(F55="D",1,0)))))+'02_의사결정·종합결과'!$B$68*IF(G55="S",5,IF(G55="A",4,IF(G55="B",3,IF(G55="C",2,IF(G55="D",1,0))))),IF(F55&lt;&gt;"",IF(F55="S",5,IF(F55="A",4,IF(F55="B",3,IF(F55="C",2,IF(F55="D",1,0))))),IF(G55&lt;&gt;"",IF(G55="S",5,IF(G55="A",4,IF(G55="B",3,IF(G55="C",2,IF(G55="D",1,0))))),""))),"")</f>
        <v>0</v>
      </c>
      <c r="I55" s="40" t="str">
        <f t="shared" si="1"/>
        <v>D</v>
      </c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</row>
    <row r="56" spans="1:21" ht="22.05" customHeight="1" x14ac:dyDescent="0.6">
      <c r="A56" s="25">
        <f>'01_인적정보'!A16</f>
        <v>11</v>
      </c>
      <c r="B56" s="25" t="str">
        <f>'01_인적정보'!B16</f>
        <v>BSS-011</v>
      </c>
      <c r="C56" s="5" t="str">
        <f>'01_인적정보'!C16</f>
        <v>마장엽</v>
      </c>
      <c r="D56" s="5" t="str">
        <f>'01_인적정보'!E16</f>
        <v>BIM컨설팅</v>
      </c>
      <c r="E56" s="11" t="str">
        <f>'01_인적정보'!H16</f>
        <v>G5-S</v>
      </c>
      <c r="F56" s="13">
        <f>'07b_하반기입력'!G16</f>
        <v>0</v>
      </c>
      <c r="G56" s="13">
        <f>'07b_하반기입력'!H16</f>
        <v>0</v>
      </c>
      <c r="H56" s="39">
        <f>IFERROR(IF(AND(F56&lt;&gt;"",G56&lt;&gt;""),'02_의사결정·종합결과'!$B$67*IF(F56="S",5,IF(F56="A",4,IF(F56="B",3,IF(F56="C",2,IF(F56="D",1,0)))))+'02_의사결정·종합결과'!$B$68*IF(G56="S",5,IF(G56="A",4,IF(G56="B",3,IF(G56="C",2,IF(G56="D",1,0))))),IF(F56&lt;&gt;"",IF(F56="S",5,IF(F56="A",4,IF(F56="B",3,IF(F56="C",2,IF(F56="D",1,0))))),IF(G56&lt;&gt;"",IF(G56="S",5,IF(G56="A",4,IF(G56="B",3,IF(G56="C",2,IF(G56="D",1,0))))),""))),"")</f>
        <v>0</v>
      </c>
      <c r="I56" s="40" t="str">
        <f t="shared" si="1"/>
        <v>D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</row>
    <row r="57" spans="1:21" ht="22.05" customHeight="1" x14ac:dyDescent="0.6">
      <c r="A57" s="25">
        <f>'01_인적정보'!A17</f>
        <v>12</v>
      </c>
      <c r="B57" s="25" t="str">
        <f>'01_인적정보'!B17</f>
        <v>BSS-012</v>
      </c>
      <c r="C57" s="5" t="str">
        <f>'01_인적정보'!C17</f>
        <v>하은주</v>
      </c>
      <c r="D57" s="5" t="str">
        <f>'01_인적정보'!E17</f>
        <v>경영전략기획</v>
      </c>
      <c r="E57" s="11" t="str">
        <f>'01_인적정보'!H17</f>
        <v>G5-M</v>
      </c>
      <c r="F57" s="13">
        <f>'07b_하반기입력'!G17</f>
        <v>0</v>
      </c>
      <c r="G57" s="13">
        <f>'07b_하반기입력'!H17</f>
        <v>0</v>
      </c>
      <c r="H57" s="39">
        <f>IFERROR(IF(AND(F57&lt;&gt;"",G57&lt;&gt;""),'02_의사결정·종합결과'!$B$67*IF(F57="S",5,IF(F57="A",4,IF(F57="B",3,IF(F57="C",2,IF(F57="D",1,0)))))+'02_의사결정·종합결과'!$B$68*IF(G57="S",5,IF(G57="A",4,IF(G57="B",3,IF(G57="C",2,IF(G57="D",1,0))))),IF(F57&lt;&gt;"",IF(F57="S",5,IF(F57="A",4,IF(F57="B",3,IF(F57="C",2,IF(F57="D",1,0))))),IF(G57&lt;&gt;"",IF(G57="S",5,IF(G57="A",4,IF(G57="B",3,IF(G57="C",2,IF(G57="D",1,0))))),""))),"")</f>
        <v>0</v>
      </c>
      <c r="I57" s="40" t="str">
        <f t="shared" si="1"/>
        <v>D</v>
      </c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</row>
    <row r="58" spans="1:21" ht="22.05" customHeight="1" x14ac:dyDescent="0.6">
      <c r="A58" s="25">
        <f>'01_인적정보'!A18</f>
        <v>13</v>
      </c>
      <c r="B58" s="25" t="str">
        <f>'01_인적정보'!B18</f>
        <v>BSS-013</v>
      </c>
      <c r="C58" s="5" t="str">
        <f>'01_인적정보'!C18</f>
        <v>홍사훈</v>
      </c>
      <c r="D58" s="5" t="str">
        <f>'01_인적정보'!E18</f>
        <v>BIM컨설팅</v>
      </c>
      <c r="E58" s="11" t="str">
        <f>'01_인적정보'!H18</f>
        <v>G5-S</v>
      </c>
      <c r="F58" s="13">
        <f>'07b_하반기입력'!G18</f>
        <v>0</v>
      </c>
      <c r="G58" s="13">
        <f>'07b_하반기입력'!H18</f>
        <v>0</v>
      </c>
      <c r="H58" s="39">
        <f>IFERROR(IF(AND(F58&lt;&gt;"",G58&lt;&gt;""),'02_의사결정·종합결과'!$B$67*IF(F58="S",5,IF(F58="A",4,IF(F58="B",3,IF(F58="C",2,IF(F58="D",1,0)))))+'02_의사결정·종합결과'!$B$68*IF(G58="S",5,IF(G58="A",4,IF(G58="B",3,IF(G58="C",2,IF(G58="D",1,0))))),IF(F58&lt;&gt;"",IF(F58="S",5,IF(F58="A",4,IF(F58="B",3,IF(F58="C",2,IF(F58="D",1,0))))),IF(G58&lt;&gt;"",IF(G58="S",5,IF(G58="A",4,IF(G58="B",3,IF(G58="C",2,IF(G58="D",1,0))))),""))),"")</f>
        <v>0</v>
      </c>
      <c r="I58" s="40" t="str">
        <f t="shared" si="1"/>
        <v>D</v>
      </c>
      <c r="J58" s="58"/>
      <c r="K58" s="58"/>
      <c r="L58" s="63"/>
      <c r="M58" s="58"/>
      <c r="N58" s="58"/>
      <c r="O58" s="58"/>
      <c r="P58" s="64"/>
      <c r="Q58" s="58"/>
      <c r="R58" s="58"/>
      <c r="S58" s="58"/>
      <c r="T58" s="58"/>
      <c r="U58" s="58"/>
    </row>
    <row r="59" spans="1:21" ht="22.05" customHeight="1" x14ac:dyDescent="0.6">
      <c r="A59" s="25">
        <f>'01_인적정보'!A19</f>
        <v>14</v>
      </c>
      <c r="B59" s="25" t="str">
        <f>'01_인적정보'!B19</f>
        <v>BSS-014</v>
      </c>
      <c r="C59" s="5" t="str">
        <f>'01_인적정보'!C19</f>
        <v>유자영</v>
      </c>
      <c r="D59" s="5" t="str">
        <f>'01_인적정보'!E19</f>
        <v>BIM컨설팅</v>
      </c>
      <c r="E59" s="11" t="str">
        <f>'01_인적정보'!H19</f>
        <v>G5-S</v>
      </c>
      <c r="F59" s="13">
        <f>'07b_하반기입력'!G19</f>
        <v>0</v>
      </c>
      <c r="G59" s="13">
        <f>'07b_하반기입력'!H19</f>
        <v>0</v>
      </c>
      <c r="H59" s="39">
        <f>IFERROR(IF(AND(F59&lt;&gt;"",G59&lt;&gt;""),'02_의사결정·종합결과'!$B$67*IF(F59="S",5,IF(F59="A",4,IF(F59="B",3,IF(F59="C",2,IF(F59="D",1,0)))))+'02_의사결정·종합결과'!$B$68*IF(G59="S",5,IF(G59="A",4,IF(G59="B",3,IF(G59="C",2,IF(G59="D",1,0))))),IF(F59&lt;&gt;"",IF(F59="S",5,IF(F59="A",4,IF(F59="B",3,IF(F59="C",2,IF(F59="D",1,0))))),IF(G59&lt;&gt;"",IF(G59="S",5,IF(G59="A",4,IF(G59="B",3,IF(G59="C",2,IF(G59="D",1,0))))),""))),"")</f>
        <v>0</v>
      </c>
      <c r="I59" s="40" t="str">
        <f t="shared" si="1"/>
        <v>D</v>
      </c>
      <c r="J59" s="58"/>
      <c r="K59" s="58"/>
      <c r="L59" s="63"/>
      <c r="M59" s="58"/>
      <c r="N59" s="58"/>
      <c r="O59" s="58"/>
      <c r="P59" s="64"/>
      <c r="Q59" s="58"/>
      <c r="R59" s="58"/>
      <c r="S59" s="58"/>
      <c r="T59" s="58"/>
      <c r="U59" s="58"/>
    </row>
    <row r="60" spans="1:21" ht="22.05" customHeight="1" x14ac:dyDescent="0.6">
      <c r="A60" s="25">
        <f>'01_인적정보'!A20</f>
        <v>15</v>
      </c>
      <c r="B60" s="25" t="str">
        <f>'01_인적정보'!B20</f>
        <v>BSS-015</v>
      </c>
      <c r="C60" s="5" t="str">
        <f>'01_인적정보'!C20</f>
        <v>민지선</v>
      </c>
      <c r="D60" s="5" t="str">
        <f>'01_인적정보'!E20</f>
        <v>BIM컨설팅</v>
      </c>
      <c r="E60" s="11" t="str">
        <f>'01_인적정보'!H20</f>
        <v>G5-S</v>
      </c>
      <c r="F60" s="13">
        <f>'07b_하반기입력'!G20</f>
        <v>0</v>
      </c>
      <c r="G60" s="13">
        <f>'07b_하반기입력'!H20</f>
        <v>0</v>
      </c>
      <c r="H60" s="39">
        <f>IFERROR(IF(AND(F60&lt;&gt;"",G60&lt;&gt;""),'02_의사결정·종합결과'!$B$67*IF(F60="S",5,IF(F60="A",4,IF(F60="B",3,IF(F60="C",2,IF(F60="D",1,0)))))+'02_의사결정·종합결과'!$B$68*IF(G60="S",5,IF(G60="A",4,IF(G60="B",3,IF(G60="C",2,IF(G60="D",1,0))))),IF(F60&lt;&gt;"",IF(F60="S",5,IF(F60="A",4,IF(F60="B",3,IF(F60="C",2,IF(F60="D",1,0))))),IF(G60&lt;&gt;"",IF(G60="S",5,IF(G60="A",4,IF(G60="B",3,IF(G60="C",2,IF(G60="D",1,0))))),""))),"")</f>
        <v>0</v>
      </c>
      <c r="I60" s="40" t="str">
        <f t="shared" si="1"/>
        <v>D</v>
      </c>
      <c r="J60" s="58"/>
      <c r="K60" s="58"/>
      <c r="L60" s="63"/>
      <c r="M60" s="58"/>
      <c r="N60" s="58"/>
      <c r="O60" s="58"/>
      <c r="P60" s="64"/>
      <c r="Q60" s="58"/>
      <c r="R60" s="58"/>
      <c r="S60" s="58"/>
      <c r="T60" s="58"/>
      <c r="U60" s="58"/>
    </row>
    <row r="61" spans="1:21" ht="22.05" customHeight="1" x14ac:dyDescent="0.6">
      <c r="A61" s="25">
        <f>'01_인적정보'!A21</f>
        <v>16</v>
      </c>
      <c r="B61" s="25" t="str">
        <f>'01_인적정보'!B21</f>
        <v>BSS-016</v>
      </c>
      <c r="C61" s="5" t="str">
        <f>'01_인적정보'!C21</f>
        <v>장훈</v>
      </c>
      <c r="D61" s="5" t="str">
        <f>'01_인적정보'!E21</f>
        <v>BIM컨설팅</v>
      </c>
      <c r="E61" s="11" t="str">
        <f>'01_인적정보'!H21</f>
        <v>G5-S</v>
      </c>
      <c r="F61" s="13">
        <f>'07b_하반기입력'!G21</f>
        <v>0</v>
      </c>
      <c r="G61" s="13">
        <f>'07b_하반기입력'!H21</f>
        <v>0</v>
      </c>
      <c r="H61" s="39">
        <f>IFERROR(IF(AND(F61&lt;&gt;"",G61&lt;&gt;""),'02_의사결정·종합결과'!$B$67*IF(F61="S",5,IF(F61="A",4,IF(F61="B",3,IF(F61="C",2,IF(F61="D",1,0)))))+'02_의사결정·종합결과'!$B$68*IF(G61="S",5,IF(G61="A",4,IF(G61="B",3,IF(G61="C",2,IF(G61="D",1,0))))),IF(F61&lt;&gt;"",IF(F61="S",5,IF(F61="A",4,IF(F61="B",3,IF(F61="C",2,IF(F61="D",1,0))))),IF(G61&lt;&gt;"",IF(G61="S",5,IF(G61="A",4,IF(G61="B",3,IF(G61="C",2,IF(G61="D",1,0))))),""))),"")</f>
        <v>0</v>
      </c>
      <c r="I61" s="40" t="str">
        <f t="shared" si="1"/>
        <v>D</v>
      </c>
      <c r="J61" s="58"/>
      <c r="K61" s="58"/>
      <c r="L61" s="63"/>
      <c r="M61" s="58"/>
      <c r="N61" s="58"/>
      <c r="O61" s="58"/>
      <c r="P61" s="64"/>
      <c r="Q61" s="58"/>
      <c r="R61" s="58"/>
      <c r="S61" s="58"/>
      <c r="T61" s="58"/>
      <c r="U61" s="58"/>
    </row>
    <row r="62" spans="1:21" ht="22.05" customHeight="1" x14ac:dyDescent="0.6">
      <c r="A62" s="25">
        <f>'01_인적정보'!A22</f>
        <v>17</v>
      </c>
      <c r="B62" s="25" t="str">
        <f>'01_인적정보'!B22</f>
        <v>BSS-017</v>
      </c>
      <c r="C62" s="5" t="str">
        <f>'01_인적정보'!C22</f>
        <v>김우람</v>
      </c>
      <c r="D62" s="5" t="str">
        <f>'01_인적정보'!E22</f>
        <v>교육</v>
      </c>
      <c r="E62" s="11" t="str">
        <f>'01_인적정보'!H22</f>
        <v>G4</v>
      </c>
      <c r="F62" s="13">
        <f>'07b_하반기입력'!G22</f>
        <v>0</v>
      </c>
      <c r="G62" s="13">
        <f>'07b_하반기입력'!H22</f>
        <v>0</v>
      </c>
      <c r="H62" s="39">
        <f>IFERROR(IF(AND(F62&lt;&gt;"",G62&lt;&gt;""),'02_의사결정·종합결과'!$B$67*IF(F62="S",5,IF(F62="A",4,IF(F62="B",3,IF(F62="C",2,IF(F62="D",1,0)))))+'02_의사결정·종합결과'!$B$68*IF(G62="S",5,IF(G62="A",4,IF(G62="B",3,IF(G62="C",2,IF(G62="D",1,0))))),IF(F62&lt;&gt;"",IF(F62="S",5,IF(F62="A",4,IF(F62="B",3,IF(F62="C",2,IF(F62="D",1,0))))),IF(G62&lt;&gt;"",IF(G62="S",5,IF(G62="A",4,IF(G62="B",3,IF(G62="C",2,IF(G62="D",1,0))))),""))),"")</f>
        <v>0</v>
      </c>
      <c r="I62" s="40" t="str">
        <f t="shared" si="1"/>
        <v>D</v>
      </c>
      <c r="J62" s="58"/>
      <c r="K62" s="58"/>
      <c r="L62" s="63"/>
      <c r="M62" s="58"/>
      <c r="N62" s="58"/>
      <c r="O62" s="58"/>
      <c r="P62" s="64"/>
      <c r="Q62" s="58"/>
      <c r="R62" s="58"/>
      <c r="S62" s="58"/>
      <c r="T62" s="58"/>
      <c r="U62" s="58"/>
    </row>
    <row r="63" spans="1:21" ht="22.05" customHeight="1" x14ac:dyDescent="0.6">
      <c r="A63" s="25">
        <f>'01_인적정보'!A23</f>
        <v>18</v>
      </c>
      <c r="B63" s="25" t="str">
        <f>'01_인적정보'!B23</f>
        <v>BSS-018</v>
      </c>
      <c r="C63" s="5" t="str">
        <f>'01_인적정보'!C23</f>
        <v>조성준</v>
      </c>
      <c r="D63" s="5" t="str">
        <f>'01_인적정보'!E23</f>
        <v>BIM컨설팅</v>
      </c>
      <c r="E63" s="11" t="str">
        <f>'01_인적정보'!H23</f>
        <v>G4</v>
      </c>
      <c r="F63" s="13">
        <f>'07b_하반기입력'!G23</f>
        <v>0</v>
      </c>
      <c r="G63" s="13">
        <f>'07b_하반기입력'!H23</f>
        <v>0</v>
      </c>
      <c r="H63" s="39">
        <f>IFERROR(IF(AND(F63&lt;&gt;"",G63&lt;&gt;""),'02_의사결정·종합결과'!$B$67*IF(F63="S",5,IF(F63="A",4,IF(F63="B",3,IF(F63="C",2,IF(F63="D",1,0)))))+'02_의사결정·종합결과'!$B$68*IF(G63="S",5,IF(G63="A",4,IF(G63="B",3,IF(G63="C",2,IF(G63="D",1,0))))),IF(F63&lt;&gt;"",IF(F63="S",5,IF(F63="A",4,IF(F63="B",3,IF(F63="C",2,IF(F63="D",1,0))))),IF(G63&lt;&gt;"",IF(G63="S",5,IF(G63="A",4,IF(G63="B",3,IF(G63="C",2,IF(G63="D",1,0))))),""))),"")</f>
        <v>0</v>
      </c>
      <c r="I63" s="40" t="str">
        <f t="shared" si="1"/>
        <v>D</v>
      </c>
      <c r="J63" s="58"/>
      <c r="K63" s="58"/>
      <c r="L63" s="63"/>
      <c r="M63" s="58"/>
      <c r="N63" s="58"/>
      <c r="O63" s="58"/>
      <c r="P63" s="64"/>
      <c r="Q63" s="58"/>
      <c r="R63" s="58"/>
      <c r="S63" s="58"/>
      <c r="T63" s="58"/>
      <c r="U63" s="58"/>
    </row>
    <row r="64" spans="1:21" ht="22.05" customHeight="1" x14ac:dyDescent="0.6">
      <c r="A64" s="25">
        <f>'01_인적정보'!A24</f>
        <v>19</v>
      </c>
      <c r="B64" s="25" t="str">
        <f>'01_인적정보'!B24</f>
        <v>BSS-019</v>
      </c>
      <c r="C64" s="5" t="str">
        <f>'01_인적정보'!C24</f>
        <v>구서현</v>
      </c>
      <c r="D64" s="5" t="str">
        <f>'01_인적정보'!E24</f>
        <v>BIM컨설팅</v>
      </c>
      <c r="E64" s="11" t="str">
        <f>'01_인적정보'!H24</f>
        <v>G3</v>
      </c>
      <c r="F64" s="13">
        <f>'07b_하반기입력'!G24</f>
        <v>0</v>
      </c>
      <c r="G64" s="13">
        <f>'07b_하반기입력'!H24</f>
        <v>0</v>
      </c>
      <c r="H64" s="39">
        <f>IFERROR(IF(AND(F64&lt;&gt;"",G64&lt;&gt;""),'02_의사결정·종합결과'!$B$67*IF(F64="S",5,IF(F64="A",4,IF(F64="B",3,IF(F64="C",2,IF(F64="D",1,0)))))+'02_의사결정·종합결과'!$B$68*IF(G64="S",5,IF(G64="A",4,IF(G64="B",3,IF(G64="C",2,IF(G64="D",1,0))))),IF(F64&lt;&gt;"",IF(F64="S",5,IF(F64="A",4,IF(F64="B",3,IF(F64="C",2,IF(F64="D",1,0))))),IF(G64&lt;&gt;"",IF(G64="S",5,IF(G64="A",4,IF(G64="B",3,IF(G64="C",2,IF(G64="D",1,0))))),""))),"")</f>
        <v>0</v>
      </c>
      <c r="I64" s="40" t="str">
        <f t="shared" si="1"/>
        <v>D</v>
      </c>
      <c r="J64" s="58"/>
      <c r="K64" s="58"/>
      <c r="L64" s="63"/>
      <c r="M64" s="58"/>
      <c r="N64" s="58"/>
      <c r="O64" s="58"/>
      <c r="P64" s="64"/>
      <c r="Q64" s="58"/>
      <c r="R64" s="58"/>
      <c r="S64" s="58"/>
      <c r="T64" s="58"/>
      <c r="U64" s="58"/>
    </row>
    <row r="65" spans="1:21" ht="22.05" customHeight="1" x14ac:dyDescent="0.6">
      <c r="A65" s="25">
        <f>'01_인적정보'!A25</f>
        <v>20</v>
      </c>
      <c r="B65" s="25" t="str">
        <f>'01_인적정보'!B25</f>
        <v>BSS-020</v>
      </c>
      <c r="C65" s="5" t="str">
        <f>'01_인적정보'!C25</f>
        <v>박진용</v>
      </c>
      <c r="D65" s="5" t="str">
        <f>'01_인적정보'!E25</f>
        <v>기술지원</v>
      </c>
      <c r="E65" s="11" t="str">
        <f>'01_인적정보'!H25</f>
        <v>G3</v>
      </c>
      <c r="F65" s="13">
        <f>'07b_하반기입력'!G25</f>
        <v>0</v>
      </c>
      <c r="G65" s="13">
        <f>'07b_하반기입력'!H25</f>
        <v>0</v>
      </c>
      <c r="H65" s="39">
        <f>IFERROR(IF(AND(F65&lt;&gt;"",G65&lt;&gt;""),'02_의사결정·종합결과'!$B$67*IF(F65="S",5,IF(F65="A",4,IF(F65="B",3,IF(F65="C",2,IF(F65="D",1,0)))))+'02_의사결정·종합결과'!$B$68*IF(G65="S",5,IF(G65="A",4,IF(G65="B",3,IF(G65="C",2,IF(G65="D",1,0))))),IF(F65&lt;&gt;"",IF(F65="S",5,IF(F65="A",4,IF(F65="B",3,IF(F65="C",2,IF(F65="D",1,0))))),IF(G65&lt;&gt;"",IF(G65="S",5,IF(G65="A",4,IF(G65="B",3,IF(G65="C",2,IF(G65="D",1,0))))),""))),"")</f>
        <v>0</v>
      </c>
      <c r="I65" s="40" t="str">
        <f t="shared" si="1"/>
        <v>D</v>
      </c>
      <c r="J65" s="58"/>
      <c r="K65" s="58"/>
      <c r="L65" s="63"/>
      <c r="M65" s="58"/>
      <c r="N65" s="58"/>
      <c r="O65" s="58"/>
      <c r="P65" s="64"/>
      <c r="Q65" s="58"/>
      <c r="R65" s="58"/>
      <c r="S65" s="58"/>
      <c r="T65" s="58"/>
      <c r="U65" s="58"/>
    </row>
    <row r="66" spans="1:21" ht="22.05" customHeight="1" x14ac:dyDescent="0.6">
      <c r="A66" s="25">
        <f>'01_인적정보'!A26</f>
        <v>21</v>
      </c>
      <c r="B66" s="25" t="str">
        <f>'01_인적정보'!B26</f>
        <v>BSS-021</v>
      </c>
      <c r="C66" s="5" t="str">
        <f>'01_인적정보'!C26</f>
        <v>김가연</v>
      </c>
      <c r="D66" s="5" t="str">
        <f>'01_인적정보'!E26</f>
        <v>BIM컨설팅</v>
      </c>
      <c r="E66" s="11" t="str">
        <f>'01_인적정보'!H26</f>
        <v>G2</v>
      </c>
      <c r="F66" s="13">
        <f>'07b_하반기입력'!G26</f>
        <v>0</v>
      </c>
      <c r="G66" s="13">
        <f>'07b_하반기입력'!H26</f>
        <v>0</v>
      </c>
      <c r="H66" s="39">
        <f>IFERROR(IF(AND(F66&lt;&gt;"",G66&lt;&gt;""),'02_의사결정·종합결과'!$B$67*IF(F66="S",5,IF(F66="A",4,IF(F66="B",3,IF(F66="C",2,IF(F66="D",1,0)))))+'02_의사결정·종합결과'!$B$68*IF(G66="S",5,IF(G66="A",4,IF(G66="B",3,IF(G66="C",2,IF(G66="D",1,0))))),IF(F66&lt;&gt;"",IF(F66="S",5,IF(F66="A",4,IF(F66="B",3,IF(F66="C",2,IF(F66="D",1,0))))),IF(G66&lt;&gt;"",IF(G66="S",5,IF(G66="A",4,IF(G66="B",3,IF(G66="C",2,IF(G66="D",1,0))))),""))),"")</f>
        <v>0</v>
      </c>
      <c r="I66" s="40" t="str">
        <f t="shared" si="1"/>
        <v>D</v>
      </c>
      <c r="J66" s="58"/>
      <c r="K66" s="58"/>
      <c r="L66" s="63"/>
      <c r="M66" s="58"/>
      <c r="N66" s="58"/>
      <c r="O66" s="58"/>
      <c r="P66" s="64"/>
      <c r="Q66" s="58"/>
      <c r="R66" s="58"/>
      <c r="S66" s="58"/>
      <c r="T66" s="58"/>
      <c r="U66" s="58"/>
    </row>
    <row r="67" spans="1:21" ht="22.05" customHeight="1" x14ac:dyDescent="0.6">
      <c r="A67" s="25">
        <f>'01_인적정보'!A27</f>
        <v>22</v>
      </c>
      <c r="B67" s="25" t="str">
        <f>'01_인적정보'!B27</f>
        <v>BSS-022</v>
      </c>
      <c r="C67" s="5" t="str">
        <f>'01_인적정보'!C27</f>
        <v>한근수</v>
      </c>
      <c r="D67" s="5" t="str">
        <f>'01_인적정보'!E27</f>
        <v>BIM컨설팅</v>
      </c>
      <c r="E67" s="11" t="str">
        <f>'01_인적정보'!H27</f>
        <v>G2</v>
      </c>
      <c r="F67" s="13">
        <f>'07b_하반기입력'!G27</f>
        <v>0</v>
      </c>
      <c r="G67" s="13">
        <f>'07b_하반기입력'!H27</f>
        <v>0</v>
      </c>
      <c r="H67" s="39">
        <f>IFERROR(IF(AND(F67&lt;&gt;"",G67&lt;&gt;""),'02_의사결정·종합결과'!$B$67*IF(F67="S",5,IF(F67="A",4,IF(F67="B",3,IF(F67="C",2,IF(F67="D",1,0)))))+'02_의사결정·종합결과'!$B$68*IF(G67="S",5,IF(G67="A",4,IF(G67="B",3,IF(G67="C",2,IF(G67="D",1,0))))),IF(F67&lt;&gt;"",IF(F67="S",5,IF(F67="A",4,IF(F67="B",3,IF(F67="C",2,IF(F67="D",1,0))))),IF(G67&lt;&gt;"",IF(G67="S",5,IF(G67="A",4,IF(G67="B",3,IF(G67="C",2,IF(G67="D",1,0))))),""))),"")</f>
        <v>0</v>
      </c>
      <c r="I67" s="40" t="str">
        <f t="shared" si="1"/>
        <v>D</v>
      </c>
      <c r="J67" s="58"/>
      <c r="K67" s="58"/>
      <c r="L67" s="63"/>
      <c r="M67" s="58"/>
      <c r="N67" s="58"/>
      <c r="O67" s="58"/>
      <c r="P67" s="64"/>
      <c r="Q67" s="58"/>
      <c r="R67" s="58"/>
      <c r="S67" s="58"/>
      <c r="T67" s="58"/>
      <c r="U67" s="58"/>
    </row>
    <row r="68" spans="1:21" ht="22.05" customHeight="1" x14ac:dyDescent="0.6">
      <c r="A68" s="25">
        <f>'01_인적정보'!A28</f>
        <v>23</v>
      </c>
      <c r="B68" s="25" t="str">
        <f>'01_인적정보'!B28</f>
        <v>BSS-023</v>
      </c>
      <c r="C68" s="5" t="str">
        <f>'01_인적정보'!C28</f>
        <v>김성민</v>
      </c>
      <c r="D68" s="5" t="str">
        <f>'01_인적정보'!E28</f>
        <v>BIM컨설팅</v>
      </c>
      <c r="E68" s="11" t="str">
        <f>'01_인적정보'!H28</f>
        <v>G2</v>
      </c>
      <c r="F68" s="13">
        <f>'07b_하반기입력'!G28</f>
        <v>0</v>
      </c>
      <c r="G68" s="13">
        <f>'07b_하반기입력'!H28</f>
        <v>0</v>
      </c>
      <c r="H68" s="39">
        <f>IFERROR(IF(AND(F68&lt;&gt;"",G68&lt;&gt;""),'02_의사결정·종합결과'!$B$67*IF(F68="S",5,IF(F68="A",4,IF(F68="B",3,IF(F68="C",2,IF(F68="D",1,0)))))+'02_의사결정·종합결과'!$B$68*IF(G68="S",5,IF(G68="A",4,IF(G68="B",3,IF(G68="C",2,IF(G68="D",1,0))))),IF(F68&lt;&gt;"",IF(F68="S",5,IF(F68="A",4,IF(F68="B",3,IF(F68="C",2,IF(F68="D",1,0))))),IF(G68&lt;&gt;"",IF(G68="S",5,IF(G68="A",4,IF(G68="B",3,IF(G68="C",2,IF(G68="D",1,0))))),""))),"")</f>
        <v>0</v>
      </c>
      <c r="I68" s="40" t="str">
        <f t="shared" si="1"/>
        <v>D</v>
      </c>
      <c r="J68" s="58"/>
      <c r="K68" s="58"/>
      <c r="L68" s="63"/>
      <c r="M68" s="58"/>
      <c r="N68" s="58"/>
      <c r="O68" s="58"/>
      <c r="P68" s="64"/>
      <c r="Q68" s="58"/>
      <c r="R68" s="58"/>
      <c r="S68" s="58"/>
      <c r="T68" s="58"/>
      <c r="U68" s="58"/>
    </row>
    <row r="69" spans="1:21" ht="22.05" customHeight="1" x14ac:dyDescent="0.6">
      <c r="A69" s="25">
        <f>'01_인적정보'!A29</f>
        <v>24</v>
      </c>
      <c r="B69" s="25" t="str">
        <f>'01_인적정보'!B29</f>
        <v>BSS-024</v>
      </c>
      <c r="C69" s="5" t="str">
        <f>'01_인적정보'!C29</f>
        <v>고광우</v>
      </c>
      <c r="D69" s="5" t="str">
        <f>'01_인적정보'!E29</f>
        <v>BIM컨설팅</v>
      </c>
      <c r="E69" s="11" t="str">
        <f>'01_인적정보'!H29</f>
        <v>G2</v>
      </c>
      <c r="F69" s="13">
        <f>'07b_하반기입력'!G29</f>
        <v>0</v>
      </c>
      <c r="G69" s="13">
        <f>'07b_하반기입력'!H29</f>
        <v>0</v>
      </c>
      <c r="H69" s="39">
        <f>IFERROR(IF(AND(F69&lt;&gt;"",G69&lt;&gt;""),'02_의사결정·종합결과'!$B$67*IF(F69="S",5,IF(F69="A",4,IF(F69="B",3,IF(F69="C",2,IF(F69="D",1,0)))))+'02_의사결정·종합결과'!$B$68*IF(G69="S",5,IF(G69="A",4,IF(G69="B",3,IF(G69="C",2,IF(G69="D",1,0))))),IF(F69&lt;&gt;"",IF(F69="S",5,IF(F69="A",4,IF(F69="B",3,IF(F69="C",2,IF(F69="D",1,0))))),IF(G69&lt;&gt;"",IF(G69="S",5,IF(G69="A",4,IF(G69="B",3,IF(G69="C",2,IF(G69="D",1,0))))),""))),"")</f>
        <v>0</v>
      </c>
      <c r="I69" s="40" t="str">
        <f t="shared" si="1"/>
        <v>D</v>
      </c>
      <c r="J69" s="58"/>
      <c r="K69" s="58"/>
      <c r="L69" s="63"/>
      <c r="M69" s="58"/>
      <c r="N69" s="58"/>
      <c r="O69" s="58"/>
      <c r="P69" s="64"/>
      <c r="Q69" s="58"/>
      <c r="R69" s="58"/>
      <c r="S69" s="58"/>
      <c r="T69" s="58"/>
      <c r="U69" s="58"/>
    </row>
    <row r="70" spans="1:21" ht="22.05" customHeight="1" x14ac:dyDescent="0.6">
      <c r="A70" s="25">
        <f>'01_인적정보'!A30</f>
        <v>25</v>
      </c>
      <c r="B70" s="25" t="str">
        <f>'01_인적정보'!B30</f>
        <v>BSS-025</v>
      </c>
      <c r="C70" s="5" t="str">
        <f>'01_인적정보'!C30</f>
        <v>김성수</v>
      </c>
      <c r="D70" s="5" t="str">
        <f>'01_인적정보'!E30</f>
        <v>연구개발(R&amp;D)</v>
      </c>
      <c r="E70" s="11" t="str">
        <f>'01_인적정보'!H30</f>
        <v>G2</v>
      </c>
      <c r="F70" s="13">
        <f>'07b_하반기입력'!G30</f>
        <v>0</v>
      </c>
      <c r="G70" s="13">
        <f>'07b_하반기입력'!H30</f>
        <v>0</v>
      </c>
      <c r="H70" s="39">
        <f>IFERROR(IF(AND(F70&lt;&gt;"",G70&lt;&gt;""),'02_의사결정·종합결과'!$B$67*IF(F70="S",5,IF(F70="A",4,IF(F70="B",3,IF(F70="C",2,IF(F70="D",1,0)))))+'02_의사결정·종합결과'!$B$68*IF(G70="S",5,IF(G70="A",4,IF(G70="B",3,IF(G70="C",2,IF(G70="D",1,0))))),IF(F70&lt;&gt;"",IF(F70="S",5,IF(F70="A",4,IF(F70="B",3,IF(F70="C",2,IF(F70="D",1,0))))),IF(G70&lt;&gt;"",IF(G70="S",5,IF(G70="A",4,IF(G70="B",3,IF(G70="C",2,IF(G70="D",1,0))))),""))),"")</f>
        <v>0</v>
      </c>
      <c r="I70" s="40" t="str">
        <f t="shared" si="1"/>
        <v>D</v>
      </c>
      <c r="J70" s="58"/>
      <c r="K70" s="58"/>
      <c r="L70" s="63"/>
      <c r="M70" s="58"/>
      <c r="N70" s="58"/>
      <c r="O70" s="58"/>
      <c r="P70" s="64"/>
      <c r="Q70" s="58"/>
      <c r="R70" s="58"/>
      <c r="S70" s="58"/>
      <c r="T70" s="58"/>
      <c r="U70" s="58"/>
    </row>
    <row r="71" spans="1:21" ht="22.05" customHeight="1" x14ac:dyDescent="0.6">
      <c r="A71" s="25">
        <f>'01_인적정보'!A31</f>
        <v>26</v>
      </c>
      <c r="B71" s="25" t="str">
        <f>'01_인적정보'!B31</f>
        <v>BSS-026</v>
      </c>
      <c r="C71" s="5" t="str">
        <f>'01_인적정보'!C31</f>
        <v>박진희</v>
      </c>
      <c r="D71" s="5" t="str">
        <f>'01_인적정보'!E31</f>
        <v>경영전략기획</v>
      </c>
      <c r="E71" s="11" t="str">
        <f>'01_인적정보'!H31</f>
        <v>G1</v>
      </c>
      <c r="F71" s="13">
        <f>'07b_하반기입력'!G31</f>
        <v>0</v>
      </c>
      <c r="G71" s="13">
        <f>'07b_하반기입력'!H31</f>
        <v>0</v>
      </c>
      <c r="H71" s="39">
        <f>IFERROR(IF(AND(F71&lt;&gt;"",G71&lt;&gt;""),'02_의사결정·종합결과'!$B$67*IF(F71="S",5,IF(F71="A",4,IF(F71="B",3,IF(F71="C",2,IF(F71="D",1,0)))))+'02_의사결정·종합결과'!$B$68*IF(G71="S",5,IF(G71="A",4,IF(G71="B",3,IF(G71="C",2,IF(G71="D",1,0))))),IF(F71&lt;&gt;"",IF(F71="S",5,IF(F71="A",4,IF(F71="B",3,IF(F71="C",2,IF(F71="D",1,0))))),IF(G71&lt;&gt;"",IF(G71="S",5,IF(G71="A",4,IF(G71="B",3,IF(G71="C",2,IF(G71="D",1,0))))),""))),"")</f>
        <v>0</v>
      </c>
      <c r="I71" s="40" t="str">
        <f t="shared" si="1"/>
        <v>D</v>
      </c>
      <c r="J71" s="58"/>
      <c r="K71" s="58"/>
      <c r="L71" s="63"/>
      <c r="M71" s="58"/>
      <c r="N71" s="58"/>
      <c r="O71" s="58"/>
      <c r="P71" s="64"/>
      <c r="Q71" s="58"/>
      <c r="R71" s="58"/>
      <c r="S71" s="58"/>
      <c r="T71" s="58"/>
      <c r="U71" s="58"/>
    </row>
    <row r="72" spans="1:21" ht="22.05" customHeight="1" x14ac:dyDescent="0.6">
      <c r="A72" s="25">
        <f>'01_인적정보'!A32</f>
        <v>27</v>
      </c>
      <c r="B72" s="25" t="str">
        <f>'01_인적정보'!B32</f>
        <v>BSS-027</v>
      </c>
      <c r="C72" s="5" t="str">
        <f>'01_인적정보'!C32</f>
        <v>장은한</v>
      </c>
      <c r="D72" s="5" t="str">
        <f>'01_인적정보'!E32</f>
        <v>교육</v>
      </c>
      <c r="E72" s="11" t="str">
        <f>'01_인적정보'!H32</f>
        <v>G2</v>
      </c>
      <c r="F72" s="13">
        <f>'07b_하반기입력'!G32</f>
        <v>0</v>
      </c>
      <c r="G72" s="13">
        <f>'07b_하반기입력'!H32</f>
        <v>0</v>
      </c>
      <c r="H72" s="39">
        <f>IFERROR(IF(AND(F72&lt;&gt;"",G72&lt;&gt;""),'02_의사결정·종합결과'!$B$67*IF(F72="S",5,IF(F72="A",4,IF(F72="B",3,IF(F72="C",2,IF(F72="D",1,0)))))+'02_의사결정·종합결과'!$B$68*IF(G72="S",5,IF(G72="A",4,IF(G72="B",3,IF(G72="C",2,IF(G72="D",1,0))))),IF(F72&lt;&gt;"",IF(F72="S",5,IF(F72="A",4,IF(F72="B",3,IF(F72="C",2,IF(F72="D",1,0))))),IF(G72&lt;&gt;"",IF(G72="S",5,IF(G72="A",4,IF(G72="B",3,IF(G72="C",2,IF(G72="D",1,0))))),""))),"")</f>
        <v>0</v>
      </c>
      <c r="I72" s="40" t="str">
        <f t="shared" si="1"/>
        <v>D</v>
      </c>
      <c r="J72" s="58"/>
      <c r="K72" s="58"/>
      <c r="L72" s="63"/>
      <c r="M72" s="58"/>
      <c r="N72" s="58"/>
      <c r="O72" s="58"/>
      <c r="P72" s="64"/>
      <c r="Q72" s="58"/>
      <c r="R72" s="58"/>
      <c r="S72" s="58"/>
      <c r="T72" s="58"/>
      <c r="U72" s="58"/>
    </row>
    <row r="73" spans="1:21" ht="22.05" customHeight="1" x14ac:dyDescent="0.6">
      <c r="A73" s="25">
        <f>'01_인적정보'!A33</f>
        <v>28</v>
      </c>
      <c r="B73" s="25" t="str">
        <f>'01_인적정보'!B33</f>
        <v>BSS-028</v>
      </c>
      <c r="C73" s="5" t="str">
        <f>'01_인적정보'!C33</f>
        <v>김현수</v>
      </c>
      <c r="D73" s="5" t="str">
        <f>'01_인적정보'!E33</f>
        <v>BIM컨설팅</v>
      </c>
      <c r="E73" s="11" t="str">
        <f>'01_인적정보'!H33</f>
        <v>G1</v>
      </c>
      <c r="F73" s="13">
        <f>'07b_하반기입력'!G33</f>
        <v>0</v>
      </c>
      <c r="G73" s="13">
        <f>'07b_하반기입력'!H33</f>
        <v>0</v>
      </c>
      <c r="H73" s="39">
        <f>IFERROR(IF(AND(F73&lt;&gt;"",G73&lt;&gt;""),'02_의사결정·종합결과'!$B$67*IF(F73="S",5,IF(F73="A",4,IF(F73="B",3,IF(F73="C",2,IF(F73="D",1,0)))))+'02_의사결정·종합결과'!$B$68*IF(G73="S",5,IF(G73="A",4,IF(G73="B",3,IF(G73="C",2,IF(G73="D",1,0))))),IF(F73&lt;&gt;"",IF(F73="S",5,IF(F73="A",4,IF(F73="B",3,IF(F73="C",2,IF(F73="D",1,0))))),IF(G73&lt;&gt;"",IF(G73="S",5,IF(G73="A",4,IF(G73="B",3,IF(G73="C",2,IF(G73="D",1,0))))),""))),"")</f>
        <v>0</v>
      </c>
      <c r="I73" s="40" t="str">
        <f t="shared" si="1"/>
        <v>D</v>
      </c>
      <c r="J73" s="58"/>
      <c r="K73" s="58"/>
      <c r="L73" s="63"/>
      <c r="M73" s="58"/>
      <c r="N73" s="58"/>
      <c r="O73" s="58"/>
      <c r="P73" s="64"/>
      <c r="Q73" s="58"/>
      <c r="R73" s="58"/>
      <c r="S73" s="58"/>
      <c r="T73" s="58"/>
      <c r="U73" s="58"/>
    </row>
    <row r="74" spans="1:21" ht="22.05" customHeight="1" x14ac:dyDescent="0.6">
      <c r="A74" s="25">
        <f>'01_인적정보'!A34</f>
        <v>29</v>
      </c>
      <c r="B74" s="25" t="str">
        <f>'01_인적정보'!B34</f>
        <v>BSS-029</v>
      </c>
      <c r="C74" s="5" t="str">
        <f>'01_인적정보'!C34</f>
        <v>콜셍홍</v>
      </c>
      <c r="D74" s="5" t="str">
        <f>'01_인적정보'!E34</f>
        <v>BIM컨설팅</v>
      </c>
      <c r="E74" s="11" t="str">
        <f>'01_인적정보'!H34</f>
        <v>G1</v>
      </c>
      <c r="F74" s="13">
        <f>'07b_하반기입력'!G34</f>
        <v>0</v>
      </c>
      <c r="G74" s="13">
        <f>'07b_하반기입력'!H34</f>
        <v>0</v>
      </c>
      <c r="H74" s="39">
        <f>IFERROR(IF(AND(F74&lt;&gt;"",G74&lt;&gt;""),'02_의사결정·종합결과'!$B$67*IF(F74="S",5,IF(F74="A",4,IF(F74="B",3,IF(F74="C",2,IF(F74="D",1,0)))))+'02_의사결정·종합결과'!$B$68*IF(G74="S",5,IF(G74="A",4,IF(G74="B",3,IF(G74="C",2,IF(G74="D",1,0))))),IF(F74&lt;&gt;"",IF(F74="S",5,IF(F74="A",4,IF(F74="B",3,IF(F74="C",2,IF(F74="D",1,0))))),IF(G74&lt;&gt;"",IF(G74="S",5,IF(G74="A",4,IF(G74="B",3,IF(G74="C",2,IF(G74="D",1,0))))),""))),"")</f>
        <v>0</v>
      </c>
      <c r="I74" s="40" t="str">
        <f t="shared" si="1"/>
        <v>D</v>
      </c>
      <c r="J74" s="58"/>
      <c r="K74" s="58"/>
      <c r="L74" s="63"/>
      <c r="M74" s="58"/>
      <c r="N74" s="58"/>
      <c r="O74" s="58"/>
      <c r="P74" s="64"/>
      <c r="Q74" s="58"/>
      <c r="R74" s="58"/>
      <c r="S74" s="58"/>
      <c r="T74" s="58"/>
      <c r="U74" s="58"/>
    </row>
    <row r="75" spans="1:21" ht="22.05" customHeight="1" x14ac:dyDescent="0.6">
      <c r="A75" s="25">
        <f>'01_인적정보'!A35</f>
        <v>30</v>
      </c>
      <c r="B75" s="25" t="str">
        <f>'01_인적정보'!B35</f>
        <v>BSS-030</v>
      </c>
      <c r="C75" s="5" t="str">
        <f>'01_인적정보'!C35</f>
        <v>안성진</v>
      </c>
      <c r="D75" s="5" t="str">
        <f>'01_인적정보'!E35</f>
        <v>BIM컨설팅</v>
      </c>
      <c r="E75" s="11" t="str">
        <f>'01_인적정보'!H35</f>
        <v>G1</v>
      </c>
      <c r="F75" s="13">
        <f>'07b_하반기입력'!G35</f>
        <v>0</v>
      </c>
      <c r="G75" s="13">
        <f>'07b_하반기입력'!H35</f>
        <v>0</v>
      </c>
      <c r="H75" s="39">
        <f>IFERROR(IF(AND(F75&lt;&gt;"",G75&lt;&gt;""),'02_의사결정·종합결과'!$B$67*IF(F75="S",5,IF(F75="A",4,IF(F75="B",3,IF(F75="C",2,IF(F75="D",1,0)))))+'02_의사결정·종합결과'!$B$68*IF(G75="S",5,IF(G75="A",4,IF(G75="B",3,IF(G75="C",2,IF(G75="D",1,0))))),IF(F75&lt;&gt;"",IF(F75="S",5,IF(F75="A",4,IF(F75="B",3,IF(F75="C",2,IF(F75="D",1,0))))),IF(G75&lt;&gt;"",IF(G75="S",5,IF(G75="A",4,IF(G75="B",3,IF(G75="C",2,IF(G75="D",1,0))))),""))),"")</f>
        <v>0</v>
      </c>
      <c r="I75" s="40" t="str">
        <f t="shared" si="1"/>
        <v>D</v>
      </c>
      <c r="J75" s="58"/>
      <c r="K75" s="58"/>
      <c r="L75" s="63"/>
      <c r="M75" s="58"/>
      <c r="N75" s="58"/>
      <c r="O75" s="58"/>
      <c r="P75" s="64"/>
      <c r="Q75" s="58"/>
      <c r="R75" s="58"/>
      <c r="S75" s="58"/>
      <c r="T75" s="58"/>
      <c r="U75" s="58"/>
    </row>
    <row r="76" spans="1:21" ht="22.05" customHeight="1" x14ac:dyDescent="0.6">
      <c r="A76" s="25">
        <f>'01_인적정보'!A36</f>
        <v>31</v>
      </c>
      <c r="B76" s="25" t="str">
        <f>'01_인적정보'!B36</f>
        <v>BSS-031</v>
      </c>
      <c r="C76" s="5" t="str">
        <f>'01_인적정보'!C36</f>
        <v>이정일</v>
      </c>
      <c r="D76" s="5" t="str">
        <f>'01_인적정보'!E36</f>
        <v>BIM컨설팅</v>
      </c>
      <c r="E76" s="11" t="str">
        <f>'01_인적정보'!H36</f>
        <v>G1</v>
      </c>
      <c r="F76" s="13">
        <f>'07b_하반기입력'!G36</f>
        <v>0</v>
      </c>
      <c r="G76" s="13">
        <f>'07b_하반기입력'!H36</f>
        <v>0</v>
      </c>
      <c r="H76" s="39">
        <f>IFERROR(IF(AND(F76&lt;&gt;"",G76&lt;&gt;""),'02_의사결정·종합결과'!$B$67*IF(F76="S",5,IF(F76="A",4,IF(F76="B",3,IF(F76="C",2,IF(F76="D",1,0)))))+'02_의사결정·종합결과'!$B$68*IF(G76="S",5,IF(G76="A",4,IF(G76="B",3,IF(G76="C",2,IF(G76="D",1,0))))),IF(F76&lt;&gt;"",IF(F76="S",5,IF(F76="A",4,IF(F76="B",3,IF(F76="C",2,IF(F76="D",1,0))))),IF(G76&lt;&gt;"",IF(G76="S",5,IF(G76="A",4,IF(G76="B",3,IF(G76="C",2,IF(G76="D",1,0))))),""))),"")</f>
        <v>0</v>
      </c>
      <c r="I76" s="40" t="str">
        <f t="shared" si="1"/>
        <v>D</v>
      </c>
      <c r="J76" s="58"/>
      <c r="K76" s="58"/>
      <c r="L76" s="63"/>
      <c r="M76" s="58"/>
      <c r="N76" s="58"/>
      <c r="O76" s="58"/>
      <c r="P76" s="64"/>
      <c r="Q76" s="58"/>
      <c r="R76" s="58"/>
      <c r="S76" s="58"/>
      <c r="T76" s="58"/>
      <c r="U76" s="58"/>
    </row>
    <row r="77" spans="1:21" ht="22.05" customHeight="1" x14ac:dyDescent="0.6">
      <c r="A77" s="25">
        <f>'01_인적정보'!A37</f>
        <v>32</v>
      </c>
      <c r="B77" s="25" t="str">
        <f>'01_인적정보'!B37</f>
        <v>BSS-032</v>
      </c>
      <c r="C77" s="5" t="str">
        <f>'01_인적정보'!C37</f>
        <v>안재성</v>
      </c>
      <c r="D77" s="5" t="str">
        <f>'01_인적정보'!E37</f>
        <v>BIM컨설팅</v>
      </c>
      <c r="E77" s="11" t="str">
        <f>'01_인적정보'!H37</f>
        <v>G1</v>
      </c>
      <c r="F77" s="13">
        <f>'07b_하반기입력'!G37</f>
        <v>0</v>
      </c>
      <c r="G77" s="13">
        <f>'07b_하반기입력'!H37</f>
        <v>0</v>
      </c>
      <c r="H77" s="39">
        <f>IFERROR(IF(AND(F77&lt;&gt;"",G77&lt;&gt;""),'02_의사결정·종합결과'!$B$67*IF(F77="S",5,IF(F77="A",4,IF(F77="B",3,IF(F77="C",2,IF(F77="D",1,0)))))+'02_의사결정·종합결과'!$B$68*IF(G77="S",5,IF(G77="A",4,IF(G77="B",3,IF(G77="C",2,IF(G77="D",1,0))))),IF(F77&lt;&gt;"",IF(F77="S",5,IF(F77="A",4,IF(F77="B",3,IF(F77="C",2,IF(F77="D",1,0))))),IF(G77&lt;&gt;"",IF(G77="S",5,IF(G77="A",4,IF(G77="B",3,IF(G77="C",2,IF(G77="D",1,0))))),""))),"")</f>
        <v>0</v>
      </c>
      <c r="I77" s="40" t="str">
        <f t="shared" si="1"/>
        <v>D</v>
      </c>
      <c r="J77" s="58"/>
      <c r="K77" s="58"/>
      <c r="L77" s="63"/>
      <c r="M77" s="58"/>
      <c r="N77" s="58"/>
      <c r="O77" s="58"/>
      <c r="P77" s="64"/>
      <c r="Q77" s="58"/>
      <c r="R77" s="58"/>
      <c r="S77" s="58"/>
      <c r="T77" s="58"/>
      <c r="U77" s="58"/>
    </row>
    <row r="78" spans="1:21" ht="22.05" customHeight="1" x14ac:dyDescent="0.6">
      <c r="A78" s="25">
        <f>'01_인적정보'!A38</f>
        <v>33</v>
      </c>
      <c r="B78" s="25" t="str">
        <f>'01_인적정보'!B38</f>
        <v>BSS-033</v>
      </c>
      <c r="C78" s="5" t="str">
        <f>'01_인적정보'!C38</f>
        <v>유태석</v>
      </c>
      <c r="D78" s="5" t="str">
        <f>'01_인적정보'!E38</f>
        <v>BIM컨설팅</v>
      </c>
      <c r="E78" s="11" t="str">
        <f>'01_인적정보'!H38</f>
        <v>G1</v>
      </c>
      <c r="F78" s="13">
        <f>'07b_하반기입력'!G38</f>
        <v>0</v>
      </c>
      <c r="G78" s="13">
        <f>'07b_하반기입력'!H38</f>
        <v>0</v>
      </c>
      <c r="H78" s="39">
        <f>IFERROR(IF(AND(F78&lt;&gt;"",G78&lt;&gt;""),'02_의사결정·종합결과'!$B$67*IF(F78="S",5,IF(F78="A",4,IF(F78="B",3,IF(F78="C",2,IF(F78="D",1,0)))))+'02_의사결정·종합결과'!$B$68*IF(G78="S",5,IF(G78="A",4,IF(G78="B",3,IF(G78="C",2,IF(G78="D",1,0))))),IF(F78&lt;&gt;"",IF(F78="S",5,IF(F78="A",4,IF(F78="B",3,IF(F78="C",2,IF(F78="D",1,0))))),IF(G78&lt;&gt;"",IF(G78="S",5,IF(G78="A",4,IF(G78="B",3,IF(G78="C",2,IF(G78="D",1,0))))),""))),"")</f>
        <v>0</v>
      </c>
      <c r="I78" s="40" t="str">
        <f t="shared" si="1"/>
        <v>D</v>
      </c>
      <c r="J78" s="58"/>
      <c r="K78" s="58"/>
      <c r="L78" s="63"/>
      <c r="M78" s="58"/>
      <c r="N78" s="58"/>
      <c r="O78" s="58"/>
      <c r="P78" s="64"/>
      <c r="Q78" s="58"/>
      <c r="R78" s="58"/>
      <c r="S78" s="58"/>
      <c r="T78" s="58"/>
      <c r="U78" s="58"/>
    </row>
    <row r="79" spans="1:21" ht="22.05" customHeight="1" x14ac:dyDescent="0.6">
      <c r="A79" s="25">
        <f>'01_인적정보'!A39</f>
        <v>34</v>
      </c>
      <c r="B79" s="25" t="str">
        <f>'01_인적정보'!B39</f>
        <v>BSS-034</v>
      </c>
      <c r="C79" s="5" t="str">
        <f>'01_인적정보'!C39</f>
        <v>엄보근</v>
      </c>
      <c r="D79" s="5" t="str">
        <f>'01_인적정보'!E39</f>
        <v>BIM컨설팅</v>
      </c>
      <c r="E79" s="11" t="str">
        <f>'01_인적정보'!H39</f>
        <v>G1</v>
      </c>
      <c r="F79" s="13">
        <f>'07b_하반기입력'!G39</f>
        <v>0</v>
      </c>
      <c r="G79" s="13">
        <f>'07b_하반기입력'!H39</f>
        <v>0</v>
      </c>
      <c r="H79" s="39">
        <f>IFERROR(IF(AND(F79&lt;&gt;"",G79&lt;&gt;""),'02_의사결정·종합결과'!$B$67*IF(F79="S",5,IF(F79="A",4,IF(F79="B",3,IF(F79="C",2,IF(F79="D",1,0)))))+'02_의사결정·종합결과'!$B$68*IF(G79="S",5,IF(G79="A",4,IF(G79="B",3,IF(G79="C",2,IF(G79="D",1,0))))),IF(F79&lt;&gt;"",IF(F79="S",5,IF(F79="A",4,IF(F79="B",3,IF(F79="C",2,IF(F79="D",1,0))))),IF(G79&lt;&gt;"",IF(G79="S",5,IF(G79="A",4,IF(G79="B",3,IF(G79="C",2,IF(G79="D",1,0))))),""))),"")</f>
        <v>0</v>
      </c>
      <c r="I79" s="40" t="str">
        <f t="shared" si="1"/>
        <v>D</v>
      </c>
      <c r="J79" s="58"/>
      <c r="K79" s="58"/>
      <c r="L79" s="63"/>
      <c r="M79" s="58"/>
      <c r="N79" s="58"/>
      <c r="O79" s="58"/>
      <c r="P79" s="64"/>
      <c r="Q79" s="58"/>
      <c r="R79" s="58"/>
      <c r="S79" s="58"/>
      <c r="T79" s="58"/>
      <c r="U79" s="58"/>
    </row>
    <row r="80" spans="1:21" ht="22.05" customHeight="1" x14ac:dyDescent="0.6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63"/>
      <c r="M80" s="58"/>
      <c r="N80" s="58"/>
      <c r="O80" s="58"/>
      <c r="P80" s="64"/>
      <c r="Q80" s="58"/>
      <c r="R80" s="58"/>
      <c r="S80" s="58"/>
      <c r="T80" s="58"/>
      <c r="U80" s="58"/>
    </row>
    <row r="81" spans="1:21" ht="22.05" customHeight="1" x14ac:dyDescent="0.6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63"/>
      <c r="M81" s="58"/>
      <c r="N81" s="58"/>
      <c r="O81" s="58"/>
      <c r="P81" s="64"/>
      <c r="Q81" s="58"/>
      <c r="R81" s="58"/>
      <c r="S81" s="58"/>
      <c r="T81" s="58"/>
      <c r="U81" s="58"/>
    </row>
    <row r="82" spans="1:21" ht="22.05" customHeight="1" x14ac:dyDescent="0.6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63"/>
      <c r="M82" s="58"/>
      <c r="N82" s="58"/>
      <c r="O82" s="58"/>
      <c r="P82" s="64"/>
      <c r="Q82" s="58"/>
      <c r="R82" s="58"/>
      <c r="S82" s="58"/>
      <c r="T82" s="58"/>
      <c r="U82" s="58"/>
    </row>
    <row r="83" spans="1:21" ht="22.05" customHeight="1" x14ac:dyDescent="0.6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63"/>
      <c r="M83" s="58"/>
      <c r="N83" s="58"/>
      <c r="O83" s="58"/>
      <c r="P83" s="64"/>
      <c r="Q83" s="58"/>
      <c r="R83" s="58"/>
      <c r="S83" s="58"/>
      <c r="T83" s="58"/>
      <c r="U83" s="58"/>
    </row>
    <row r="84" spans="1:21" ht="22.05" customHeight="1" x14ac:dyDescent="0.6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63"/>
      <c r="M84" s="58"/>
      <c r="N84" s="58"/>
      <c r="O84" s="58"/>
      <c r="P84" s="64"/>
      <c r="Q84" s="58"/>
      <c r="R84" s="58"/>
      <c r="S84" s="58"/>
      <c r="T84" s="58"/>
      <c r="U84" s="58"/>
    </row>
    <row r="85" spans="1:21" ht="22.05" customHeight="1" x14ac:dyDescent="0.6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63"/>
      <c r="M85" s="58"/>
      <c r="N85" s="58"/>
      <c r="O85" s="58"/>
      <c r="P85" s="64"/>
      <c r="Q85" s="58"/>
      <c r="R85" s="58"/>
      <c r="S85" s="58"/>
      <c r="T85" s="58"/>
      <c r="U85" s="58"/>
    </row>
    <row r="86" spans="1:21" ht="22.05" customHeight="1" x14ac:dyDescent="0.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63"/>
      <c r="M86" s="58"/>
      <c r="N86" s="58"/>
      <c r="O86" s="58"/>
      <c r="P86" s="64"/>
      <c r="Q86" s="58"/>
      <c r="R86" s="58"/>
      <c r="S86" s="58"/>
      <c r="T86" s="58"/>
      <c r="U86" s="58"/>
    </row>
    <row r="87" spans="1:21" ht="22.05" customHeight="1" x14ac:dyDescent="0.6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63"/>
      <c r="M87" s="58"/>
      <c r="N87" s="58"/>
      <c r="O87" s="58"/>
      <c r="P87" s="64"/>
      <c r="Q87" s="58"/>
      <c r="R87" s="58"/>
      <c r="S87" s="58"/>
      <c r="T87" s="58"/>
      <c r="U87" s="58"/>
    </row>
    <row r="88" spans="1:21" ht="22.05" customHeight="1" x14ac:dyDescent="0.6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63"/>
      <c r="M88" s="58"/>
      <c r="N88" s="58"/>
      <c r="O88" s="58"/>
      <c r="P88" s="64"/>
      <c r="Q88" s="58"/>
      <c r="R88" s="58"/>
      <c r="S88" s="58"/>
      <c r="T88" s="58"/>
      <c r="U88" s="58"/>
    </row>
    <row r="89" spans="1:21" ht="22.05" customHeight="1" x14ac:dyDescent="0.6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63"/>
      <c r="M89" s="58"/>
      <c r="N89" s="58"/>
      <c r="O89" s="58"/>
      <c r="P89" s="64"/>
      <c r="Q89" s="58"/>
      <c r="R89" s="58"/>
      <c r="S89" s="58"/>
      <c r="T89" s="58"/>
      <c r="U89" s="58"/>
    </row>
    <row r="90" spans="1:21" ht="22.05" customHeight="1" x14ac:dyDescent="0.6">
      <c r="A90" s="25">
        <f>'01_인적정보'!A38</f>
        <v>33</v>
      </c>
      <c r="B90" s="25" t="str">
        <f>'01_인적정보'!B38</f>
        <v>BSS-033</v>
      </c>
      <c r="C90" s="5" t="str">
        <f>'01_인적정보'!C38</f>
        <v>유태석</v>
      </c>
      <c r="D90" s="5" t="str">
        <f>'01_인적정보'!E38</f>
        <v>BIM컨설팅</v>
      </c>
      <c r="E90" s="11" t="str">
        <f>'01_인적정보'!H38</f>
        <v>G1</v>
      </c>
      <c r="F90" s="38" t="str">
        <f>IFERROR(VLOOKUP('01_인적정보'!M38,'13_직무역할DB'!$A$6:$D$70,4,FALSE),"")</f>
        <v>실무 보조</v>
      </c>
      <c r="G90" s="13">
        <f>'07b_하반기입력'!G38</f>
        <v>0</v>
      </c>
      <c r="H90" s="13">
        <f>'07b_하반기입력'!H38</f>
        <v>0</v>
      </c>
      <c r="I90" s="13">
        <f>'07b_하반기입력'!I38</f>
        <v>0</v>
      </c>
      <c r="J90" s="13">
        <f>'07b_하반기입력'!J38</f>
        <v>0</v>
      </c>
      <c r="K90" s="13">
        <f>'07b_하반기입력'!K38</f>
        <v>0</v>
      </c>
      <c r="L90" s="39">
        <f>IFERROR((IF(G90="S",5,IF(G90="A",4,IF(G90="B",3,IF(G90="C",2,IF(G90="D",1,0)))))+IF(H90="S",5,IF(H90="A",4,IF(H90="B",3,IF(H90="C",2,IF(H90="D",1,0)))))+IF(I90="S",5,IF(I90="A",4,IF(I90="B",3,IF(I90="C",2,IF(I90="D",1,0)))))+IF(J90="S",5,IF(J90="A",4,IF(J90="B",3,IF(J90="C",2,IF(J90="D",1,0)))))+IF(K90="S",5,IF(K90="A",4,IF(K90="B",3,IF(K90="C",2,IF(K90="D",1,0))))))/5,"")</f>
        <v>0</v>
      </c>
      <c r="M90" s="14">
        <f>'07b_하반기입력'!L38</f>
        <v>0</v>
      </c>
      <c r="N90" s="14">
        <f>'07b_하반기입력'!M38</f>
        <v>0</v>
      </c>
      <c r="O90" s="40">
        <f>IF(N90&lt;&gt;"",N90,IF(M90&lt;&gt;"",M90,IF(L90="","",IF(L90&gt;=4.5,"S",IF(L90&gt;=3.5,"A",IF(L90&gt;=2.5,"B",IF(L90&gt;=1.5,"C","D")))))))</f>
        <v>0</v>
      </c>
      <c r="P90" s="41">
        <f>IF(O90="","",IF(O90="S",5,IF(O90="A",4,IF(O90="B",3,IF(O90="C",2,IF(O90="D",1,0))))))</f>
        <v>0</v>
      </c>
      <c r="Q90" s="1"/>
    </row>
    <row r="91" spans="1:21" ht="22.05" customHeight="1" x14ac:dyDescent="0.6">
      <c r="A91" s="25">
        <f>'01_인적정보'!A39</f>
        <v>34</v>
      </c>
      <c r="B91" s="25" t="str">
        <f>'01_인적정보'!B39</f>
        <v>BSS-034</v>
      </c>
      <c r="C91" s="5" t="str">
        <f>'01_인적정보'!C39</f>
        <v>엄보근</v>
      </c>
      <c r="D91" s="5" t="str">
        <f>'01_인적정보'!E39</f>
        <v>BIM컨설팅</v>
      </c>
      <c r="E91" s="11" t="str">
        <f>'01_인적정보'!H39</f>
        <v>G1</v>
      </c>
      <c r="F91" s="38" t="str">
        <f>IFERROR(VLOOKUP('01_인적정보'!M39,'13_직무역할DB'!$A$6:$D$70,4,FALSE),"")</f>
        <v>실무 보조</v>
      </c>
      <c r="G91" s="13">
        <f>'07b_하반기입력'!G39</f>
        <v>0</v>
      </c>
      <c r="H91" s="13">
        <f>'07b_하반기입력'!H39</f>
        <v>0</v>
      </c>
      <c r="I91" s="13">
        <f>'07b_하반기입력'!I39</f>
        <v>0</v>
      </c>
      <c r="J91" s="13">
        <f>'07b_하반기입력'!J39</f>
        <v>0</v>
      </c>
      <c r="K91" s="13">
        <f>'07b_하반기입력'!K39</f>
        <v>0</v>
      </c>
      <c r="L91" s="39">
        <f>IFERROR((IF(G91="S",5,IF(G91="A",4,IF(G91="B",3,IF(G91="C",2,IF(G91="D",1,0)))))+IF(H91="S",5,IF(H91="A",4,IF(H91="B",3,IF(H91="C",2,IF(H91="D",1,0)))))+IF(I91="S",5,IF(I91="A",4,IF(I91="B",3,IF(I91="C",2,IF(I91="D",1,0)))))+IF(J91="S",5,IF(J91="A",4,IF(J91="B",3,IF(J91="C",2,IF(J91="D",1,0)))))+IF(K91="S",5,IF(K91="A",4,IF(K91="B",3,IF(K91="C",2,IF(K91="D",1,0))))))/5,"")</f>
        <v>0</v>
      </c>
      <c r="M91" s="14">
        <f>'07b_하반기입력'!L39</f>
        <v>0</v>
      </c>
      <c r="N91" s="14">
        <f>'07b_하반기입력'!M39</f>
        <v>0</v>
      </c>
      <c r="O91" s="40">
        <f>IF(N91&lt;&gt;"",N91,IF(M91&lt;&gt;"",M91,IF(L91="","",IF(L91&gt;=4.5,"S",IF(L91&gt;=3.5,"A",IF(L91&gt;=2.5,"B",IF(L91&gt;=1.5,"C","D")))))))</f>
        <v>0</v>
      </c>
      <c r="P91" s="41">
        <f>IF(O91="","",IF(O91="S",5,IF(O91="A",4,IF(O91="B",3,IF(O91="C",2,IF(O91="D",1,0))))))</f>
        <v>0</v>
      </c>
      <c r="Q91" s="1"/>
    </row>
  </sheetData>
  <mergeCells count="4">
    <mergeCell ref="A2:I2"/>
    <mergeCell ref="A44:I44"/>
    <mergeCell ref="A1:I1"/>
    <mergeCell ref="A4:I4"/>
  </mergeCells>
  <phoneticPr fontId="16" type="noConversion"/>
  <conditionalFormatting sqref="F6:I39">
    <cfRule type="cellIs" dxfId="61" priority="9" operator="equal">
      <formula>"S"</formula>
    </cfRule>
    <cfRule type="cellIs" dxfId="60" priority="10" operator="equal">
      <formula>"A"</formula>
    </cfRule>
    <cfRule type="cellIs" dxfId="59" priority="11" operator="equal">
      <formula>"C"</formula>
    </cfRule>
    <cfRule type="cellIs" dxfId="58" priority="12" operator="equal">
      <formula>"D"</formula>
    </cfRule>
  </conditionalFormatting>
  <conditionalFormatting sqref="F46:I79">
    <cfRule type="cellIs" dxfId="57" priority="13" operator="equal">
      <formula>"S"</formula>
    </cfRule>
    <cfRule type="cellIs" dxfId="56" priority="14" operator="equal">
      <formula>"A"</formula>
    </cfRule>
    <cfRule type="cellIs" dxfId="55" priority="15" operator="equal">
      <formula>"C"</formula>
    </cfRule>
    <cfRule type="cellIs" dxfId="54" priority="16" operator="equal">
      <formula>"D"</formula>
    </cfRule>
  </conditionalFormatting>
  <conditionalFormatting sqref="G13:O46">
    <cfRule type="cellIs" dxfId="53" priority="1" operator="equal">
      <formula>"S"</formula>
    </cfRule>
    <cfRule type="cellIs" dxfId="52" priority="2" operator="equal">
      <formula>"A"</formula>
    </cfRule>
    <cfRule type="cellIs" dxfId="51" priority="3" operator="equal">
      <formula>"C"</formula>
    </cfRule>
    <cfRule type="cellIs" dxfId="50" priority="4" operator="equal">
      <formula>"D"</formula>
    </cfRule>
  </conditionalFormatting>
  <conditionalFormatting sqref="G58:O91">
    <cfRule type="cellIs" dxfId="49" priority="5" operator="equal">
      <formula>"S"</formula>
    </cfRule>
    <cfRule type="cellIs" dxfId="48" priority="6" operator="equal">
      <formula>"A"</formula>
    </cfRule>
    <cfRule type="cellIs" dxfId="47" priority="7" operator="equal">
      <formula>"C"</formula>
    </cfRule>
    <cfRule type="cellIs" dxfId="46" priority="8" operator="equal">
      <formula>"D"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135"/>
  </sheetPr>
  <dimension ref="A1:S89"/>
  <sheetViews>
    <sheetView workbookViewId="0">
      <pane xSplit="3" ySplit="5" topLeftCell="D6" activePane="bottomRight" state="frozen"/>
      <selection pane="topRight"/>
      <selection pane="bottomLeft"/>
      <selection pane="bottomRight" sqref="A1:I1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2" customWidth="1"/>
    <col min="9" max="9" width="11" customWidth="1"/>
    <col min="10" max="15" width="8" customWidth="1"/>
    <col min="16" max="16" width="10" customWidth="1"/>
    <col min="17" max="17" width="8" customWidth="1"/>
    <col min="18" max="18" width="20" customWidth="1"/>
  </cols>
  <sheetData>
    <row r="1" spans="1:19" ht="30" customHeight="1" x14ac:dyDescent="0.6">
      <c r="A1" s="82" t="s">
        <v>412</v>
      </c>
      <c r="B1" s="86"/>
      <c r="C1" s="86"/>
      <c r="D1" s="86"/>
      <c r="E1" s="86"/>
      <c r="F1" s="86"/>
      <c r="G1" s="86"/>
      <c r="H1" s="86"/>
      <c r="I1" s="86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24" customHeight="1" x14ac:dyDescent="0.6">
      <c r="A2" s="74" t="s">
        <v>413</v>
      </c>
      <c r="B2" s="86"/>
      <c r="C2" s="86"/>
      <c r="D2" s="86"/>
      <c r="E2" s="86"/>
      <c r="F2" s="86"/>
      <c r="G2" s="86"/>
      <c r="H2" s="86"/>
      <c r="I2" s="86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19" ht="24" customHeight="1" x14ac:dyDescent="0.6">
      <c r="A4" s="87" t="s">
        <v>414</v>
      </c>
      <c r="B4" s="86"/>
      <c r="C4" s="86"/>
      <c r="D4" s="86"/>
      <c r="E4" s="86"/>
      <c r="F4" s="86"/>
      <c r="G4" s="86"/>
      <c r="H4" s="86"/>
      <c r="I4" s="86"/>
      <c r="J4" s="58"/>
      <c r="K4" s="58"/>
      <c r="L4" s="58"/>
      <c r="M4" s="58"/>
      <c r="N4" s="58"/>
      <c r="O4" s="58"/>
      <c r="P4" s="58"/>
      <c r="Q4" s="58"/>
      <c r="R4" s="58"/>
      <c r="S4" s="58"/>
    </row>
    <row r="5" spans="1:19" ht="28.05" customHeight="1" x14ac:dyDescent="0.6">
      <c r="A5" s="15" t="s">
        <v>144</v>
      </c>
      <c r="B5" s="15" t="s">
        <v>145</v>
      </c>
      <c r="C5" s="15" t="s">
        <v>146</v>
      </c>
      <c r="D5" s="15" t="s">
        <v>148</v>
      </c>
      <c r="E5" s="15" t="s">
        <v>151</v>
      </c>
      <c r="F5" s="15" t="s">
        <v>415</v>
      </c>
      <c r="G5" s="15" t="s">
        <v>416</v>
      </c>
      <c r="H5" s="15" t="s">
        <v>409</v>
      </c>
      <c r="I5" s="15" t="s">
        <v>410</v>
      </c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19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'01_인적정보'!E6</f>
        <v>프로젝트영업</v>
      </c>
      <c r="E6" s="11" t="str">
        <f>'01_인적정보'!H6</f>
        <v>G6</v>
      </c>
      <c r="F6" s="13">
        <f>'07a_상반기입력'!I6</f>
        <v>0</v>
      </c>
      <c r="G6" s="13">
        <f>'07a_상반기입력'!J6</f>
        <v>0</v>
      </c>
      <c r="H6" s="39">
        <f>IFERROR(IF(AND(F6&lt;&gt;"",G6&lt;&gt;""),'02_의사결정·종합결과'!$B$67*IF(F6="S",5,IF(F6="A",4,IF(F6="B",3,IF(F6="C",2,IF(F6="D",1,0)))))+'02_의사결정·종합결과'!$B$68*IF(G6="S",5,IF(G6="A",4,IF(G6="B",3,IF(G6="C",2,IF(G6="D",1,0))))),IF(F6&lt;&gt;"",IF(F6="S",5,IF(F6="A",4,IF(F6="B",3,IF(F6="C",2,IF(F6="D",1,0))))),IF(G6&lt;&gt;"",IF(G6="S",5,IF(G6="A",4,IF(G6="B",3,IF(G6="C",2,IF(G6="D",1,0))))),""))),"")</f>
        <v>0</v>
      </c>
      <c r="I6" s="40" t="str">
        <f t="shared" ref="I6:I39" si="0">IF(H6="","",IF(H6&gt;=4.5,"S",IF(H6&gt;=3.5,"A",IF(H6&gt;=2.5,"B",IF(H6&gt;=1.5,"C","D")))))</f>
        <v>D</v>
      </c>
      <c r="J6" s="58"/>
      <c r="K6" s="58"/>
      <c r="L6" s="58"/>
      <c r="M6" s="58"/>
      <c r="N6" s="58"/>
      <c r="O6" s="58"/>
      <c r="P6" s="63"/>
      <c r="Q6" s="58"/>
      <c r="R6" s="58"/>
      <c r="S6" s="58"/>
    </row>
    <row r="7" spans="1:19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'01_인적정보'!E7</f>
        <v>연구개발(R&amp;D)</v>
      </c>
      <c r="E7" s="11" t="str">
        <f>'01_인적정보'!H7</f>
        <v>G6</v>
      </c>
      <c r="F7" s="13">
        <f>'07a_상반기입력'!I7</f>
        <v>0</v>
      </c>
      <c r="G7" s="13">
        <f>'07a_상반기입력'!J7</f>
        <v>0</v>
      </c>
      <c r="H7" s="39">
        <f>IFERROR(IF(AND(F7&lt;&gt;"",G7&lt;&gt;""),'02_의사결정·종합결과'!$B$67*IF(F7="S",5,IF(F7="A",4,IF(F7="B",3,IF(F7="C",2,IF(F7="D",1,0)))))+'02_의사결정·종합결과'!$B$68*IF(G7="S",5,IF(G7="A",4,IF(G7="B",3,IF(G7="C",2,IF(G7="D",1,0))))),IF(F7&lt;&gt;"",IF(F7="S",5,IF(F7="A",4,IF(F7="B",3,IF(F7="C",2,IF(F7="D",1,0))))),IF(G7&lt;&gt;"",IF(G7="S",5,IF(G7="A",4,IF(G7="B",3,IF(G7="C",2,IF(G7="D",1,0))))),""))),"")</f>
        <v>0</v>
      </c>
      <c r="I7" s="40" t="str">
        <f t="shared" si="0"/>
        <v>D</v>
      </c>
      <c r="J7" s="58"/>
      <c r="K7" s="58"/>
      <c r="L7" s="58"/>
      <c r="M7" s="58"/>
      <c r="N7" s="58"/>
      <c r="O7" s="58"/>
      <c r="P7" s="63"/>
      <c r="Q7" s="58"/>
      <c r="R7" s="58"/>
      <c r="S7" s="58"/>
    </row>
    <row r="8" spans="1:19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'01_인적정보'!E8</f>
        <v>BIM컨설팅</v>
      </c>
      <c r="E8" s="11" t="str">
        <f>'01_인적정보'!H8</f>
        <v>G6</v>
      </c>
      <c r="F8" s="13">
        <f>'07a_상반기입력'!I8</f>
        <v>0</v>
      </c>
      <c r="G8" s="13">
        <f>'07a_상반기입력'!J8</f>
        <v>0</v>
      </c>
      <c r="H8" s="39">
        <f>IFERROR(IF(AND(F8&lt;&gt;"",G8&lt;&gt;""),'02_의사결정·종합결과'!$B$67*IF(F8="S",5,IF(F8="A",4,IF(F8="B",3,IF(F8="C",2,IF(F8="D",1,0)))))+'02_의사결정·종합결과'!$B$68*IF(G8="S",5,IF(G8="A",4,IF(G8="B",3,IF(G8="C",2,IF(G8="D",1,0))))),IF(F8&lt;&gt;"",IF(F8="S",5,IF(F8="A",4,IF(F8="B",3,IF(F8="C",2,IF(F8="D",1,0))))),IF(G8&lt;&gt;"",IF(G8="S",5,IF(G8="A",4,IF(G8="B",3,IF(G8="C",2,IF(G8="D",1,0))))),""))),"")</f>
        <v>0</v>
      </c>
      <c r="I8" s="40" t="str">
        <f t="shared" si="0"/>
        <v>D</v>
      </c>
      <c r="J8" s="58"/>
      <c r="K8" s="58"/>
      <c r="L8" s="58"/>
      <c r="M8" s="58"/>
      <c r="N8" s="58"/>
      <c r="O8" s="58"/>
      <c r="P8" s="63"/>
      <c r="Q8" s="58"/>
      <c r="R8" s="58"/>
      <c r="S8" s="58"/>
    </row>
    <row r="9" spans="1:19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'01_인적정보'!E9</f>
        <v>경영전략기획</v>
      </c>
      <c r="E9" s="11" t="str">
        <f>'01_인적정보'!H9</f>
        <v>G6</v>
      </c>
      <c r="F9" s="13">
        <f>'07a_상반기입력'!I9</f>
        <v>0</v>
      </c>
      <c r="G9" s="13">
        <f>'07a_상반기입력'!J9</f>
        <v>0</v>
      </c>
      <c r="H9" s="39">
        <f>IFERROR(IF(AND(F9&lt;&gt;"",G9&lt;&gt;""),'02_의사결정·종합결과'!$B$67*IF(F9="S",5,IF(F9="A",4,IF(F9="B",3,IF(F9="C",2,IF(F9="D",1,0)))))+'02_의사결정·종합결과'!$B$68*IF(G9="S",5,IF(G9="A",4,IF(G9="B",3,IF(G9="C",2,IF(G9="D",1,0))))),IF(F9&lt;&gt;"",IF(F9="S",5,IF(F9="A",4,IF(F9="B",3,IF(F9="C",2,IF(F9="D",1,0))))),IF(G9&lt;&gt;"",IF(G9="S",5,IF(G9="A",4,IF(G9="B",3,IF(G9="C",2,IF(G9="D",1,0))))),""))),"")</f>
        <v>0</v>
      </c>
      <c r="I9" s="40" t="str">
        <f t="shared" si="0"/>
        <v>D</v>
      </c>
      <c r="J9" s="58"/>
      <c r="K9" s="58"/>
      <c r="L9" s="58"/>
      <c r="M9" s="58"/>
      <c r="N9" s="58"/>
      <c r="O9" s="58"/>
      <c r="P9" s="63"/>
      <c r="Q9" s="58"/>
      <c r="R9" s="58"/>
      <c r="S9" s="58"/>
    </row>
    <row r="10" spans="1:19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'01_인적정보'!E10</f>
        <v>경영전략기획</v>
      </c>
      <c r="E10" s="11" t="str">
        <f>'01_인적정보'!H10</f>
        <v>G6</v>
      </c>
      <c r="F10" s="13">
        <f>'07a_상반기입력'!I10</f>
        <v>0</v>
      </c>
      <c r="G10" s="13">
        <f>'07a_상반기입력'!J10</f>
        <v>0</v>
      </c>
      <c r="H10" s="39">
        <f>IFERROR(IF(AND(F10&lt;&gt;"",G10&lt;&gt;""),'02_의사결정·종합결과'!$B$67*IF(F10="S",5,IF(F10="A",4,IF(F10="B",3,IF(F10="C",2,IF(F10="D",1,0)))))+'02_의사결정·종합결과'!$B$68*IF(G10="S",5,IF(G10="A",4,IF(G10="B",3,IF(G10="C",2,IF(G10="D",1,0))))),IF(F10&lt;&gt;"",IF(F10="S",5,IF(F10="A",4,IF(F10="B",3,IF(F10="C",2,IF(F10="D",1,0))))),IF(G10&lt;&gt;"",IF(G10="S",5,IF(G10="A",4,IF(G10="B",3,IF(G10="C",2,IF(G10="D",1,0))))),""))),"")</f>
        <v>0</v>
      </c>
      <c r="I10" s="40" t="str">
        <f t="shared" si="0"/>
        <v>D</v>
      </c>
      <c r="J10" s="58"/>
      <c r="K10" s="58"/>
      <c r="L10" s="58"/>
      <c r="M10" s="58"/>
      <c r="N10" s="58"/>
      <c r="O10" s="58"/>
      <c r="P10" s="63"/>
      <c r="Q10" s="58"/>
      <c r="R10" s="58"/>
      <c r="S10" s="58"/>
    </row>
    <row r="11" spans="1:19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'01_인적정보'!E11</f>
        <v>경영전략기획</v>
      </c>
      <c r="E11" s="11" t="str">
        <f>'01_인적정보'!H11</f>
        <v>G6</v>
      </c>
      <c r="F11" s="13">
        <f>'07a_상반기입력'!I11</f>
        <v>0</v>
      </c>
      <c r="G11" s="13">
        <f>'07a_상반기입력'!J11</f>
        <v>0</v>
      </c>
      <c r="H11" s="39">
        <f>IFERROR(IF(AND(F11&lt;&gt;"",G11&lt;&gt;""),'02_의사결정·종합결과'!$B$67*IF(F11="S",5,IF(F11="A",4,IF(F11="B",3,IF(F11="C",2,IF(F11="D",1,0)))))+'02_의사결정·종합결과'!$B$68*IF(G11="S",5,IF(G11="A",4,IF(G11="B",3,IF(G11="C",2,IF(G11="D",1,0))))),IF(F11&lt;&gt;"",IF(F11="S",5,IF(F11="A",4,IF(F11="B",3,IF(F11="C",2,IF(F11="D",1,0))))),IF(G11&lt;&gt;"",IF(G11="S",5,IF(G11="A",4,IF(G11="B",3,IF(G11="C",2,IF(G11="D",1,0))))),""))),"")</f>
        <v>0</v>
      </c>
      <c r="I11" s="40" t="str">
        <f t="shared" si="0"/>
        <v>D</v>
      </c>
      <c r="J11" s="58"/>
      <c r="K11" s="58"/>
      <c r="L11" s="58"/>
      <c r="M11" s="58"/>
      <c r="N11" s="58"/>
      <c r="O11" s="58"/>
      <c r="P11" s="63"/>
      <c r="Q11" s="58"/>
      <c r="R11" s="58"/>
      <c r="S11" s="58"/>
    </row>
    <row r="12" spans="1:19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'01_인적정보'!E12</f>
        <v>교육</v>
      </c>
      <c r="E12" s="11" t="str">
        <f>'01_인적정보'!H12</f>
        <v>G5-M</v>
      </c>
      <c r="F12" s="13">
        <f>'07a_상반기입력'!I12</f>
        <v>0</v>
      </c>
      <c r="G12" s="13">
        <f>'07a_상반기입력'!J12</f>
        <v>0</v>
      </c>
      <c r="H12" s="39">
        <f>IFERROR(IF(AND(F12&lt;&gt;"",G12&lt;&gt;""),'02_의사결정·종합결과'!$B$67*IF(F12="S",5,IF(F12="A",4,IF(F12="B",3,IF(F12="C",2,IF(F12="D",1,0)))))+'02_의사결정·종합결과'!$B$68*IF(G12="S",5,IF(G12="A",4,IF(G12="B",3,IF(G12="C",2,IF(G12="D",1,0))))),IF(F12&lt;&gt;"",IF(F12="S",5,IF(F12="A",4,IF(F12="B",3,IF(F12="C",2,IF(F12="D",1,0))))),IF(G12&lt;&gt;"",IF(G12="S",5,IF(G12="A",4,IF(G12="B",3,IF(G12="C",2,IF(G12="D",1,0))))),""))),"")</f>
        <v>0</v>
      </c>
      <c r="I12" s="40" t="str">
        <f t="shared" si="0"/>
        <v>D</v>
      </c>
      <c r="J12" s="58"/>
      <c r="K12" s="58"/>
      <c r="L12" s="58"/>
      <c r="M12" s="58"/>
      <c r="N12" s="58"/>
      <c r="O12" s="58"/>
      <c r="P12" s="63"/>
      <c r="Q12" s="58"/>
      <c r="R12" s="58"/>
      <c r="S12" s="58"/>
    </row>
    <row r="13" spans="1:19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'01_인적정보'!E13</f>
        <v>기술지원</v>
      </c>
      <c r="E13" s="11" t="str">
        <f>'01_인적정보'!H13</f>
        <v>G5-M</v>
      </c>
      <c r="F13" s="13">
        <f>'07a_상반기입력'!I13</f>
        <v>0</v>
      </c>
      <c r="G13" s="13">
        <f>'07a_상반기입력'!J13</f>
        <v>0</v>
      </c>
      <c r="H13" s="39">
        <f>IFERROR(IF(AND(F13&lt;&gt;"",G13&lt;&gt;""),'02_의사결정·종합결과'!$B$67*IF(F13="S",5,IF(F13="A",4,IF(F13="B",3,IF(F13="C",2,IF(F13="D",1,0)))))+'02_의사결정·종합결과'!$B$68*IF(G13="S",5,IF(G13="A",4,IF(G13="B",3,IF(G13="C",2,IF(G13="D",1,0))))),IF(F13&lt;&gt;"",IF(F13="S",5,IF(F13="A",4,IF(F13="B",3,IF(F13="C",2,IF(F13="D",1,0))))),IF(G13&lt;&gt;"",IF(G13="S",5,IF(G13="A",4,IF(G13="B",3,IF(G13="C",2,IF(G13="D",1,0))))),""))),"")</f>
        <v>0</v>
      </c>
      <c r="I13" s="40" t="str">
        <f t="shared" si="0"/>
        <v>D</v>
      </c>
      <c r="J13" s="58"/>
      <c r="K13" s="58"/>
      <c r="L13" s="58"/>
      <c r="M13" s="58"/>
      <c r="N13" s="58"/>
      <c r="O13" s="58"/>
      <c r="P13" s="63"/>
      <c r="Q13" s="58"/>
      <c r="R13" s="58"/>
      <c r="S13" s="58"/>
    </row>
    <row r="14" spans="1:19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'01_인적정보'!E14</f>
        <v>BIM컨설팅</v>
      </c>
      <c r="E14" s="11" t="str">
        <f>'01_인적정보'!H14</f>
        <v>G5-M</v>
      </c>
      <c r="F14" s="13">
        <f>'07a_상반기입력'!I14</f>
        <v>0</v>
      </c>
      <c r="G14" s="13">
        <f>'07a_상반기입력'!J14</f>
        <v>0</v>
      </c>
      <c r="H14" s="39">
        <f>IFERROR(IF(AND(F14&lt;&gt;"",G14&lt;&gt;""),'02_의사결정·종합결과'!$B$67*IF(F14="S",5,IF(F14="A",4,IF(F14="B",3,IF(F14="C",2,IF(F14="D",1,0)))))+'02_의사결정·종합결과'!$B$68*IF(G14="S",5,IF(G14="A",4,IF(G14="B",3,IF(G14="C",2,IF(G14="D",1,0))))),IF(F14&lt;&gt;"",IF(F14="S",5,IF(F14="A",4,IF(F14="B",3,IF(F14="C",2,IF(F14="D",1,0))))),IF(G14&lt;&gt;"",IF(G14="S",5,IF(G14="A",4,IF(G14="B",3,IF(G14="C",2,IF(G14="D",1,0))))),""))),"")</f>
        <v>0</v>
      </c>
      <c r="I14" s="40" t="str">
        <f t="shared" si="0"/>
        <v>D</v>
      </c>
      <c r="J14" s="58"/>
      <c r="K14" s="58"/>
      <c r="L14" s="58"/>
      <c r="M14" s="58"/>
      <c r="N14" s="58"/>
      <c r="O14" s="58"/>
      <c r="P14" s="63"/>
      <c r="Q14" s="58"/>
      <c r="R14" s="58"/>
      <c r="S14" s="58"/>
    </row>
    <row r="15" spans="1:19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'01_인적정보'!E15</f>
        <v>BIM컨설팅</v>
      </c>
      <c r="E15" s="11" t="str">
        <f>'01_인적정보'!H15</f>
        <v>G5-S</v>
      </c>
      <c r="F15" s="13">
        <f>'07a_상반기입력'!I15</f>
        <v>0</v>
      </c>
      <c r="G15" s="13">
        <f>'07a_상반기입력'!J15</f>
        <v>0</v>
      </c>
      <c r="H15" s="39">
        <f>IFERROR(IF(AND(F15&lt;&gt;"",G15&lt;&gt;""),'02_의사결정·종합결과'!$B$67*IF(F15="S",5,IF(F15="A",4,IF(F15="B",3,IF(F15="C",2,IF(F15="D",1,0)))))+'02_의사결정·종합결과'!$B$68*IF(G15="S",5,IF(G15="A",4,IF(G15="B",3,IF(G15="C",2,IF(G15="D",1,0))))),IF(F15&lt;&gt;"",IF(F15="S",5,IF(F15="A",4,IF(F15="B",3,IF(F15="C",2,IF(F15="D",1,0))))),IF(G15&lt;&gt;"",IF(G15="S",5,IF(G15="A",4,IF(G15="B",3,IF(G15="C",2,IF(G15="D",1,0))))),""))),"")</f>
        <v>0</v>
      </c>
      <c r="I15" s="40" t="str">
        <f t="shared" si="0"/>
        <v>D</v>
      </c>
      <c r="J15" s="58"/>
      <c r="K15" s="58"/>
      <c r="L15" s="58"/>
      <c r="M15" s="58"/>
      <c r="N15" s="58"/>
      <c r="O15" s="58"/>
      <c r="P15" s="63"/>
      <c r="Q15" s="58"/>
      <c r="R15" s="58"/>
      <c r="S15" s="58"/>
    </row>
    <row r="16" spans="1:19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'01_인적정보'!E16</f>
        <v>BIM컨설팅</v>
      </c>
      <c r="E16" s="11" t="str">
        <f>'01_인적정보'!H16</f>
        <v>G5-S</v>
      </c>
      <c r="F16" s="13">
        <f>'07a_상반기입력'!I16</f>
        <v>0</v>
      </c>
      <c r="G16" s="13">
        <f>'07a_상반기입력'!J16</f>
        <v>0</v>
      </c>
      <c r="H16" s="39">
        <f>IFERROR(IF(AND(F16&lt;&gt;"",G16&lt;&gt;""),'02_의사결정·종합결과'!$B$67*IF(F16="S",5,IF(F16="A",4,IF(F16="B",3,IF(F16="C",2,IF(F16="D",1,0)))))+'02_의사결정·종합결과'!$B$68*IF(G16="S",5,IF(G16="A",4,IF(G16="B",3,IF(G16="C",2,IF(G16="D",1,0))))),IF(F16&lt;&gt;"",IF(F16="S",5,IF(F16="A",4,IF(F16="B",3,IF(F16="C",2,IF(F16="D",1,0))))),IF(G16&lt;&gt;"",IF(G16="S",5,IF(G16="A",4,IF(G16="B",3,IF(G16="C",2,IF(G16="D",1,0))))),""))),"")</f>
        <v>0</v>
      </c>
      <c r="I16" s="40" t="str">
        <f t="shared" si="0"/>
        <v>D</v>
      </c>
      <c r="J16" s="58"/>
      <c r="K16" s="58"/>
      <c r="L16" s="58"/>
      <c r="M16" s="58"/>
      <c r="N16" s="58"/>
      <c r="O16" s="58"/>
      <c r="P16" s="63"/>
      <c r="Q16" s="58"/>
      <c r="R16" s="58"/>
      <c r="S16" s="58"/>
    </row>
    <row r="17" spans="1:19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'01_인적정보'!E17</f>
        <v>경영전략기획</v>
      </c>
      <c r="E17" s="11" t="str">
        <f>'01_인적정보'!H17</f>
        <v>G5-M</v>
      </c>
      <c r="F17" s="13">
        <f>'07a_상반기입력'!I17</f>
        <v>0</v>
      </c>
      <c r="G17" s="13">
        <f>'07a_상반기입력'!J17</f>
        <v>0</v>
      </c>
      <c r="H17" s="39">
        <f>IFERROR(IF(AND(F17&lt;&gt;"",G17&lt;&gt;""),'02_의사결정·종합결과'!$B$67*IF(F17="S",5,IF(F17="A",4,IF(F17="B",3,IF(F17="C",2,IF(F17="D",1,0)))))+'02_의사결정·종합결과'!$B$68*IF(G17="S",5,IF(G17="A",4,IF(G17="B",3,IF(G17="C",2,IF(G17="D",1,0))))),IF(F17&lt;&gt;"",IF(F17="S",5,IF(F17="A",4,IF(F17="B",3,IF(F17="C",2,IF(F17="D",1,0))))),IF(G17&lt;&gt;"",IF(G17="S",5,IF(G17="A",4,IF(G17="B",3,IF(G17="C",2,IF(G17="D",1,0))))),""))),"")</f>
        <v>0</v>
      </c>
      <c r="I17" s="40" t="str">
        <f t="shared" si="0"/>
        <v>D</v>
      </c>
      <c r="J17" s="58"/>
      <c r="K17" s="58"/>
      <c r="L17" s="58"/>
      <c r="M17" s="58"/>
      <c r="N17" s="58"/>
      <c r="O17" s="58"/>
      <c r="P17" s="63"/>
      <c r="Q17" s="58"/>
      <c r="R17" s="58"/>
      <c r="S17" s="58"/>
    </row>
    <row r="18" spans="1:19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'01_인적정보'!E18</f>
        <v>BIM컨설팅</v>
      </c>
      <c r="E18" s="11" t="str">
        <f>'01_인적정보'!H18</f>
        <v>G5-S</v>
      </c>
      <c r="F18" s="13">
        <f>'07a_상반기입력'!I18</f>
        <v>0</v>
      </c>
      <c r="G18" s="13">
        <f>'07a_상반기입력'!J18</f>
        <v>0</v>
      </c>
      <c r="H18" s="39">
        <f>IFERROR(IF(AND(F18&lt;&gt;"",G18&lt;&gt;""),'02_의사결정·종합결과'!$B$67*IF(F18="S",5,IF(F18="A",4,IF(F18="B",3,IF(F18="C",2,IF(F18="D",1,0)))))+'02_의사결정·종합결과'!$B$68*IF(G18="S",5,IF(G18="A",4,IF(G18="B",3,IF(G18="C",2,IF(G18="D",1,0))))),IF(F18&lt;&gt;"",IF(F18="S",5,IF(F18="A",4,IF(F18="B",3,IF(F18="C",2,IF(F18="D",1,0))))),IF(G18&lt;&gt;"",IF(G18="S",5,IF(G18="A",4,IF(G18="B",3,IF(G18="C",2,IF(G18="D",1,0))))),""))),"")</f>
        <v>0</v>
      </c>
      <c r="I18" s="40" t="str">
        <f t="shared" si="0"/>
        <v>D</v>
      </c>
      <c r="J18" s="58"/>
      <c r="K18" s="58"/>
      <c r="L18" s="58"/>
      <c r="M18" s="58"/>
      <c r="N18" s="58"/>
      <c r="O18" s="58"/>
      <c r="P18" s="63"/>
      <c r="Q18" s="58"/>
      <c r="R18" s="58"/>
      <c r="S18" s="58"/>
    </row>
    <row r="19" spans="1:19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'01_인적정보'!E19</f>
        <v>BIM컨설팅</v>
      </c>
      <c r="E19" s="11" t="str">
        <f>'01_인적정보'!H19</f>
        <v>G5-S</v>
      </c>
      <c r="F19" s="13">
        <f>'07a_상반기입력'!I19</f>
        <v>0</v>
      </c>
      <c r="G19" s="13">
        <f>'07a_상반기입력'!J19</f>
        <v>0</v>
      </c>
      <c r="H19" s="39">
        <f>IFERROR(IF(AND(F19&lt;&gt;"",G19&lt;&gt;""),'02_의사결정·종합결과'!$B$67*IF(F19="S",5,IF(F19="A",4,IF(F19="B",3,IF(F19="C",2,IF(F19="D",1,0)))))+'02_의사결정·종합결과'!$B$68*IF(G19="S",5,IF(G19="A",4,IF(G19="B",3,IF(G19="C",2,IF(G19="D",1,0))))),IF(F19&lt;&gt;"",IF(F19="S",5,IF(F19="A",4,IF(F19="B",3,IF(F19="C",2,IF(F19="D",1,0))))),IF(G19&lt;&gt;"",IF(G19="S",5,IF(G19="A",4,IF(G19="B",3,IF(G19="C",2,IF(G19="D",1,0))))),""))),"")</f>
        <v>0</v>
      </c>
      <c r="I19" s="40" t="str">
        <f t="shared" si="0"/>
        <v>D</v>
      </c>
      <c r="J19" s="58"/>
      <c r="K19" s="58"/>
      <c r="L19" s="58"/>
      <c r="M19" s="58"/>
      <c r="N19" s="58"/>
      <c r="O19" s="58"/>
      <c r="P19" s="63"/>
      <c r="Q19" s="58"/>
      <c r="R19" s="58"/>
      <c r="S19" s="58"/>
    </row>
    <row r="20" spans="1:19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'01_인적정보'!E20</f>
        <v>BIM컨설팅</v>
      </c>
      <c r="E20" s="11" t="str">
        <f>'01_인적정보'!H20</f>
        <v>G5-S</v>
      </c>
      <c r="F20" s="13">
        <f>'07a_상반기입력'!I20</f>
        <v>0</v>
      </c>
      <c r="G20" s="13">
        <f>'07a_상반기입력'!J20</f>
        <v>0</v>
      </c>
      <c r="H20" s="39">
        <f>IFERROR(IF(AND(F20&lt;&gt;"",G20&lt;&gt;""),'02_의사결정·종합결과'!$B$67*IF(F20="S",5,IF(F20="A",4,IF(F20="B",3,IF(F20="C",2,IF(F20="D",1,0)))))+'02_의사결정·종합결과'!$B$68*IF(G20="S",5,IF(G20="A",4,IF(G20="B",3,IF(G20="C",2,IF(G20="D",1,0))))),IF(F20&lt;&gt;"",IF(F20="S",5,IF(F20="A",4,IF(F20="B",3,IF(F20="C",2,IF(F20="D",1,0))))),IF(G20&lt;&gt;"",IF(G20="S",5,IF(G20="A",4,IF(G20="B",3,IF(G20="C",2,IF(G20="D",1,0))))),""))),"")</f>
        <v>0</v>
      </c>
      <c r="I20" s="40" t="str">
        <f t="shared" si="0"/>
        <v>D</v>
      </c>
      <c r="J20" s="58"/>
      <c r="K20" s="58"/>
      <c r="L20" s="58"/>
      <c r="M20" s="58"/>
      <c r="N20" s="58"/>
      <c r="O20" s="58"/>
      <c r="P20" s="63"/>
      <c r="Q20" s="58"/>
      <c r="R20" s="58"/>
      <c r="S20" s="58"/>
    </row>
    <row r="21" spans="1:19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'01_인적정보'!E21</f>
        <v>BIM컨설팅</v>
      </c>
      <c r="E21" s="11" t="str">
        <f>'01_인적정보'!H21</f>
        <v>G5-S</v>
      </c>
      <c r="F21" s="13">
        <f>'07a_상반기입력'!I21</f>
        <v>0</v>
      </c>
      <c r="G21" s="13">
        <f>'07a_상반기입력'!J21</f>
        <v>0</v>
      </c>
      <c r="H21" s="39">
        <f>IFERROR(IF(AND(F21&lt;&gt;"",G21&lt;&gt;""),'02_의사결정·종합결과'!$B$67*IF(F21="S",5,IF(F21="A",4,IF(F21="B",3,IF(F21="C",2,IF(F21="D",1,0)))))+'02_의사결정·종합결과'!$B$68*IF(G21="S",5,IF(G21="A",4,IF(G21="B",3,IF(G21="C",2,IF(G21="D",1,0))))),IF(F21&lt;&gt;"",IF(F21="S",5,IF(F21="A",4,IF(F21="B",3,IF(F21="C",2,IF(F21="D",1,0))))),IF(G21&lt;&gt;"",IF(G21="S",5,IF(G21="A",4,IF(G21="B",3,IF(G21="C",2,IF(G21="D",1,0))))),""))),"")</f>
        <v>0</v>
      </c>
      <c r="I21" s="40" t="str">
        <f t="shared" si="0"/>
        <v>D</v>
      </c>
      <c r="J21" s="58"/>
      <c r="K21" s="58"/>
      <c r="L21" s="58"/>
      <c r="M21" s="58"/>
      <c r="N21" s="58"/>
      <c r="O21" s="58"/>
      <c r="P21" s="63"/>
      <c r="Q21" s="58"/>
      <c r="R21" s="58"/>
      <c r="S21" s="58"/>
    </row>
    <row r="22" spans="1:19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'01_인적정보'!E22</f>
        <v>교육</v>
      </c>
      <c r="E22" s="11" t="str">
        <f>'01_인적정보'!H22</f>
        <v>G4</v>
      </c>
      <c r="F22" s="13">
        <f>'07a_상반기입력'!I22</f>
        <v>0</v>
      </c>
      <c r="G22" s="13">
        <f>'07a_상반기입력'!J22</f>
        <v>0</v>
      </c>
      <c r="H22" s="39">
        <f>IFERROR(IF(AND(F22&lt;&gt;"",G22&lt;&gt;""),'02_의사결정·종합결과'!$B$67*IF(F22="S",5,IF(F22="A",4,IF(F22="B",3,IF(F22="C",2,IF(F22="D",1,0)))))+'02_의사결정·종합결과'!$B$68*IF(G22="S",5,IF(G22="A",4,IF(G22="B",3,IF(G22="C",2,IF(G22="D",1,0))))),IF(F22&lt;&gt;"",IF(F22="S",5,IF(F22="A",4,IF(F22="B",3,IF(F22="C",2,IF(F22="D",1,0))))),IF(G22&lt;&gt;"",IF(G22="S",5,IF(G22="A",4,IF(G22="B",3,IF(G22="C",2,IF(G22="D",1,0))))),""))),"")</f>
        <v>0</v>
      </c>
      <c r="I22" s="40" t="str">
        <f t="shared" si="0"/>
        <v>D</v>
      </c>
      <c r="J22" s="58"/>
      <c r="K22" s="58"/>
      <c r="L22" s="58"/>
      <c r="M22" s="58"/>
      <c r="N22" s="58"/>
      <c r="O22" s="58"/>
      <c r="P22" s="63"/>
      <c r="Q22" s="58"/>
      <c r="R22" s="58"/>
      <c r="S22" s="58"/>
    </row>
    <row r="23" spans="1:19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'01_인적정보'!E23</f>
        <v>BIM컨설팅</v>
      </c>
      <c r="E23" s="11" t="str">
        <f>'01_인적정보'!H23</f>
        <v>G4</v>
      </c>
      <c r="F23" s="13">
        <f>'07a_상반기입력'!I23</f>
        <v>0</v>
      </c>
      <c r="G23" s="13">
        <f>'07a_상반기입력'!J23</f>
        <v>0</v>
      </c>
      <c r="H23" s="39">
        <f>IFERROR(IF(AND(F23&lt;&gt;"",G23&lt;&gt;""),'02_의사결정·종합결과'!$B$67*IF(F23="S",5,IF(F23="A",4,IF(F23="B",3,IF(F23="C",2,IF(F23="D",1,0)))))+'02_의사결정·종합결과'!$B$68*IF(G23="S",5,IF(G23="A",4,IF(G23="B",3,IF(G23="C",2,IF(G23="D",1,0))))),IF(F23&lt;&gt;"",IF(F23="S",5,IF(F23="A",4,IF(F23="B",3,IF(F23="C",2,IF(F23="D",1,0))))),IF(G23&lt;&gt;"",IF(G23="S",5,IF(G23="A",4,IF(G23="B",3,IF(G23="C",2,IF(G23="D",1,0))))),""))),"")</f>
        <v>0</v>
      </c>
      <c r="I23" s="40" t="str">
        <f t="shared" si="0"/>
        <v>D</v>
      </c>
      <c r="J23" s="58"/>
      <c r="K23" s="58"/>
      <c r="L23" s="58"/>
      <c r="M23" s="58"/>
      <c r="N23" s="58"/>
      <c r="O23" s="58"/>
      <c r="P23" s="63"/>
      <c r="Q23" s="58"/>
      <c r="R23" s="58"/>
      <c r="S23" s="58"/>
    </row>
    <row r="24" spans="1:19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'01_인적정보'!E24</f>
        <v>BIM컨설팅</v>
      </c>
      <c r="E24" s="11" t="str">
        <f>'01_인적정보'!H24</f>
        <v>G3</v>
      </c>
      <c r="F24" s="13">
        <f>'07a_상반기입력'!I24</f>
        <v>0</v>
      </c>
      <c r="G24" s="13">
        <f>'07a_상반기입력'!J24</f>
        <v>0</v>
      </c>
      <c r="H24" s="39">
        <f>IFERROR(IF(AND(F24&lt;&gt;"",G24&lt;&gt;""),'02_의사결정·종합결과'!$B$67*IF(F24="S",5,IF(F24="A",4,IF(F24="B",3,IF(F24="C",2,IF(F24="D",1,0)))))+'02_의사결정·종합결과'!$B$68*IF(G24="S",5,IF(G24="A",4,IF(G24="B",3,IF(G24="C",2,IF(G24="D",1,0))))),IF(F24&lt;&gt;"",IF(F24="S",5,IF(F24="A",4,IF(F24="B",3,IF(F24="C",2,IF(F24="D",1,0))))),IF(G24&lt;&gt;"",IF(G24="S",5,IF(G24="A",4,IF(G24="B",3,IF(G24="C",2,IF(G24="D",1,0))))),""))),"")</f>
        <v>0</v>
      </c>
      <c r="I24" s="40" t="str">
        <f t="shared" si="0"/>
        <v>D</v>
      </c>
      <c r="J24" s="58"/>
      <c r="K24" s="58"/>
      <c r="L24" s="58"/>
      <c r="M24" s="58"/>
      <c r="N24" s="58"/>
      <c r="O24" s="58"/>
      <c r="P24" s="63"/>
      <c r="Q24" s="58"/>
      <c r="R24" s="58"/>
      <c r="S24" s="58"/>
    </row>
    <row r="25" spans="1:19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'01_인적정보'!E25</f>
        <v>기술지원</v>
      </c>
      <c r="E25" s="11" t="str">
        <f>'01_인적정보'!H25</f>
        <v>G3</v>
      </c>
      <c r="F25" s="13">
        <f>'07a_상반기입력'!I25</f>
        <v>0</v>
      </c>
      <c r="G25" s="13">
        <f>'07a_상반기입력'!J25</f>
        <v>0</v>
      </c>
      <c r="H25" s="39">
        <f>IFERROR(IF(AND(F25&lt;&gt;"",G25&lt;&gt;""),'02_의사결정·종합결과'!$B$67*IF(F25="S",5,IF(F25="A",4,IF(F25="B",3,IF(F25="C",2,IF(F25="D",1,0)))))+'02_의사결정·종합결과'!$B$68*IF(G25="S",5,IF(G25="A",4,IF(G25="B",3,IF(G25="C",2,IF(G25="D",1,0))))),IF(F25&lt;&gt;"",IF(F25="S",5,IF(F25="A",4,IF(F25="B",3,IF(F25="C",2,IF(F25="D",1,0))))),IF(G25&lt;&gt;"",IF(G25="S",5,IF(G25="A",4,IF(G25="B",3,IF(G25="C",2,IF(G25="D",1,0))))),""))),"")</f>
        <v>0</v>
      </c>
      <c r="I25" s="40" t="str">
        <f t="shared" si="0"/>
        <v>D</v>
      </c>
      <c r="J25" s="58"/>
      <c r="K25" s="58"/>
      <c r="L25" s="58"/>
      <c r="M25" s="58"/>
      <c r="N25" s="58"/>
      <c r="O25" s="58"/>
      <c r="P25" s="63"/>
      <c r="Q25" s="58"/>
      <c r="R25" s="58"/>
      <c r="S25" s="58"/>
    </row>
    <row r="26" spans="1:19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'01_인적정보'!E26</f>
        <v>BIM컨설팅</v>
      </c>
      <c r="E26" s="11" t="str">
        <f>'01_인적정보'!H26</f>
        <v>G2</v>
      </c>
      <c r="F26" s="13">
        <f>'07a_상반기입력'!I26</f>
        <v>0</v>
      </c>
      <c r="G26" s="13">
        <f>'07a_상반기입력'!J26</f>
        <v>0</v>
      </c>
      <c r="H26" s="39">
        <f>IFERROR(IF(AND(F26&lt;&gt;"",G26&lt;&gt;""),'02_의사결정·종합결과'!$B$67*IF(F26="S",5,IF(F26="A",4,IF(F26="B",3,IF(F26="C",2,IF(F26="D",1,0)))))+'02_의사결정·종합결과'!$B$68*IF(G26="S",5,IF(G26="A",4,IF(G26="B",3,IF(G26="C",2,IF(G26="D",1,0))))),IF(F26&lt;&gt;"",IF(F26="S",5,IF(F26="A",4,IF(F26="B",3,IF(F26="C",2,IF(F26="D",1,0))))),IF(G26&lt;&gt;"",IF(G26="S",5,IF(G26="A",4,IF(G26="B",3,IF(G26="C",2,IF(G26="D",1,0))))),""))),"")</f>
        <v>0</v>
      </c>
      <c r="I26" s="40" t="str">
        <f t="shared" si="0"/>
        <v>D</v>
      </c>
      <c r="J26" s="58"/>
      <c r="K26" s="58"/>
      <c r="L26" s="58"/>
      <c r="M26" s="58"/>
      <c r="N26" s="58"/>
      <c r="O26" s="58"/>
      <c r="P26" s="63"/>
      <c r="Q26" s="58"/>
      <c r="R26" s="58"/>
      <c r="S26" s="58"/>
    </row>
    <row r="27" spans="1:19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'01_인적정보'!E27</f>
        <v>BIM컨설팅</v>
      </c>
      <c r="E27" s="11" t="str">
        <f>'01_인적정보'!H27</f>
        <v>G2</v>
      </c>
      <c r="F27" s="13">
        <f>'07a_상반기입력'!I27</f>
        <v>0</v>
      </c>
      <c r="G27" s="13">
        <f>'07a_상반기입력'!J27</f>
        <v>0</v>
      </c>
      <c r="H27" s="39">
        <f>IFERROR(IF(AND(F27&lt;&gt;"",G27&lt;&gt;""),'02_의사결정·종합결과'!$B$67*IF(F27="S",5,IF(F27="A",4,IF(F27="B",3,IF(F27="C",2,IF(F27="D",1,0)))))+'02_의사결정·종합결과'!$B$68*IF(G27="S",5,IF(G27="A",4,IF(G27="B",3,IF(G27="C",2,IF(G27="D",1,0))))),IF(F27&lt;&gt;"",IF(F27="S",5,IF(F27="A",4,IF(F27="B",3,IF(F27="C",2,IF(F27="D",1,0))))),IF(G27&lt;&gt;"",IF(G27="S",5,IF(G27="A",4,IF(G27="B",3,IF(G27="C",2,IF(G27="D",1,0))))),""))),"")</f>
        <v>0</v>
      </c>
      <c r="I27" s="40" t="str">
        <f t="shared" si="0"/>
        <v>D</v>
      </c>
      <c r="J27" s="58"/>
      <c r="K27" s="58"/>
      <c r="L27" s="58"/>
      <c r="M27" s="58"/>
      <c r="N27" s="58"/>
      <c r="O27" s="58"/>
      <c r="P27" s="63"/>
      <c r="Q27" s="58"/>
      <c r="R27" s="58"/>
      <c r="S27" s="58"/>
    </row>
    <row r="28" spans="1:19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'01_인적정보'!E28</f>
        <v>BIM컨설팅</v>
      </c>
      <c r="E28" s="11" t="str">
        <f>'01_인적정보'!H28</f>
        <v>G2</v>
      </c>
      <c r="F28" s="13">
        <f>'07a_상반기입력'!I28</f>
        <v>0</v>
      </c>
      <c r="G28" s="13">
        <f>'07a_상반기입력'!J28</f>
        <v>0</v>
      </c>
      <c r="H28" s="39">
        <f>IFERROR(IF(AND(F28&lt;&gt;"",G28&lt;&gt;""),'02_의사결정·종합결과'!$B$67*IF(F28="S",5,IF(F28="A",4,IF(F28="B",3,IF(F28="C",2,IF(F28="D",1,0)))))+'02_의사결정·종합결과'!$B$68*IF(G28="S",5,IF(G28="A",4,IF(G28="B",3,IF(G28="C",2,IF(G28="D",1,0))))),IF(F28&lt;&gt;"",IF(F28="S",5,IF(F28="A",4,IF(F28="B",3,IF(F28="C",2,IF(F28="D",1,0))))),IF(G28&lt;&gt;"",IF(G28="S",5,IF(G28="A",4,IF(G28="B",3,IF(G28="C",2,IF(G28="D",1,0))))),""))),"")</f>
        <v>0</v>
      </c>
      <c r="I28" s="40" t="str">
        <f t="shared" si="0"/>
        <v>D</v>
      </c>
      <c r="J28" s="58"/>
      <c r="K28" s="58"/>
      <c r="L28" s="58"/>
      <c r="M28" s="58"/>
      <c r="N28" s="58"/>
      <c r="O28" s="58"/>
      <c r="P28" s="63"/>
      <c r="Q28" s="58"/>
      <c r="R28" s="58"/>
      <c r="S28" s="58"/>
    </row>
    <row r="29" spans="1:19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'01_인적정보'!E29</f>
        <v>BIM컨설팅</v>
      </c>
      <c r="E29" s="11" t="str">
        <f>'01_인적정보'!H29</f>
        <v>G2</v>
      </c>
      <c r="F29" s="13">
        <f>'07a_상반기입력'!I29</f>
        <v>0</v>
      </c>
      <c r="G29" s="13">
        <f>'07a_상반기입력'!J29</f>
        <v>0</v>
      </c>
      <c r="H29" s="39">
        <f>IFERROR(IF(AND(F29&lt;&gt;"",G29&lt;&gt;""),'02_의사결정·종합결과'!$B$67*IF(F29="S",5,IF(F29="A",4,IF(F29="B",3,IF(F29="C",2,IF(F29="D",1,0)))))+'02_의사결정·종합결과'!$B$68*IF(G29="S",5,IF(G29="A",4,IF(G29="B",3,IF(G29="C",2,IF(G29="D",1,0))))),IF(F29&lt;&gt;"",IF(F29="S",5,IF(F29="A",4,IF(F29="B",3,IF(F29="C",2,IF(F29="D",1,0))))),IF(G29&lt;&gt;"",IF(G29="S",5,IF(G29="A",4,IF(G29="B",3,IF(G29="C",2,IF(G29="D",1,0))))),""))),"")</f>
        <v>0</v>
      </c>
      <c r="I29" s="40" t="str">
        <f t="shared" si="0"/>
        <v>D</v>
      </c>
      <c r="J29" s="58"/>
      <c r="K29" s="58"/>
      <c r="L29" s="58"/>
      <c r="M29" s="58"/>
      <c r="N29" s="58"/>
      <c r="O29" s="58"/>
      <c r="P29" s="63"/>
      <c r="Q29" s="58"/>
      <c r="R29" s="58"/>
      <c r="S29" s="58"/>
    </row>
    <row r="30" spans="1:19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'01_인적정보'!E30</f>
        <v>연구개발(R&amp;D)</v>
      </c>
      <c r="E30" s="11" t="str">
        <f>'01_인적정보'!H30</f>
        <v>G2</v>
      </c>
      <c r="F30" s="13">
        <f>'07a_상반기입력'!I30</f>
        <v>0</v>
      </c>
      <c r="G30" s="13">
        <f>'07a_상반기입력'!J30</f>
        <v>0</v>
      </c>
      <c r="H30" s="39">
        <f>IFERROR(IF(AND(F30&lt;&gt;"",G30&lt;&gt;""),'02_의사결정·종합결과'!$B$67*IF(F30="S",5,IF(F30="A",4,IF(F30="B",3,IF(F30="C",2,IF(F30="D",1,0)))))+'02_의사결정·종합결과'!$B$68*IF(G30="S",5,IF(G30="A",4,IF(G30="B",3,IF(G30="C",2,IF(G30="D",1,0))))),IF(F30&lt;&gt;"",IF(F30="S",5,IF(F30="A",4,IF(F30="B",3,IF(F30="C",2,IF(F30="D",1,0))))),IF(G30&lt;&gt;"",IF(G30="S",5,IF(G30="A",4,IF(G30="B",3,IF(G30="C",2,IF(G30="D",1,0))))),""))),"")</f>
        <v>0</v>
      </c>
      <c r="I30" s="40" t="str">
        <f t="shared" si="0"/>
        <v>D</v>
      </c>
      <c r="J30" s="58"/>
      <c r="K30" s="58"/>
      <c r="L30" s="58"/>
      <c r="M30" s="58"/>
      <c r="N30" s="58"/>
      <c r="O30" s="58"/>
      <c r="P30" s="63"/>
      <c r="Q30" s="58"/>
      <c r="R30" s="58"/>
      <c r="S30" s="58"/>
    </row>
    <row r="31" spans="1:19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'01_인적정보'!E31</f>
        <v>경영전략기획</v>
      </c>
      <c r="E31" s="11" t="str">
        <f>'01_인적정보'!H31</f>
        <v>G1</v>
      </c>
      <c r="F31" s="13">
        <f>'07a_상반기입력'!I31</f>
        <v>0</v>
      </c>
      <c r="G31" s="13">
        <f>'07a_상반기입력'!J31</f>
        <v>0</v>
      </c>
      <c r="H31" s="39">
        <f>IFERROR(IF(AND(F31&lt;&gt;"",G31&lt;&gt;""),'02_의사결정·종합결과'!$B$67*IF(F31="S",5,IF(F31="A",4,IF(F31="B",3,IF(F31="C",2,IF(F31="D",1,0)))))+'02_의사결정·종합결과'!$B$68*IF(G31="S",5,IF(G31="A",4,IF(G31="B",3,IF(G31="C",2,IF(G31="D",1,0))))),IF(F31&lt;&gt;"",IF(F31="S",5,IF(F31="A",4,IF(F31="B",3,IF(F31="C",2,IF(F31="D",1,0))))),IF(G31&lt;&gt;"",IF(G31="S",5,IF(G31="A",4,IF(G31="B",3,IF(G31="C",2,IF(G31="D",1,0))))),""))),"")</f>
        <v>0</v>
      </c>
      <c r="I31" s="40" t="str">
        <f t="shared" si="0"/>
        <v>D</v>
      </c>
      <c r="J31" s="58"/>
      <c r="K31" s="58"/>
      <c r="L31" s="58"/>
      <c r="M31" s="58"/>
      <c r="N31" s="58"/>
      <c r="O31" s="58"/>
      <c r="P31" s="63"/>
      <c r="Q31" s="58"/>
      <c r="R31" s="58"/>
      <c r="S31" s="58"/>
    </row>
    <row r="32" spans="1:19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'01_인적정보'!E32</f>
        <v>교육</v>
      </c>
      <c r="E32" s="11" t="str">
        <f>'01_인적정보'!H32</f>
        <v>G2</v>
      </c>
      <c r="F32" s="13">
        <f>'07a_상반기입력'!I32</f>
        <v>0</v>
      </c>
      <c r="G32" s="13">
        <f>'07a_상반기입력'!J32</f>
        <v>0</v>
      </c>
      <c r="H32" s="39">
        <f>IFERROR(IF(AND(F32&lt;&gt;"",G32&lt;&gt;""),'02_의사결정·종합결과'!$B$67*IF(F32="S",5,IF(F32="A",4,IF(F32="B",3,IF(F32="C",2,IF(F32="D",1,0)))))+'02_의사결정·종합결과'!$B$68*IF(G32="S",5,IF(G32="A",4,IF(G32="B",3,IF(G32="C",2,IF(G32="D",1,0))))),IF(F32&lt;&gt;"",IF(F32="S",5,IF(F32="A",4,IF(F32="B",3,IF(F32="C",2,IF(F32="D",1,0))))),IF(G32&lt;&gt;"",IF(G32="S",5,IF(G32="A",4,IF(G32="B",3,IF(G32="C",2,IF(G32="D",1,0))))),""))),"")</f>
        <v>0</v>
      </c>
      <c r="I32" s="40" t="str">
        <f t="shared" si="0"/>
        <v>D</v>
      </c>
      <c r="J32" s="58"/>
      <c r="K32" s="58"/>
      <c r="L32" s="58"/>
      <c r="M32" s="58"/>
      <c r="N32" s="58"/>
      <c r="O32" s="58"/>
      <c r="P32" s="63"/>
      <c r="Q32" s="58"/>
      <c r="R32" s="58"/>
      <c r="S32" s="58"/>
    </row>
    <row r="33" spans="1:19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'01_인적정보'!E33</f>
        <v>BIM컨설팅</v>
      </c>
      <c r="E33" s="11" t="str">
        <f>'01_인적정보'!H33</f>
        <v>G1</v>
      </c>
      <c r="F33" s="13">
        <f>'07a_상반기입력'!I33</f>
        <v>0</v>
      </c>
      <c r="G33" s="13">
        <f>'07a_상반기입력'!J33</f>
        <v>0</v>
      </c>
      <c r="H33" s="39">
        <f>IFERROR(IF(AND(F33&lt;&gt;"",G33&lt;&gt;""),'02_의사결정·종합결과'!$B$67*IF(F33="S",5,IF(F33="A",4,IF(F33="B",3,IF(F33="C",2,IF(F33="D",1,0)))))+'02_의사결정·종합결과'!$B$68*IF(G33="S",5,IF(G33="A",4,IF(G33="B",3,IF(G33="C",2,IF(G33="D",1,0))))),IF(F33&lt;&gt;"",IF(F33="S",5,IF(F33="A",4,IF(F33="B",3,IF(F33="C",2,IF(F33="D",1,0))))),IF(G33&lt;&gt;"",IF(G33="S",5,IF(G33="A",4,IF(G33="B",3,IF(G33="C",2,IF(G33="D",1,0))))),""))),"")</f>
        <v>0</v>
      </c>
      <c r="I33" s="40" t="str">
        <f t="shared" si="0"/>
        <v>D</v>
      </c>
      <c r="J33" s="58"/>
      <c r="K33" s="58"/>
      <c r="L33" s="58"/>
      <c r="M33" s="58"/>
      <c r="N33" s="58"/>
      <c r="O33" s="58"/>
      <c r="P33" s="63"/>
      <c r="Q33" s="58"/>
      <c r="R33" s="58"/>
      <c r="S33" s="58"/>
    </row>
    <row r="34" spans="1:19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'01_인적정보'!E34</f>
        <v>BIM컨설팅</v>
      </c>
      <c r="E34" s="11" t="str">
        <f>'01_인적정보'!H34</f>
        <v>G1</v>
      </c>
      <c r="F34" s="13">
        <f>'07a_상반기입력'!I34</f>
        <v>0</v>
      </c>
      <c r="G34" s="13">
        <f>'07a_상반기입력'!J34</f>
        <v>0</v>
      </c>
      <c r="H34" s="39">
        <f>IFERROR(IF(AND(F34&lt;&gt;"",G34&lt;&gt;""),'02_의사결정·종합결과'!$B$67*IF(F34="S",5,IF(F34="A",4,IF(F34="B",3,IF(F34="C",2,IF(F34="D",1,0)))))+'02_의사결정·종합결과'!$B$68*IF(G34="S",5,IF(G34="A",4,IF(G34="B",3,IF(G34="C",2,IF(G34="D",1,0))))),IF(F34&lt;&gt;"",IF(F34="S",5,IF(F34="A",4,IF(F34="B",3,IF(F34="C",2,IF(F34="D",1,0))))),IF(G34&lt;&gt;"",IF(G34="S",5,IF(G34="A",4,IF(G34="B",3,IF(G34="C",2,IF(G34="D",1,0))))),""))),"")</f>
        <v>0</v>
      </c>
      <c r="I34" s="40" t="str">
        <f t="shared" si="0"/>
        <v>D</v>
      </c>
      <c r="J34" s="58"/>
      <c r="K34" s="58"/>
      <c r="L34" s="58"/>
      <c r="M34" s="58"/>
      <c r="N34" s="58"/>
      <c r="O34" s="58"/>
      <c r="P34" s="63"/>
      <c r="Q34" s="58"/>
      <c r="R34" s="58"/>
      <c r="S34" s="58"/>
    </row>
    <row r="35" spans="1:19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'01_인적정보'!E35</f>
        <v>BIM컨설팅</v>
      </c>
      <c r="E35" s="11" t="str">
        <f>'01_인적정보'!H35</f>
        <v>G1</v>
      </c>
      <c r="F35" s="13">
        <f>'07a_상반기입력'!I35</f>
        <v>0</v>
      </c>
      <c r="G35" s="13">
        <f>'07a_상반기입력'!J35</f>
        <v>0</v>
      </c>
      <c r="H35" s="39">
        <f>IFERROR(IF(AND(F35&lt;&gt;"",G35&lt;&gt;""),'02_의사결정·종합결과'!$B$67*IF(F35="S",5,IF(F35="A",4,IF(F35="B",3,IF(F35="C",2,IF(F35="D",1,0)))))+'02_의사결정·종합결과'!$B$68*IF(G35="S",5,IF(G35="A",4,IF(G35="B",3,IF(G35="C",2,IF(G35="D",1,0))))),IF(F35&lt;&gt;"",IF(F35="S",5,IF(F35="A",4,IF(F35="B",3,IF(F35="C",2,IF(F35="D",1,0))))),IF(G35&lt;&gt;"",IF(G35="S",5,IF(G35="A",4,IF(G35="B",3,IF(G35="C",2,IF(G35="D",1,0))))),""))),"")</f>
        <v>0</v>
      </c>
      <c r="I35" s="40" t="str">
        <f t="shared" si="0"/>
        <v>D</v>
      </c>
      <c r="J35" s="58"/>
      <c r="K35" s="58"/>
      <c r="L35" s="58"/>
      <c r="M35" s="58"/>
      <c r="N35" s="58"/>
      <c r="O35" s="58"/>
      <c r="P35" s="63"/>
      <c r="Q35" s="58"/>
      <c r="R35" s="58"/>
      <c r="S35" s="58"/>
    </row>
    <row r="36" spans="1:19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'01_인적정보'!E36</f>
        <v>BIM컨설팅</v>
      </c>
      <c r="E36" s="11" t="str">
        <f>'01_인적정보'!H36</f>
        <v>G1</v>
      </c>
      <c r="F36" s="13">
        <f>'07a_상반기입력'!I36</f>
        <v>0</v>
      </c>
      <c r="G36" s="13">
        <f>'07a_상반기입력'!J36</f>
        <v>0</v>
      </c>
      <c r="H36" s="39">
        <f>IFERROR(IF(AND(F36&lt;&gt;"",G36&lt;&gt;""),'02_의사결정·종합결과'!$B$67*IF(F36="S",5,IF(F36="A",4,IF(F36="B",3,IF(F36="C",2,IF(F36="D",1,0)))))+'02_의사결정·종합결과'!$B$68*IF(G36="S",5,IF(G36="A",4,IF(G36="B",3,IF(G36="C",2,IF(G36="D",1,0))))),IF(F36&lt;&gt;"",IF(F36="S",5,IF(F36="A",4,IF(F36="B",3,IF(F36="C",2,IF(F36="D",1,0))))),IF(G36&lt;&gt;"",IF(G36="S",5,IF(G36="A",4,IF(G36="B",3,IF(G36="C",2,IF(G36="D",1,0))))),""))),"")</f>
        <v>0</v>
      </c>
      <c r="I36" s="40" t="str">
        <f t="shared" si="0"/>
        <v>D</v>
      </c>
      <c r="J36" s="58"/>
      <c r="K36" s="58"/>
      <c r="L36" s="58"/>
      <c r="M36" s="58"/>
      <c r="N36" s="58"/>
      <c r="O36" s="58"/>
      <c r="P36" s="63"/>
      <c r="Q36" s="58"/>
      <c r="R36" s="58"/>
      <c r="S36" s="58"/>
    </row>
    <row r="37" spans="1:19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'01_인적정보'!E37</f>
        <v>BIM컨설팅</v>
      </c>
      <c r="E37" s="11" t="str">
        <f>'01_인적정보'!H37</f>
        <v>G1</v>
      </c>
      <c r="F37" s="13">
        <f>'07a_상반기입력'!I37</f>
        <v>0</v>
      </c>
      <c r="G37" s="13">
        <f>'07a_상반기입력'!J37</f>
        <v>0</v>
      </c>
      <c r="H37" s="39">
        <f>IFERROR(IF(AND(F37&lt;&gt;"",G37&lt;&gt;""),'02_의사결정·종합결과'!$B$67*IF(F37="S",5,IF(F37="A",4,IF(F37="B",3,IF(F37="C",2,IF(F37="D",1,0)))))+'02_의사결정·종합결과'!$B$68*IF(G37="S",5,IF(G37="A",4,IF(G37="B",3,IF(G37="C",2,IF(G37="D",1,0))))),IF(F37&lt;&gt;"",IF(F37="S",5,IF(F37="A",4,IF(F37="B",3,IF(F37="C",2,IF(F37="D",1,0))))),IF(G37&lt;&gt;"",IF(G37="S",5,IF(G37="A",4,IF(G37="B",3,IF(G37="C",2,IF(G37="D",1,0))))),""))),"")</f>
        <v>0</v>
      </c>
      <c r="I37" s="40" t="str">
        <f t="shared" si="0"/>
        <v>D</v>
      </c>
      <c r="J37" s="58"/>
      <c r="K37" s="58"/>
      <c r="L37" s="58"/>
      <c r="M37" s="58"/>
      <c r="N37" s="58"/>
      <c r="O37" s="58"/>
      <c r="P37" s="63"/>
      <c r="Q37" s="58"/>
      <c r="R37" s="58"/>
      <c r="S37" s="58"/>
    </row>
    <row r="38" spans="1:19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'01_인적정보'!E38</f>
        <v>BIM컨설팅</v>
      </c>
      <c r="E38" s="11" t="str">
        <f>'01_인적정보'!H38</f>
        <v>G1</v>
      </c>
      <c r="F38" s="13">
        <f>'07a_상반기입력'!I38</f>
        <v>0</v>
      </c>
      <c r="G38" s="13">
        <f>'07a_상반기입력'!J38</f>
        <v>0</v>
      </c>
      <c r="H38" s="39">
        <f>IFERROR(IF(AND(F38&lt;&gt;"",G38&lt;&gt;""),'02_의사결정·종합결과'!$B$67*IF(F38="S",5,IF(F38="A",4,IF(F38="B",3,IF(F38="C",2,IF(F38="D",1,0)))))+'02_의사결정·종합결과'!$B$68*IF(G38="S",5,IF(G38="A",4,IF(G38="B",3,IF(G38="C",2,IF(G38="D",1,0))))),IF(F38&lt;&gt;"",IF(F38="S",5,IF(F38="A",4,IF(F38="B",3,IF(F38="C",2,IF(F38="D",1,0))))),IF(G38&lt;&gt;"",IF(G38="S",5,IF(G38="A",4,IF(G38="B",3,IF(G38="C",2,IF(G38="D",1,0))))),""))),"")</f>
        <v>0</v>
      </c>
      <c r="I38" s="40" t="str">
        <f t="shared" si="0"/>
        <v>D</v>
      </c>
      <c r="J38" s="58"/>
      <c r="K38" s="58"/>
      <c r="L38" s="58"/>
      <c r="M38" s="58"/>
      <c r="N38" s="58"/>
      <c r="O38" s="58"/>
      <c r="P38" s="63"/>
      <c r="Q38" s="58"/>
      <c r="R38" s="58"/>
      <c r="S38" s="58"/>
    </row>
    <row r="39" spans="1:19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'01_인적정보'!E39</f>
        <v>BIM컨설팅</v>
      </c>
      <c r="E39" s="11" t="str">
        <f>'01_인적정보'!H39</f>
        <v>G1</v>
      </c>
      <c r="F39" s="13">
        <f>'07a_상반기입력'!I39</f>
        <v>0</v>
      </c>
      <c r="G39" s="13">
        <f>'07a_상반기입력'!J39</f>
        <v>0</v>
      </c>
      <c r="H39" s="39">
        <f>IFERROR(IF(AND(F39&lt;&gt;"",G39&lt;&gt;""),'02_의사결정·종합결과'!$B$67*IF(F39="S",5,IF(F39="A",4,IF(F39="B",3,IF(F39="C",2,IF(F39="D",1,0)))))+'02_의사결정·종합결과'!$B$68*IF(G39="S",5,IF(G39="A",4,IF(G39="B",3,IF(G39="C",2,IF(G39="D",1,0))))),IF(F39&lt;&gt;"",IF(F39="S",5,IF(F39="A",4,IF(F39="B",3,IF(F39="C",2,IF(F39="D",1,0))))),IF(G39&lt;&gt;"",IF(G39="S",5,IF(G39="A",4,IF(G39="B",3,IF(G39="C",2,IF(G39="D",1,0))))),""))),"")</f>
        <v>0</v>
      </c>
      <c r="I39" s="40" t="str">
        <f t="shared" si="0"/>
        <v>D</v>
      </c>
      <c r="J39" s="58"/>
      <c r="K39" s="58"/>
      <c r="L39" s="58"/>
      <c r="M39" s="58"/>
      <c r="N39" s="58"/>
      <c r="O39" s="58"/>
      <c r="P39" s="63"/>
      <c r="Q39" s="58"/>
      <c r="R39" s="58"/>
      <c r="S39" s="58"/>
    </row>
    <row r="40" spans="1:19" x14ac:dyDescent="0.6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spans="1:19" x14ac:dyDescent="0.6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 spans="1:19" x14ac:dyDescent="0.6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</row>
    <row r="43" spans="1:19" x14ac:dyDescent="0.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spans="1:19" ht="24" customHeight="1" x14ac:dyDescent="0.6">
      <c r="A44" s="87" t="s">
        <v>417</v>
      </c>
      <c r="B44" s="86"/>
      <c r="C44" s="86"/>
      <c r="D44" s="86"/>
      <c r="E44" s="86"/>
      <c r="F44" s="86"/>
      <c r="G44" s="86"/>
      <c r="H44" s="86"/>
      <c r="I44" s="86"/>
      <c r="J44" s="58"/>
      <c r="K44" s="58"/>
      <c r="L44" s="58"/>
      <c r="M44" s="58"/>
      <c r="N44" s="58"/>
      <c r="O44" s="58"/>
      <c r="P44" s="58"/>
      <c r="Q44" s="58"/>
      <c r="R44" s="58"/>
      <c r="S44" s="58"/>
    </row>
    <row r="45" spans="1:19" ht="28.05" customHeight="1" x14ac:dyDescent="0.6">
      <c r="A45" s="15" t="s">
        <v>144</v>
      </c>
      <c r="B45" s="15" t="s">
        <v>145</v>
      </c>
      <c r="C45" s="15" t="s">
        <v>146</v>
      </c>
      <c r="D45" s="15" t="s">
        <v>148</v>
      </c>
      <c r="E45" s="15" t="s">
        <v>151</v>
      </c>
      <c r="F45" s="15" t="s">
        <v>415</v>
      </c>
      <c r="G45" s="15" t="s">
        <v>416</v>
      </c>
      <c r="H45" s="15" t="s">
        <v>409</v>
      </c>
      <c r="I45" s="15" t="s">
        <v>410</v>
      </c>
      <c r="J45" s="58"/>
      <c r="K45" s="58"/>
      <c r="L45" s="58"/>
      <c r="M45" s="58"/>
      <c r="N45" s="58"/>
      <c r="O45" s="58"/>
      <c r="P45" s="58"/>
      <c r="Q45" s="58"/>
      <c r="R45" s="58"/>
      <c r="S45" s="58"/>
    </row>
    <row r="46" spans="1:19" ht="22.05" customHeight="1" x14ac:dyDescent="0.6">
      <c r="A46" s="25">
        <f>'01_인적정보'!A6</f>
        <v>1</v>
      </c>
      <c r="B46" s="25" t="str">
        <f>'01_인적정보'!B6</f>
        <v>BSS-001</v>
      </c>
      <c r="C46" s="5" t="str">
        <f>'01_인적정보'!C6</f>
        <v>이화형</v>
      </c>
      <c r="D46" s="5" t="str">
        <f>'01_인적정보'!E6</f>
        <v>프로젝트영업</v>
      </c>
      <c r="E46" s="11" t="str">
        <f>'01_인적정보'!H6</f>
        <v>G6</v>
      </c>
      <c r="F46" s="13">
        <f>'07b_하반기입력'!I6</f>
        <v>0</v>
      </c>
      <c r="G46" s="13">
        <f>'07b_하반기입력'!J6</f>
        <v>0</v>
      </c>
      <c r="H46" s="39">
        <f>IFERROR(IF(AND(F46&lt;&gt;"",G46&lt;&gt;""),'02_의사결정·종합결과'!$B$67*IF(F46="S",5,IF(F46="A",4,IF(F46="B",3,IF(F46="C",2,IF(F46="D",1,0)))))+'02_의사결정·종합결과'!$B$68*IF(G46="S",5,IF(G46="A",4,IF(G46="B",3,IF(G46="C",2,IF(G46="D",1,0))))),IF(F46&lt;&gt;"",IF(F46="S",5,IF(F46="A",4,IF(F46="B",3,IF(F46="C",2,IF(F46="D",1,0))))),IF(G46&lt;&gt;"",IF(G46="S",5,IF(G46="A",4,IF(G46="B",3,IF(G46="C",2,IF(G46="D",1,0))))),""))),"")</f>
        <v>0</v>
      </c>
      <c r="I46" s="40" t="str">
        <f t="shared" ref="I46:I79" si="1">IF(H46="","",IF(H46&gt;=4.5,"S",IF(H46&gt;=3.5,"A",IF(H46&gt;=2.5,"B",IF(H46&gt;=1.5,"C","D")))))</f>
        <v>D</v>
      </c>
      <c r="J46" s="58"/>
      <c r="K46" s="58"/>
      <c r="L46" s="58"/>
      <c r="M46" s="58"/>
      <c r="N46" s="58"/>
      <c r="O46" s="58"/>
      <c r="P46" s="63"/>
      <c r="Q46" s="58"/>
      <c r="R46" s="58"/>
      <c r="S46" s="58"/>
    </row>
    <row r="47" spans="1:19" ht="22.05" customHeight="1" x14ac:dyDescent="0.6">
      <c r="A47" s="25">
        <f>'01_인적정보'!A7</f>
        <v>2</v>
      </c>
      <c r="B47" s="25" t="str">
        <f>'01_인적정보'!B7</f>
        <v>BSS-002</v>
      </c>
      <c r="C47" s="5" t="str">
        <f>'01_인적정보'!C7</f>
        <v>강전용</v>
      </c>
      <c r="D47" s="5" t="str">
        <f>'01_인적정보'!E7</f>
        <v>연구개발(R&amp;D)</v>
      </c>
      <c r="E47" s="11" t="str">
        <f>'01_인적정보'!H7</f>
        <v>G6</v>
      </c>
      <c r="F47" s="13">
        <f>'07b_하반기입력'!I7</f>
        <v>0</v>
      </c>
      <c r="G47" s="13">
        <f>'07b_하반기입력'!J7</f>
        <v>0</v>
      </c>
      <c r="H47" s="39">
        <f>IFERROR(IF(AND(F47&lt;&gt;"",G47&lt;&gt;""),'02_의사결정·종합결과'!$B$67*IF(F47="S",5,IF(F47="A",4,IF(F47="B",3,IF(F47="C",2,IF(F47="D",1,0)))))+'02_의사결정·종합결과'!$B$68*IF(G47="S",5,IF(G47="A",4,IF(G47="B",3,IF(G47="C",2,IF(G47="D",1,0))))),IF(F47&lt;&gt;"",IF(F47="S",5,IF(F47="A",4,IF(F47="B",3,IF(F47="C",2,IF(F47="D",1,0))))),IF(G47&lt;&gt;"",IF(G47="S",5,IF(G47="A",4,IF(G47="B",3,IF(G47="C",2,IF(G47="D",1,0))))),""))),"")</f>
        <v>0</v>
      </c>
      <c r="I47" s="40" t="str">
        <f t="shared" si="1"/>
        <v>D</v>
      </c>
      <c r="J47" s="58"/>
      <c r="K47" s="58"/>
      <c r="L47" s="58"/>
      <c r="M47" s="58"/>
      <c r="N47" s="58"/>
      <c r="O47" s="58"/>
      <c r="P47" s="63"/>
      <c r="Q47" s="58"/>
      <c r="R47" s="58"/>
      <c r="S47" s="58"/>
    </row>
    <row r="48" spans="1:19" ht="22.05" customHeight="1" x14ac:dyDescent="0.6">
      <c r="A48" s="25">
        <f>'01_인적정보'!A8</f>
        <v>3</v>
      </c>
      <c r="B48" s="25" t="str">
        <f>'01_인적정보'!B8</f>
        <v>BSS-003</v>
      </c>
      <c r="C48" s="5" t="str">
        <f>'01_인적정보'!C8</f>
        <v>김현민</v>
      </c>
      <c r="D48" s="5" t="str">
        <f>'01_인적정보'!E8</f>
        <v>BIM컨설팅</v>
      </c>
      <c r="E48" s="11" t="str">
        <f>'01_인적정보'!H8</f>
        <v>G6</v>
      </c>
      <c r="F48" s="13">
        <f>'07b_하반기입력'!I8</f>
        <v>0</v>
      </c>
      <c r="G48" s="13">
        <f>'07b_하반기입력'!J8</f>
        <v>0</v>
      </c>
      <c r="H48" s="39">
        <f>IFERROR(IF(AND(F48&lt;&gt;"",G48&lt;&gt;""),'02_의사결정·종합결과'!$B$67*IF(F48="S",5,IF(F48="A",4,IF(F48="B",3,IF(F48="C",2,IF(F48="D",1,0)))))+'02_의사결정·종합결과'!$B$68*IF(G48="S",5,IF(G48="A",4,IF(G48="B",3,IF(G48="C",2,IF(G48="D",1,0))))),IF(F48&lt;&gt;"",IF(F48="S",5,IF(F48="A",4,IF(F48="B",3,IF(F48="C",2,IF(F48="D",1,0))))),IF(G48&lt;&gt;"",IF(G48="S",5,IF(G48="A",4,IF(G48="B",3,IF(G48="C",2,IF(G48="D",1,0))))),""))),"")</f>
        <v>0</v>
      </c>
      <c r="I48" s="40" t="str">
        <f t="shared" si="1"/>
        <v>D</v>
      </c>
      <c r="J48" s="58"/>
      <c r="K48" s="58"/>
      <c r="L48" s="58"/>
      <c r="M48" s="58"/>
      <c r="N48" s="58"/>
      <c r="O48" s="58"/>
      <c r="P48" s="63"/>
      <c r="Q48" s="58"/>
      <c r="R48" s="58"/>
      <c r="S48" s="58"/>
    </row>
    <row r="49" spans="1:19" ht="22.05" customHeight="1" x14ac:dyDescent="0.6">
      <c r="A49" s="25">
        <f>'01_인적정보'!A9</f>
        <v>4</v>
      </c>
      <c r="B49" s="25" t="str">
        <f>'01_인적정보'!B9</f>
        <v>BSS-004</v>
      </c>
      <c r="C49" s="5" t="str">
        <f>'01_인적정보'!C9</f>
        <v>이일곤</v>
      </c>
      <c r="D49" s="5" t="str">
        <f>'01_인적정보'!E9</f>
        <v>경영전략기획</v>
      </c>
      <c r="E49" s="11" t="str">
        <f>'01_인적정보'!H9</f>
        <v>G6</v>
      </c>
      <c r="F49" s="13">
        <f>'07b_하반기입력'!I9</f>
        <v>0</v>
      </c>
      <c r="G49" s="13">
        <f>'07b_하반기입력'!J9</f>
        <v>0</v>
      </c>
      <c r="H49" s="39">
        <f>IFERROR(IF(AND(F49&lt;&gt;"",G49&lt;&gt;""),'02_의사결정·종합결과'!$B$67*IF(F49="S",5,IF(F49="A",4,IF(F49="B",3,IF(F49="C",2,IF(F49="D",1,0)))))+'02_의사결정·종합결과'!$B$68*IF(G49="S",5,IF(G49="A",4,IF(G49="B",3,IF(G49="C",2,IF(G49="D",1,0))))),IF(F49&lt;&gt;"",IF(F49="S",5,IF(F49="A",4,IF(F49="B",3,IF(F49="C",2,IF(F49="D",1,0))))),IF(G49&lt;&gt;"",IF(G49="S",5,IF(G49="A",4,IF(G49="B",3,IF(G49="C",2,IF(G49="D",1,0))))),""))),"")</f>
        <v>0</v>
      </c>
      <c r="I49" s="40" t="str">
        <f t="shared" si="1"/>
        <v>D</v>
      </c>
      <c r="J49" s="58"/>
      <c r="K49" s="58"/>
      <c r="L49" s="58"/>
      <c r="M49" s="58"/>
      <c r="N49" s="58"/>
      <c r="O49" s="58"/>
      <c r="P49" s="63"/>
      <c r="Q49" s="58"/>
      <c r="R49" s="58"/>
      <c r="S49" s="58"/>
    </row>
    <row r="50" spans="1:19" ht="22.05" customHeight="1" x14ac:dyDescent="0.6">
      <c r="A50" s="25">
        <f>'01_인적정보'!A10</f>
        <v>5</v>
      </c>
      <c r="B50" s="25" t="str">
        <f>'01_인적정보'!B10</f>
        <v>BSS-005</v>
      </c>
      <c r="C50" s="5" t="str">
        <f>'01_인적정보'!C10</f>
        <v>송헌영</v>
      </c>
      <c r="D50" s="5" t="str">
        <f>'01_인적정보'!E10</f>
        <v>경영전략기획</v>
      </c>
      <c r="E50" s="11" t="str">
        <f>'01_인적정보'!H10</f>
        <v>G6</v>
      </c>
      <c r="F50" s="13">
        <f>'07b_하반기입력'!I10</f>
        <v>0</v>
      </c>
      <c r="G50" s="13">
        <f>'07b_하반기입력'!J10</f>
        <v>0</v>
      </c>
      <c r="H50" s="39">
        <f>IFERROR(IF(AND(F50&lt;&gt;"",G50&lt;&gt;""),'02_의사결정·종합결과'!$B$67*IF(F50="S",5,IF(F50="A",4,IF(F50="B",3,IF(F50="C",2,IF(F50="D",1,0)))))+'02_의사결정·종합결과'!$B$68*IF(G50="S",5,IF(G50="A",4,IF(G50="B",3,IF(G50="C",2,IF(G50="D",1,0))))),IF(F50&lt;&gt;"",IF(F50="S",5,IF(F50="A",4,IF(F50="B",3,IF(F50="C",2,IF(F50="D",1,0))))),IF(G50&lt;&gt;"",IF(G50="S",5,IF(G50="A",4,IF(G50="B",3,IF(G50="C",2,IF(G50="D",1,0))))),""))),"")</f>
        <v>0</v>
      </c>
      <c r="I50" s="40" t="str">
        <f t="shared" si="1"/>
        <v>D</v>
      </c>
      <c r="J50" s="58"/>
      <c r="K50" s="58"/>
      <c r="L50" s="58"/>
      <c r="M50" s="58"/>
      <c r="N50" s="58"/>
      <c r="O50" s="58"/>
      <c r="P50" s="63"/>
      <c r="Q50" s="58"/>
      <c r="R50" s="58"/>
      <c r="S50" s="58"/>
    </row>
    <row r="51" spans="1:19" ht="22.05" customHeight="1" x14ac:dyDescent="0.6">
      <c r="A51" s="25">
        <f>'01_인적정보'!A11</f>
        <v>6</v>
      </c>
      <c r="B51" s="25" t="str">
        <f>'01_인적정보'!B11</f>
        <v>BSS-006</v>
      </c>
      <c r="C51" s="5" t="str">
        <f>'01_인적정보'!C11</f>
        <v>이재용</v>
      </c>
      <c r="D51" s="5" t="str">
        <f>'01_인적정보'!E11</f>
        <v>경영전략기획</v>
      </c>
      <c r="E51" s="11" t="str">
        <f>'01_인적정보'!H11</f>
        <v>G6</v>
      </c>
      <c r="F51" s="13">
        <f>'07b_하반기입력'!I11</f>
        <v>0</v>
      </c>
      <c r="G51" s="13">
        <f>'07b_하반기입력'!J11</f>
        <v>0</v>
      </c>
      <c r="H51" s="39">
        <f>IFERROR(IF(AND(F51&lt;&gt;"",G51&lt;&gt;""),'02_의사결정·종합결과'!$B$67*IF(F51="S",5,IF(F51="A",4,IF(F51="B",3,IF(F51="C",2,IF(F51="D",1,0)))))+'02_의사결정·종합결과'!$B$68*IF(G51="S",5,IF(G51="A",4,IF(G51="B",3,IF(G51="C",2,IF(G51="D",1,0))))),IF(F51&lt;&gt;"",IF(F51="S",5,IF(F51="A",4,IF(F51="B",3,IF(F51="C",2,IF(F51="D",1,0))))),IF(G51&lt;&gt;"",IF(G51="S",5,IF(G51="A",4,IF(G51="B",3,IF(G51="C",2,IF(G51="D",1,0))))),""))),"")</f>
        <v>0</v>
      </c>
      <c r="I51" s="40" t="str">
        <f t="shared" si="1"/>
        <v>D</v>
      </c>
      <c r="J51" s="58"/>
      <c r="K51" s="58"/>
      <c r="L51" s="58"/>
      <c r="M51" s="58"/>
      <c r="N51" s="58"/>
      <c r="O51" s="58"/>
      <c r="P51" s="63"/>
      <c r="Q51" s="58"/>
      <c r="R51" s="58"/>
      <c r="S51" s="58"/>
    </row>
    <row r="52" spans="1:19" ht="22.05" customHeight="1" x14ac:dyDescent="0.6">
      <c r="A52" s="25">
        <f>'01_인적정보'!A12</f>
        <v>7</v>
      </c>
      <c r="B52" s="25" t="str">
        <f>'01_인적정보'!B12</f>
        <v>BSS-007</v>
      </c>
      <c r="C52" s="5" t="str">
        <f>'01_인적정보'!C12</f>
        <v>이진행</v>
      </c>
      <c r="D52" s="5" t="str">
        <f>'01_인적정보'!E12</f>
        <v>교육</v>
      </c>
      <c r="E52" s="11" t="str">
        <f>'01_인적정보'!H12</f>
        <v>G5-M</v>
      </c>
      <c r="F52" s="13">
        <f>'07b_하반기입력'!I12</f>
        <v>0</v>
      </c>
      <c r="G52" s="13">
        <f>'07b_하반기입력'!J12</f>
        <v>0</v>
      </c>
      <c r="H52" s="39">
        <f>IFERROR(IF(AND(F52&lt;&gt;"",G52&lt;&gt;""),'02_의사결정·종합결과'!$B$67*IF(F52="S",5,IF(F52="A",4,IF(F52="B",3,IF(F52="C",2,IF(F52="D",1,0)))))+'02_의사결정·종합결과'!$B$68*IF(G52="S",5,IF(G52="A",4,IF(G52="B",3,IF(G52="C",2,IF(G52="D",1,0))))),IF(F52&lt;&gt;"",IF(F52="S",5,IF(F52="A",4,IF(F52="B",3,IF(F52="C",2,IF(F52="D",1,0))))),IF(G52&lt;&gt;"",IF(G52="S",5,IF(G52="A",4,IF(G52="B",3,IF(G52="C",2,IF(G52="D",1,0))))),""))),"")</f>
        <v>0</v>
      </c>
      <c r="I52" s="40" t="str">
        <f t="shared" si="1"/>
        <v>D</v>
      </c>
      <c r="J52" s="58"/>
      <c r="K52" s="58"/>
      <c r="L52" s="58"/>
      <c r="M52" s="58"/>
      <c r="N52" s="58"/>
      <c r="O52" s="58"/>
      <c r="P52" s="63"/>
      <c r="Q52" s="58"/>
      <c r="R52" s="58"/>
      <c r="S52" s="58"/>
    </row>
    <row r="53" spans="1:19" ht="22.05" customHeight="1" x14ac:dyDescent="0.6">
      <c r="A53" s="25">
        <f>'01_인적정보'!A13</f>
        <v>8</v>
      </c>
      <c r="B53" s="25" t="str">
        <f>'01_인적정보'!B13</f>
        <v>BSS-008</v>
      </c>
      <c r="C53" s="5" t="str">
        <f>'01_인적정보'!C13</f>
        <v>김민수</v>
      </c>
      <c r="D53" s="5" t="str">
        <f>'01_인적정보'!E13</f>
        <v>기술지원</v>
      </c>
      <c r="E53" s="11" t="str">
        <f>'01_인적정보'!H13</f>
        <v>G5-M</v>
      </c>
      <c r="F53" s="13">
        <f>'07b_하반기입력'!I13</f>
        <v>0</v>
      </c>
      <c r="G53" s="13">
        <f>'07b_하반기입력'!J13</f>
        <v>0</v>
      </c>
      <c r="H53" s="39">
        <f>IFERROR(IF(AND(F53&lt;&gt;"",G53&lt;&gt;""),'02_의사결정·종합결과'!$B$67*IF(F53="S",5,IF(F53="A",4,IF(F53="B",3,IF(F53="C",2,IF(F53="D",1,0)))))+'02_의사결정·종합결과'!$B$68*IF(G53="S",5,IF(G53="A",4,IF(G53="B",3,IF(G53="C",2,IF(G53="D",1,0))))),IF(F53&lt;&gt;"",IF(F53="S",5,IF(F53="A",4,IF(F53="B",3,IF(F53="C",2,IF(F53="D",1,0))))),IF(G53&lt;&gt;"",IF(G53="S",5,IF(G53="A",4,IF(G53="B",3,IF(G53="C",2,IF(G53="D",1,0))))),""))),"")</f>
        <v>0</v>
      </c>
      <c r="I53" s="40" t="str">
        <f t="shared" si="1"/>
        <v>D</v>
      </c>
      <c r="J53" s="58"/>
      <c r="K53" s="58"/>
      <c r="L53" s="58"/>
      <c r="M53" s="58"/>
      <c r="N53" s="58"/>
      <c r="O53" s="58"/>
      <c r="P53" s="63"/>
      <c r="Q53" s="58"/>
      <c r="R53" s="58"/>
      <c r="S53" s="58"/>
    </row>
    <row r="54" spans="1:19" ht="22.05" customHeight="1" x14ac:dyDescent="0.6">
      <c r="A54" s="25">
        <f>'01_인적정보'!A14</f>
        <v>9</v>
      </c>
      <c r="B54" s="25" t="str">
        <f>'01_인적정보'!B14</f>
        <v>BSS-009</v>
      </c>
      <c r="C54" s="5" t="str">
        <f>'01_인적정보'!C14</f>
        <v>박남식</v>
      </c>
      <c r="D54" s="5" t="str">
        <f>'01_인적정보'!E14</f>
        <v>BIM컨설팅</v>
      </c>
      <c r="E54" s="11" t="str">
        <f>'01_인적정보'!H14</f>
        <v>G5-M</v>
      </c>
      <c r="F54" s="13">
        <f>'07b_하반기입력'!I14</f>
        <v>0</v>
      </c>
      <c r="G54" s="13">
        <f>'07b_하반기입력'!J14</f>
        <v>0</v>
      </c>
      <c r="H54" s="39">
        <f>IFERROR(IF(AND(F54&lt;&gt;"",G54&lt;&gt;""),'02_의사결정·종합결과'!$B$67*IF(F54="S",5,IF(F54="A",4,IF(F54="B",3,IF(F54="C",2,IF(F54="D",1,0)))))+'02_의사결정·종합결과'!$B$68*IF(G54="S",5,IF(G54="A",4,IF(G54="B",3,IF(G54="C",2,IF(G54="D",1,0))))),IF(F54&lt;&gt;"",IF(F54="S",5,IF(F54="A",4,IF(F54="B",3,IF(F54="C",2,IF(F54="D",1,0))))),IF(G54&lt;&gt;"",IF(G54="S",5,IF(G54="A",4,IF(G54="B",3,IF(G54="C",2,IF(G54="D",1,0))))),""))),"")</f>
        <v>0</v>
      </c>
      <c r="I54" s="40" t="str">
        <f t="shared" si="1"/>
        <v>D</v>
      </c>
      <c r="J54" s="58"/>
      <c r="K54" s="58"/>
      <c r="L54" s="58"/>
      <c r="M54" s="58"/>
      <c r="N54" s="58"/>
      <c r="O54" s="58"/>
      <c r="P54" s="63"/>
      <c r="Q54" s="58"/>
      <c r="R54" s="58"/>
      <c r="S54" s="58"/>
    </row>
    <row r="55" spans="1:19" ht="22.05" customHeight="1" x14ac:dyDescent="0.6">
      <c r="A55" s="25">
        <f>'01_인적정보'!A15</f>
        <v>10</v>
      </c>
      <c r="B55" s="25" t="str">
        <f>'01_인적정보'!B15</f>
        <v>BSS-010</v>
      </c>
      <c r="C55" s="5" t="str">
        <f>'01_인적정보'!C15</f>
        <v>신재민</v>
      </c>
      <c r="D55" s="5" t="str">
        <f>'01_인적정보'!E15</f>
        <v>BIM컨설팅</v>
      </c>
      <c r="E55" s="11" t="str">
        <f>'01_인적정보'!H15</f>
        <v>G5-S</v>
      </c>
      <c r="F55" s="13">
        <f>'07b_하반기입력'!I15</f>
        <v>0</v>
      </c>
      <c r="G55" s="13">
        <f>'07b_하반기입력'!J15</f>
        <v>0</v>
      </c>
      <c r="H55" s="39">
        <f>IFERROR(IF(AND(F55&lt;&gt;"",G55&lt;&gt;""),'02_의사결정·종합결과'!$B$67*IF(F55="S",5,IF(F55="A",4,IF(F55="B",3,IF(F55="C",2,IF(F55="D",1,0)))))+'02_의사결정·종합결과'!$B$68*IF(G55="S",5,IF(G55="A",4,IF(G55="B",3,IF(G55="C",2,IF(G55="D",1,0))))),IF(F55&lt;&gt;"",IF(F55="S",5,IF(F55="A",4,IF(F55="B",3,IF(F55="C",2,IF(F55="D",1,0))))),IF(G55&lt;&gt;"",IF(G55="S",5,IF(G55="A",4,IF(G55="B",3,IF(G55="C",2,IF(G55="D",1,0))))),""))),"")</f>
        <v>0</v>
      </c>
      <c r="I55" s="40" t="str">
        <f t="shared" si="1"/>
        <v>D</v>
      </c>
      <c r="J55" s="58"/>
      <c r="K55" s="58"/>
      <c r="L55" s="58"/>
      <c r="M55" s="58"/>
      <c r="N55" s="58"/>
      <c r="O55" s="58"/>
      <c r="P55" s="63"/>
      <c r="Q55" s="58"/>
      <c r="R55" s="58"/>
      <c r="S55" s="58"/>
    </row>
    <row r="56" spans="1:19" ht="22.05" customHeight="1" x14ac:dyDescent="0.6">
      <c r="A56" s="25">
        <f>'01_인적정보'!A16</f>
        <v>11</v>
      </c>
      <c r="B56" s="25" t="str">
        <f>'01_인적정보'!B16</f>
        <v>BSS-011</v>
      </c>
      <c r="C56" s="5" t="str">
        <f>'01_인적정보'!C16</f>
        <v>마장엽</v>
      </c>
      <c r="D56" s="5" t="str">
        <f>'01_인적정보'!E16</f>
        <v>BIM컨설팅</v>
      </c>
      <c r="E56" s="11" t="str">
        <f>'01_인적정보'!H16</f>
        <v>G5-S</v>
      </c>
      <c r="F56" s="13">
        <f>'07b_하반기입력'!I16</f>
        <v>0</v>
      </c>
      <c r="G56" s="13">
        <f>'07b_하반기입력'!J16</f>
        <v>0</v>
      </c>
      <c r="H56" s="39">
        <f>IFERROR(IF(AND(F56&lt;&gt;"",G56&lt;&gt;""),'02_의사결정·종합결과'!$B$67*IF(F56="S",5,IF(F56="A",4,IF(F56="B",3,IF(F56="C",2,IF(F56="D",1,0)))))+'02_의사결정·종합결과'!$B$68*IF(G56="S",5,IF(G56="A",4,IF(G56="B",3,IF(G56="C",2,IF(G56="D",1,0))))),IF(F56&lt;&gt;"",IF(F56="S",5,IF(F56="A",4,IF(F56="B",3,IF(F56="C",2,IF(F56="D",1,0))))),IF(G56&lt;&gt;"",IF(G56="S",5,IF(G56="A",4,IF(G56="B",3,IF(G56="C",2,IF(G56="D",1,0))))),""))),"")</f>
        <v>0</v>
      </c>
      <c r="I56" s="40" t="str">
        <f t="shared" si="1"/>
        <v>D</v>
      </c>
      <c r="J56" s="58"/>
      <c r="K56" s="58"/>
      <c r="L56" s="58"/>
      <c r="M56" s="58"/>
      <c r="N56" s="58"/>
      <c r="O56" s="58"/>
      <c r="P56" s="63"/>
      <c r="Q56" s="58"/>
      <c r="R56" s="58"/>
      <c r="S56" s="58"/>
    </row>
    <row r="57" spans="1:19" ht="22.05" customHeight="1" x14ac:dyDescent="0.6">
      <c r="A57" s="25">
        <f>'01_인적정보'!A17</f>
        <v>12</v>
      </c>
      <c r="B57" s="25" t="str">
        <f>'01_인적정보'!B17</f>
        <v>BSS-012</v>
      </c>
      <c r="C57" s="5" t="str">
        <f>'01_인적정보'!C17</f>
        <v>하은주</v>
      </c>
      <c r="D57" s="5" t="str">
        <f>'01_인적정보'!E17</f>
        <v>경영전략기획</v>
      </c>
      <c r="E57" s="11" t="str">
        <f>'01_인적정보'!H17</f>
        <v>G5-M</v>
      </c>
      <c r="F57" s="13">
        <f>'07b_하반기입력'!I17</f>
        <v>0</v>
      </c>
      <c r="G57" s="13">
        <f>'07b_하반기입력'!J17</f>
        <v>0</v>
      </c>
      <c r="H57" s="39">
        <f>IFERROR(IF(AND(F57&lt;&gt;"",G57&lt;&gt;""),'02_의사결정·종합결과'!$B$67*IF(F57="S",5,IF(F57="A",4,IF(F57="B",3,IF(F57="C",2,IF(F57="D",1,0)))))+'02_의사결정·종합결과'!$B$68*IF(G57="S",5,IF(G57="A",4,IF(G57="B",3,IF(G57="C",2,IF(G57="D",1,0))))),IF(F57&lt;&gt;"",IF(F57="S",5,IF(F57="A",4,IF(F57="B",3,IF(F57="C",2,IF(F57="D",1,0))))),IF(G57&lt;&gt;"",IF(G57="S",5,IF(G57="A",4,IF(G57="B",3,IF(G57="C",2,IF(G57="D",1,0))))),""))),"")</f>
        <v>0</v>
      </c>
      <c r="I57" s="40" t="str">
        <f t="shared" si="1"/>
        <v>D</v>
      </c>
      <c r="J57" s="58"/>
      <c r="K57" s="58"/>
      <c r="L57" s="58"/>
      <c r="M57" s="58"/>
      <c r="N57" s="58"/>
      <c r="O57" s="58"/>
      <c r="P57" s="63"/>
      <c r="Q57" s="58"/>
      <c r="R57" s="58"/>
      <c r="S57" s="58"/>
    </row>
    <row r="58" spans="1:19" ht="22.05" customHeight="1" x14ac:dyDescent="0.6">
      <c r="A58" s="25">
        <f>'01_인적정보'!A18</f>
        <v>13</v>
      </c>
      <c r="B58" s="25" t="str">
        <f>'01_인적정보'!B18</f>
        <v>BSS-013</v>
      </c>
      <c r="C58" s="5" t="str">
        <f>'01_인적정보'!C18</f>
        <v>홍사훈</v>
      </c>
      <c r="D58" s="5" t="str">
        <f>'01_인적정보'!E18</f>
        <v>BIM컨설팅</v>
      </c>
      <c r="E58" s="11" t="str">
        <f>'01_인적정보'!H18</f>
        <v>G5-S</v>
      </c>
      <c r="F58" s="13">
        <f>'07b_하반기입력'!I18</f>
        <v>0</v>
      </c>
      <c r="G58" s="13">
        <f>'07b_하반기입력'!J18</f>
        <v>0</v>
      </c>
      <c r="H58" s="39">
        <f>IFERROR(IF(AND(F58&lt;&gt;"",G58&lt;&gt;""),'02_의사결정·종합결과'!$B$67*IF(F58="S",5,IF(F58="A",4,IF(F58="B",3,IF(F58="C",2,IF(F58="D",1,0)))))+'02_의사결정·종합결과'!$B$68*IF(G58="S",5,IF(G58="A",4,IF(G58="B",3,IF(G58="C",2,IF(G58="D",1,0))))),IF(F58&lt;&gt;"",IF(F58="S",5,IF(F58="A",4,IF(F58="B",3,IF(F58="C",2,IF(F58="D",1,0))))),IF(G58&lt;&gt;"",IF(G58="S",5,IF(G58="A",4,IF(G58="B",3,IF(G58="C",2,IF(G58="D",1,0))))),""))),"")</f>
        <v>0</v>
      </c>
      <c r="I58" s="40" t="str">
        <f t="shared" si="1"/>
        <v>D</v>
      </c>
      <c r="J58" s="58"/>
      <c r="K58" s="58"/>
      <c r="L58" s="58"/>
      <c r="M58" s="58"/>
      <c r="N58" s="58"/>
      <c r="O58" s="58"/>
      <c r="P58" s="63"/>
      <c r="Q58" s="58"/>
      <c r="R58" s="58"/>
      <c r="S58" s="58"/>
    </row>
    <row r="59" spans="1:19" ht="22.05" customHeight="1" x14ac:dyDescent="0.6">
      <c r="A59" s="25">
        <f>'01_인적정보'!A19</f>
        <v>14</v>
      </c>
      <c r="B59" s="25" t="str">
        <f>'01_인적정보'!B19</f>
        <v>BSS-014</v>
      </c>
      <c r="C59" s="5" t="str">
        <f>'01_인적정보'!C19</f>
        <v>유자영</v>
      </c>
      <c r="D59" s="5" t="str">
        <f>'01_인적정보'!E19</f>
        <v>BIM컨설팅</v>
      </c>
      <c r="E59" s="11" t="str">
        <f>'01_인적정보'!H19</f>
        <v>G5-S</v>
      </c>
      <c r="F59" s="13">
        <f>'07b_하반기입력'!I19</f>
        <v>0</v>
      </c>
      <c r="G59" s="13">
        <f>'07b_하반기입력'!J19</f>
        <v>0</v>
      </c>
      <c r="H59" s="39">
        <f>IFERROR(IF(AND(F59&lt;&gt;"",G59&lt;&gt;""),'02_의사결정·종합결과'!$B$67*IF(F59="S",5,IF(F59="A",4,IF(F59="B",3,IF(F59="C",2,IF(F59="D",1,0)))))+'02_의사결정·종합결과'!$B$68*IF(G59="S",5,IF(G59="A",4,IF(G59="B",3,IF(G59="C",2,IF(G59="D",1,0))))),IF(F59&lt;&gt;"",IF(F59="S",5,IF(F59="A",4,IF(F59="B",3,IF(F59="C",2,IF(F59="D",1,0))))),IF(G59&lt;&gt;"",IF(G59="S",5,IF(G59="A",4,IF(G59="B",3,IF(G59="C",2,IF(G59="D",1,0))))),""))),"")</f>
        <v>0</v>
      </c>
      <c r="I59" s="40" t="str">
        <f t="shared" si="1"/>
        <v>D</v>
      </c>
      <c r="J59" s="58"/>
      <c r="K59" s="58"/>
      <c r="L59" s="58"/>
      <c r="M59" s="58"/>
      <c r="N59" s="58"/>
      <c r="O59" s="58"/>
      <c r="P59" s="63"/>
      <c r="Q59" s="58"/>
      <c r="R59" s="58"/>
      <c r="S59" s="58"/>
    </row>
    <row r="60" spans="1:19" ht="22.05" customHeight="1" x14ac:dyDescent="0.6">
      <c r="A60" s="25">
        <f>'01_인적정보'!A20</f>
        <v>15</v>
      </c>
      <c r="B60" s="25" t="str">
        <f>'01_인적정보'!B20</f>
        <v>BSS-015</v>
      </c>
      <c r="C60" s="5" t="str">
        <f>'01_인적정보'!C20</f>
        <v>민지선</v>
      </c>
      <c r="D60" s="5" t="str">
        <f>'01_인적정보'!E20</f>
        <v>BIM컨설팅</v>
      </c>
      <c r="E60" s="11" t="str">
        <f>'01_인적정보'!H20</f>
        <v>G5-S</v>
      </c>
      <c r="F60" s="13">
        <f>'07b_하반기입력'!I20</f>
        <v>0</v>
      </c>
      <c r="G60" s="13">
        <f>'07b_하반기입력'!J20</f>
        <v>0</v>
      </c>
      <c r="H60" s="39">
        <f>IFERROR(IF(AND(F60&lt;&gt;"",G60&lt;&gt;""),'02_의사결정·종합결과'!$B$67*IF(F60="S",5,IF(F60="A",4,IF(F60="B",3,IF(F60="C",2,IF(F60="D",1,0)))))+'02_의사결정·종합결과'!$B$68*IF(G60="S",5,IF(G60="A",4,IF(G60="B",3,IF(G60="C",2,IF(G60="D",1,0))))),IF(F60&lt;&gt;"",IF(F60="S",5,IF(F60="A",4,IF(F60="B",3,IF(F60="C",2,IF(F60="D",1,0))))),IF(G60&lt;&gt;"",IF(G60="S",5,IF(G60="A",4,IF(G60="B",3,IF(G60="C",2,IF(G60="D",1,0))))),""))),"")</f>
        <v>0</v>
      </c>
      <c r="I60" s="40" t="str">
        <f t="shared" si="1"/>
        <v>D</v>
      </c>
      <c r="J60" s="58"/>
      <c r="K60" s="58"/>
      <c r="L60" s="58"/>
      <c r="M60" s="58"/>
      <c r="N60" s="58"/>
      <c r="O60" s="58"/>
      <c r="P60" s="63"/>
      <c r="Q60" s="58"/>
      <c r="R60" s="58"/>
      <c r="S60" s="58"/>
    </row>
    <row r="61" spans="1:19" ht="22.05" customHeight="1" x14ac:dyDescent="0.6">
      <c r="A61" s="25">
        <f>'01_인적정보'!A21</f>
        <v>16</v>
      </c>
      <c r="B61" s="25" t="str">
        <f>'01_인적정보'!B21</f>
        <v>BSS-016</v>
      </c>
      <c r="C61" s="5" t="str">
        <f>'01_인적정보'!C21</f>
        <v>장훈</v>
      </c>
      <c r="D61" s="5" t="str">
        <f>'01_인적정보'!E21</f>
        <v>BIM컨설팅</v>
      </c>
      <c r="E61" s="11" t="str">
        <f>'01_인적정보'!H21</f>
        <v>G5-S</v>
      </c>
      <c r="F61" s="13">
        <f>'07b_하반기입력'!I21</f>
        <v>0</v>
      </c>
      <c r="G61" s="13">
        <f>'07b_하반기입력'!J21</f>
        <v>0</v>
      </c>
      <c r="H61" s="39">
        <f>IFERROR(IF(AND(F61&lt;&gt;"",G61&lt;&gt;""),'02_의사결정·종합결과'!$B$67*IF(F61="S",5,IF(F61="A",4,IF(F61="B",3,IF(F61="C",2,IF(F61="D",1,0)))))+'02_의사결정·종합결과'!$B$68*IF(G61="S",5,IF(G61="A",4,IF(G61="B",3,IF(G61="C",2,IF(G61="D",1,0))))),IF(F61&lt;&gt;"",IF(F61="S",5,IF(F61="A",4,IF(F61="B",3,IF(F61="C",2,IF(F61="D",1,0))))),IF(G61&lt;&gt;"",IF(G61="S",5,IF(G61="A",4,IF(G61="B",3,IF(G61="C",2,IF(G61="D",1,0))))),""))),"")</f>
        <v>0</v>
      </c>
      <c r="I61" s="40" t="str">
        <f t="shared" si="1"/>
        <v>D</v>
      </c>
      <c r="J61" s="58"/>
      <c r="K61" s="58"/>
      <c r="L61" s="58"/>
      <c r="M61" s="58"/>
      <c r="N61" s="58"/>
      <c r="O61" s="58"/>
      <c r="P61" s="63"/>
      <c r="Q61" s="58"/>
      <c r="R61" s="58"/>
      <c r="S61" s="58"/>
    </row>
    <row r="62" spans="1:19" ht="22.05" customHeight="1" x14ac:dyDescent="0.6">
      <c r="A62" s="25">
        <f>'01_인적정보'!A22</f>
        <v>17</v>
      </c>
      <c r="B62" s="25" t="str">
        <f>'01_인적정보'!B22</f>
        <v>BSS-017</v>
      </c>
      <c r="C62" s="5" t="str">
        <f>'01_인적정보'!C22</f>
        <v>김우람</v>
      </c>
      <c r="D62" s="5" t="str">
        <f>'01_인적정보'!E22</f>
        <v>교육</v>
      </c>
      <c r="E62" s="11" t="str">
        <f>'01_인적정보'!H22</f>
        <v>G4</v>
      </c>
      <c r="F62" s="13">
        <f>'07b_하반기입력'!I22</f>
        <v>0</v>
      </c>
      <c r="G62" s="13">
        <f>'07b_하반기입력'!J22</f>
        <v>0</v>
      </c>
      <c r="H62" s="39">
        <f>IFERROR(IF(AND(F62&lt;&gt;"",G62&lt;&gt;""),'02_의사결정·종합결과'!$B$67*IF(F62="S",5,IF(F62="A",4,IF(F62="B",3,IF(F62="C",2,IF(F62="D",1,0)))))+'02_의사결정·종합결과'!$B$68*IF(G62="S",5,IF(G62="A",4,IF(G62="B",3,IF(G62="C",2,IF(G62="D",1,0))))),IF(F62&lt;&gt;"",IF(F62="S",5,IF(F62="A",4,IF(F62="B",3,IF(F62="C",2,IF(F62="D",1,0))))),IF(G62&lt;&gt;"",IF(G62="S",5,IF(G62="A",4,IF(G62="B",3,IF(G62="C",2,IF(G62="D",1,0))))),""))),"")</f>
        <v>0</v>
      </c>
      <c r="I62" s="40" t="str">
        <f t="shared" si="1"/>
        <v>D</v>
      </c>
      <c r="J62" s="58"/>
      <c r="K62" s="58"/>
      <c r="L62" s="58"/>
      <c r="M62" s="58"/>
      <c r="N62" s="58"/>
      <c r="O62" s="58"/>
      <c r="P62" s="63"/>
      <c r="Q62" s="58"/>
      <c r="R62" s="58"/>
      <c r="S62" s="58"/>
    </row>
    <row r="63" spans="1:19" ht="22.05" customHeight="1" x14ac:dyDescent="0.6">
      <c r="A63" s="25">
        <f>'01_인적정보'!A23</f>
        <v>18</v>
      </c>
      <c r="B63" s="25" t="str">
        <f>'01_인적정보'!B23</f>
        <v>BSS-018</v>
      </c>
      <c r="C63" s="5" t="str">
        <f>'01_인적정보'!C23</f>
        <v>조성준</v>
      </c>
      <c r="D63" s="5" t="str">
        <f>'01_인적정보'!E23</f>
        <v>BIM컨설팅</v>
      </c>
      <c r="E63" s="11" t="str">
        <f>'01_인적정보'!H23</f>
        <v>G4</v>
      </c>
      <c r="F63" s="13">
        <f>'07b_하반기입력'!I23</f>
        <v>0</v>
      </c>
      <c r="G63" s="13">
        <f>'07b_하반기입력'!J23</f>
        <v>0</v>
      </c>
      <c r="H63" s="39">
        <f>IFERROR(IF(AND(F63&lt;&gt;"",G63&lt;&gt;""),'02_의사결정·종합결과'!$B$67*IF(F63="S",5,IF(F63="A",4,IF(F63="B",3,IF(F63="C",2,IF(F63="D",1,0)))))+'02_의사결정·종합결과'!$B$68*IF(G63="S",5,IF(G63="A",4,IF(G63="B",3,IF(G63="C",2,IF(G63="D",1,0))))),IF(F63&lt;&gt;"",IF(F63="S",5,IF(F63="A",4,IF(F63="B",3,IF(F63="C",2,IF(F63="D",1,0))))),IF(G63&lt;&gt;"",IF(G63="S",5,IF(G63="A",4,IF(G63="B",3,IF(G63="C",2,IF(G63="D",1,0))))),""))),"")</f>
        <v>0</v>
      </c>
      <c r="I63" s="40" t="str">
        <f t="shared" si="1"/>
        <v>D</v>
      </c>
      <c r="J63" s="58"/>
      <c r="K63" s="58"/>
      <c r="L63" s="58"/>
      <c r="M63" s="58"/>
      <c r="N63" s="58"/>
      <c r="O63" s="58"/>
      <c r="P63" s="63"/>
      <c r="Q63" s="58"/>
      <c r="R63" s="58"/>
      <c r="S63" s="58"/>
    </row>
    <row r="64" spans="1:19" ht="22.05" customHeight="1" x14ac:dyDescent="0.6">
      <c r="A64" s="25">
        <f>'01_인적정보'!A24</f>
        <v>19</v>
      </c>
      <c r="B64" s="25" t="str">
        <f>'01_인적정보'!B24</f>
        <v>BSS-019</v>
      </c>
      <c r="C64" s="5" t="str">
        <f>'01_인적정보'!C24</f>
        <v>구서현</v>
      </c>
      <c r="D64" s="5" t="str">
        <f>'01_인적정보'!E24</f>
        <v>BIM컨설팅</v>
      </c>
      <c r="E64" s="11" t="str">
        <f>'01_인적정보'!H24</f>
        <v>G3</v>
      </c>
      <c r="F64" s="13">
        <f>'07b_하반기입력'!I24</f>
        <v>0</v>
      </c>
      <c r="G64" s="13">
        <f>'07b_하반기입력'!J24</f>
        <v>0</v>
      </c>
      <c r="H64" s="39">
        <f>IFERROR(IF(AND(F64&lt;&gt;"",G64&lt;&gt;""),'02_의사결정·종합결과'!$B$67*IF(F64="S",5,IF(F64="A",4,IF(F64="B",3,IF(F64="C",2,IF(F64="D",1,0)))))+'02_의사결정·종합결과'!$B$68*IF(G64="S",5,IF(G64="A",4,IF(G64="B",3,IF(G64="C",2,IF(G64="D",1,0))))),IF(F64&lt;&gt;"",IF(F64="S",5,IF(F64="A",4,IF(F64="B",3,IF(F64="C",2,IF(F64="D",1,0))))),IF(G64&lt;&gt;"",IF(G64="S",5,IF(G64="A",4,IF(G64="B",3,IF(G64="C",2,IF(G64="D",1,0))))),""))),"")</f>
        <v>0</v>
      </c>
      <c r="I64" s="40" t="str">
        <f t="shared" si="1"/>
        <v>D</v>
      </c>
      <c r="J64" s="58"/>
      <c r="K64" s="58"/>
      <c r="L64" s="58"/>
      <c r="M64" s="58"/>
      <c r="N64" s="58"/>
      <c r="O64" s="58"/>
      <c r="P64" s="63"/>
      <c r="Q64" s="58"/>
      <c r="R64" s="58"/>
      <c r="S64" s="58"/>
    </row>
    <row r="65" spans="1:19" ht="22.05" customHeight="1" x14ac:dyDescent="0.6">
      <c r="A65" s="25">
        <f>'01_인적정보'!A25</f>
        <v>20</v>
      </c>
      <c r="B65" s="25" t="str">
        <f>'01_인적정보'!B25</f>
        <v>BSS-020</v>
      </c>
      <c r="C65" s="5" t="str">
        <f>'01_인적정보'!C25</f>
        <v>박진용</v>
      </c>
      <c r="D65" s="5" t="str">
        <f>'01_인적정보'!E25</f>
        <v>기술지원</v>
      </c>
      <c r="E65" s="11" t="str">
        <f>'01_인적정보'!H25</f>
        <v>G3</v>
      </c>
      <c r="F65" s="13">
        <f>'07b_하반기입력'!I25</f>
        <v>0</v>
      </c>
      <c r="G65" s="13">
        <f>'07b_하반기입력'!J25</f>
        <v>0</v>
      </c>
      <c r="H65" s="39">
        <f>IFERROR(IF(AND(F65&lt;&gt;"",G65&lt;&gt;""),'02_의사결정·종합결과'!$B$67*IF(F65="S",5,IF(F65="A",4,IF(F65="B",3,IF(F65="C",2,IF(F65="D",1,0)))))+'02_의사결정·종합결과'!$B$68*IF(G65="S",5,IF(G65="A",4,IF(G65="B",3,IF(G65="C",2,IF(G65="D",1,0))))),IF(F65&lt;&gt;"",IF(F65="S",5,IF(F65="A",4,IF(F65="B",3,IF(F65="C",2,IF(F65="D",1,0))))),IF(G65&lt;&gt;"",IF(G65="S",5,IF(G65="A",4,IF(G65="B",3,IF(G65="C",2,IF(G65="D",1,0))))),""))),"")</f>
        <v>0</v>
      </c>
      <c r="I65" s="40" t="str">
        <f t="shared" si="1"/>
        <v>D</v>
      </c>
      <c r="J65" s="58"/>
      <c r="K65" s="58"/>
      <c r="L65" s="58"/>
      <c r="M65" s="58"/>
      <c r="N65" s="58"/>
      <c r="O65" s="58"/>
      <c r="P65" s="63"/>
      <c r="Q65" s="58"/>
      <c r="R65" s="58"/>
      <c r="S65" s="58"/>
    </row>
    <row r="66" spans="1:19" ht="22.05" customHeight="1" x14ac:dyDescent="0.6">
      <c r="A66" s="25">
        <f>'01_인적정보'!A26</f>
        <v>21</v>
      </c>
      <c r="B66" s="25" t="str">
        <f>'01_인적정보'!B26</f>
        <v>BSS-021</v>
      </c>
      <c r="C66" s="5" t="str">
        <f>'01_인적정보'!C26</f>
        <v>김가연</v>
      </c>
      <c r="D66" s="5" t="str">
        <f>'01_인적정보'!E26</f>
        <v>BIM컨설팅</v>
      </c>
      <c r="E66" s="11" t="str">
        <f>'01_인적정보'!H26</f>
        <v>G2</v>
      </c>
      <c r="F66" s="13">
        <f>'07b_하반기입력'!I26</f>
        <v>0</v>
      </c>
      <c r="G66" s="13">
        <f>'07b_하반기입력'!J26</f>
        <v>0</v>
      </c>
      <c r="H66" s="39">
        <f>IFERROR(IF(AND(F66&lt;&gt;"",G66&lt;&gt;""),'02_의사결정·종합결과'!$B$67*IF(F66="S",5,IF(F66="A",4,IF(F66="B",3,IF(F66="C",2,IF(F66="D",1,0)))))+'02_의사결정·종합결과'!$B$68*IF(G66="S",5,IF(G66="A",4,IF(G66="B",3,IF(G66="C",2,IF(G66="D",1,0))))),IF(F66&lt;&gt;"",IF(F66="S",5,IF(F66="A",4,IF(F66="B",3,IF(F66="C",2,IF(F66="D",1,0))))),IF(G66&lt;&gt;"",IF(G66="S",5,IF(G66="A",4,IF(G66="B",3,IF(G66="C",2,IF(G66="D",1,0))))),""))),"")</f>
        <v>0</v>
      </c>
      <c r="I66" s="40" t="str">
        <f t="shared" si="1"/>
        <v>D</v>
      </c>
      <c r="J66" s="58"/>
      <c r="K66" s="58"/>
      <c r="L66" s="58"/>
      <c r="M66" s="58"/>
      <c r="N66" s="58"/>
      <c r="O66" s="58"/>
      <c r="P66" s="63"/>
      <c r="Q66" s="58"/>
      <c r="R66" s="58"/>
      <c r="S66" s="58"/>
    </row>
    <row r="67" spans="1:19" ht="22.05" customHeight="1" x14ac:dyDescent="0.6">
      <c r="A67" s="25">
        <f>'01_인적정보'!A27</f>
        <v>22</v>
      </c>
      <c r="B67" s="25" t="str">
        <f>'01_인적정보'!B27</f>
        <v>BSS-022</v>
      </c>
      <c r="C67" s="5" t="str">
        <f>'01_인적정보'!C27</f>
        <v>한근수</v>
      </c>
      <c r="D67" s="5" t="str">
        <f>'01_인적정보'!E27</f>
        <v>BIM컨설팅</v>
      </c>
      <c r="E67" s="11" t="str">
        <f>'01_인적정보'!H27</f>
        <v>G2</v>
      </c>
      <c r="F67" s="13">
        <f>'07b_하반기입력'!I27</f>
        <v>0</v>
      </c>
      <c r="G67" s="13">
        <f>'07b_하반기입력'!J27</f>
        <v>0</v>
      </c>
      <c r="H67" s="39">
        <f>IFERROR(IF(AND(F67&lt;&gt;"",G67&lt;&gt;""),'02_의사결정·종합결과'!$B$67*IF(F67="S",5,IF(F67="A",4,IF(F67="B",3,IF(F67="C",2,IF(F67="D",1,0)))))+'02_의사결정·종합결과'!$B$68*IF(G67="S",5,IF(G67="A",4,IF(G67="B",3,IF(G67="C",2,IF(G67="D",1,0))))),IF(F67&lt;&gt;"",IF(F67="S",5,IF(F67="A",4,IF(F67="B",3,IF(F67="C",2,IF(F67="D",1,0))))),IF(G67&lt;&gt;"",IF(G67="S",5,IF(G67="A",4,IF(G67="B",3,IF(G67="C",2,IF(G67="D",1,0))))),""))),"")</f>
        <v>0</v>
      </c>
      <c r="I67" s="40" t="str">
        <f t="shared" si="1"/>
        <v>D</v>
      </c>
      <c r="J67" s="58"/>
      <c r="K67" s="58"/>
      <c r="L67" s="58"/>
      <c r="M67" s="58"/>
      <c r="N67" s="58"/>
      <c r="O67" s="58"/>
      <c r="P67" s="63"/>
      <c r="Q67" s="58"/>
      <c r="R67" s="58"/>
      <c r="S67" s="58"/>
    </row>
    <row r="68" spans="1:19" ht="22.05" customHeight="1" x14ac:dyDescent="0.6">
      <c r="A68" s="25">
        <f>'01_인적정보'!A28</f>
        <v>23</v>
      </c>
      <c r="B68" s="25" t="str">
        <f>'01_인적정보'!B28</f>
        <v>BSS-023</v>
      </c>
      <c r="C68" s="5" t="str">
        <f>'01_인적정보'!C28</f>
        <v>김성민</v>
      </c>
      <c r="D68" s="5" t="str">
        <f>'01_인적정보'!E28</f>
        <v>BIM컨설팅</v>
      </c>
      <c r="E68" s="11" t="str">
        <f>'01_인적정보'!H28</f>
        <v>G2</v>
      </c>
      <c r="F68" s="13">
        <f>'07b_하반기입력'!I28</f>
        <v>0</v>
      </c>
      <c r="G68" s="13">
        <f>'07b_하반기입력'!J28</f>
        <v>0</v>
      </c>
      <c r="H68" s="39">
        <f>IFERROR(IF(AND(F68&lt;&gt;"",G68&lt;&gt;""),'02_의사결정·종합결과'!$B$67*IF(F68="S",5,IF(F68="A",4,IF(F68="B",3,IF(F68="C",2,IF(F68="D",1,0)))))+'02_의사결정·종합결과'!$B$68*IF(G68="S",5,IF(G68="A",4,IF(G68="B",3,IF(G68="C",2,IF(G68="D",1,0))))),IF(F68&lt;&gt;"",IF(F68="S",5,IF(F68="A",4,IF(F68="B",3,IF(F68="C",2,IF(F68="D",1,0))))),IF(G68&lt;&gt;"",IF(G68="S",5,IF(G68="A",4,IF(G68="B",3,IF(G68="C",2,IF(G68="D",1,0))))),""))),"")</f>
        <v>0</v>
      </c>
      <c r="I68" s="40" t="str">
        <f t="shared" si="1"/>
        <v>D</v>
      </c>
      <c r="J68" s="58"/>
      <c r="K68" s="58"/>
      <c r="L68" s="58"/>
      <c r="M68" s="58"/>
      <c r="N68" s="58"/>
      <c r="O68" s="58"/>
      <c r="P68" s="63"/>
      <c r="Q68" s="58"/>
      <c r="R68" s="58"/>
      <c r="S68" s="58"/>
    </row>
    <row r="69" spans="1:19" ht="22.05" customHeight="1" x14ac:dyDescent="0.6">
      <c r="A69" s="25">
        <f>'01_인적정보'!A29</f>
        <v>24</v>
      </c>
      <c r="B69" s="25" t="str">
        <f>'01_인적정보'!B29</f>
        <v>BSS-024</v>
      </c>
      <c r="C69" s="5" t="str">
        <f>'01_인적정보'!C29</f>
        <v>고광우</v>
      </c>
      <c r="D69" s="5" t="str">
        <f>'01_인적정보'!E29</f>
        <v>BIM컨설팅</v>
      </c>
      <c r="E69" s="11" t="str">
        <f>'01_인적정보'!H29</f>
        <v>G2</v>
      </c>
      <c r="F69" s="13">
        <f>'07b_하반기입력'!I29</f>
        <v>0</v>
      </c>
      <c r="G69" s="13">
        <f>'07b_하반기입력'!J29</f>
        <v>0</v>
      </c>
      <c r="H69" s="39">
        <f>IFERROR(IF(AND(F69&lt;&gt;"",G69&lt;&gt;""),'02_의사결정·종합결과'!$B$67*IF(F69="S",5,IF(F69="A",4,IF(F69="B",3,IF(F69="C",2,IF(F69="D",1,0)))))+'02_의사결정·종합결과'!$B$68*IF(G69="S",5,IF(G69="A",4,IF(G69="B",3,IF(G69="C",2,IF(G69="D",1,0))))),IF(F69&lt;&gt;"",IF(F69="S",5,IF(F69="A",4,IF(F69="B",3,IF(F69="C",2,IF(F69="D",1,0))))),IF(G69&lt;&gt;"",IF(G69="S",5,IF(G69="A",4,IF(G69="B",3,IF(G69="C",2,IF(G69="D",1,0))))),""))),"")</f>
        <v>0</v>
      </c>
      <c r="I69" s="40" t="str">
        <f t="shared" si="1"/>
        <v>D</v>
      </c>
      <c r="J69" s="58"/>
      <c r="K69" s="58"/>
      <c r="L69" s="58"/>
      <c r="M69" s="58"/>
      <c r="N69" s="58"/>
      <c r="O69" s="58"/>
      <c r="P69" s="63"/>
      <c r="Q69" s="58"/>
      <c r="R69" s="58"/>
      <c r="S69" s="58"/>
    </row>
    <row r="70" spans="1:19" ht="22.05" customHeight="1" x14ac:dyDescent="0.6">
      <c r="A70" s="25">
        <f>'01_인적정보'!A30</f>
        <v>25</v>
      </c>
      <c r="B70" s="25" t="str">
        <f>'01_인적정보'!B30</f>
        <v>BSS-025</v>
      </c>
      <c r="C70" s="5" t="str">
        <f>'01_인적정보'!C30</f>
        <v>김성수</v>
      </c>
      <c r="D70" s="5" t="str">
        <f>'01_인적정보'!E30</f>
        <v>연구개발(R&amp;D)</v>
      </c>
      <c r="E70" s="11" t="str">
        <f>'01_인적정보'!H30</f>
        <v>G2</v>
      </c>
      <c r="F70" s="13">
        <f>'07b_하반기입력'!I30</f>
        <v>0</v>
      </c>
      <c r="G70" s="13">
        <f>'07b_하반기입력'!J30</f>
        <v>0</v>
      </c>
      <c r="H70" s="39">
        <f>IFERROR(IF(AND(F70&lt;&gt;"",G70&lt;&gt;""),'02_의사결정·종합결과'!$B$67*IF(F70="S",5,IF(F70="A",4,IF(F70="B",3,IF(F70="C",2,IF(F70="D",1,0)))))+'02_의사결정·종합결과'!$B$68*IF(G70="S",5,IF(G70="A",4,IF(G70="B",3,IF(G70="C",2,IF(G70="D",1,0))))),IF(F70&lt;&gt;"",IF(F70="S",5,IF(F70="A",4,IF(F70="B",3,IF(F70="C",2,IF(F70="D",1,0))))),IF(G70&lt;&gt;"",IF(G70="S",5,IF(G70="A",4,IF(G70="B",3,IF(G70="C",2,IF(G70="D",1,0))))),""))),"")</f>
        <v>0</v>
      </c>
      <c r="I70" s="40" t="str">
        <f t="shared" si="1"/>
        <v>D</v>
      </c>
      <c r="J70" s="58"/>
      <c r="K70" s="58"/>
      <c r="L70" s="58"/>
      <c r="M70" s="58"/>
      <c r="N70" s="58"/>
      <c r="O70" s="58"/>
      <c r="P70" s="63"/>
      <c r="Q70" s="58"/>
      <c r="R70" s="58"/>
      <c r="S70" s="58"/>
    </row>
    <row r="71" spans="1:19" ht="22.05" customHeight="1" x14ac:dyDescent="0.6">
      <c r="A71" s="25">
        <f>'01_인적정보'!A31</f>
        <v>26</v>
      </c>
      <c r="B71" s="25" t="str">
        <f>'01_인적정보'!B31</f>
        <v>BSS-026</v>
      </c>
      <c r="C71" s="5" t="str">
        <f>'01_인적정보'!C31</f>
        <v>박진희</v>
      </c>
      <c r="D71" s="5" t="str">
        <f>'01_인적정보'!E31</f>
        <v>경영전략기획</v>
      </c>
      <c r="E71" s="11" t="str">
        <f>'01_인적정보'!H31</f>
        <v>G1</v>
      </c>
      <c r="F71" s="13">
        <f>'07b_하반기입력'!I31</f>
        <v>0</v>
      </c>
      <c r="G71" s="13">
        <f>'07b_하반기입력'!J31</f>
        <v>0</v>
      </c>
      <c r="H71" s="39">
        <f>IFERROR(IF(AND(F71&lt;&gt;"",G71&lt;&gt;""),'02_의사결정·종합결과'!$B$67*IF(F71="S",5,IF(F71="A",4,IF(F71="B",3,IF(F71="C",2,IF(F71="D",1,0)))))+'02_의사결정·종합결과'!$B$68*IF(G71="S",5,IF(G71="A",4,IF(G71="B",3,IF(G71="C",2,IF(G71="D",1,0))))),IF(F71&lt;&gt;"",IF(F71="S",5,IF(F71="A",4,IF(F71="B",3,IF(F71="C",2,IF(F71="D",1,0))))),IF(G71&lt;&gt;"",IF(G71="S",5,IF(G71="A",4,IF(G71="B",3,IF(G71="C",2,IF(G71="D",1,0))))),""))),"")</f>
        <v>0</v>
      </c>
      <c r="I71" s="40" t="str">
        <f t="shared" si="1"/>
        <v>D</v>
      </c>
      <c r="J71" s="58"/>
      <c r="K71" s="58"/>
      <c r="L71" s="58"/>
      <c r="M71" s="58"/>
      <c r="N71" s="58"/>
      <c r="O71" s="58"/>
      <c r="P71" s="63"/>
      <c r="Q71" s="58"/>
      <c r="R71" s="58"/>
      <c r="S71" s="58"/>
    </row>
    <row r="72" spans="1:19" ht="22.05" customHeight="1" x14ac:dyDescent="0.6">
      <c r="A72" s="25">
        <f>'01_인적정보'!A32</f>
        <v>27</v>
      </c>
      <c r="B72" s="25" t="str">
        <f>'01_인적정보'!B32</f>
        <v>BSS-027</v>
      </c>
      <c r="C72" s="5" t="str">
        <f>'01_인적정보'!C32</f>
        <v>장은한</v>
      </c>
      <c r="D72" s="5" t="str">
        <f>'01_인적정보'!E32</f>
        <v>교육</v>
      </c>
      <c r="E72" s="11" t="str">
        <f>'01_인적정보'!H32</f>
        <v>G2</v>
      </c>
      <c r="F72" s="13">
        <f>'07b_하반기입력'!I32</f>
        <v>0</v>
      </c>
      <c r="G72" s="13">
        <f>'07b_하반기입력'!J32</f>
        <v>0</v>
      </c>
      <c r="H72" s="39">
        <f>IFERROR(IF(AND(F72&lt;&gt;"",G72&lt;&gt;""),'02_의사결정·종합결과'!$B$67*IF(F72="S",5,IF(F72="A",4,IF(F72="B",3,IF(F72="C",2,IF(F72="D",1,0)))))+'02_의사결정·종합결과'!$B$68*IF(G72="S",5,IF(G72="A",4,IF(G72="B",3,IF(G72="C",2,IF(G72="D",1,0))))),IF(F72&lt;&gt;"",IF(F72="S",5,IF(F72="A",4,IF(F72="B",3,IF(F72="C",2,IF(F72="D",1,0))))),IF(G72&lt;&gt;"",IF(G72="S",5,IF(G72="A",4,IF(G72="B",3,IF(G72="C",2,IF(G72="D",1,0))))),""))),"")</f>
        <v>0</v>
      </c>
      <c r="I72" s="40" t="str">
        <f t="shared" si="1"/>
        <v>D</v>
      </c>
      <c r="J72" s="58"/>
      <c r="K72" s="58"/>
      <c r="L72" s="58"/>
      <c r="M72" s="58"/>
      <c r="N72" s="58"/>
      <c r="O72" s="58"/>
      <c r="P72" s="63"/>
      <c r="Q72" s="58"/>
      <c r="R72" s="58"/>
      <c r="S72" s="58"/>
    </row>
    <row r="73" spans="1:19" ht="22.05" customHeight="1" x14ac:dyDescent="0.6">
      <c r="A73" s="25">
        <f>'01_인적정보'!A33</f>
        <v>28</v>
      </c>
      <c r="B73" s="25" t="str">
        <f>'01_인적정보'!B33</f>
        <v>BSS-028</v>
      </c>
      <c r="C73" s="5" t="str">
        <f>'01_인적정보'!C33</f>
        <v>김현수</v>
      </c>
      <c r="D73" s="5" t="str">
        <f>'01_인적정보'!E33</f>
        <v>BIM컨설팅</v>
      </c>
      <c r="E73" s="11" t="str">
        <f>'01_인적정보'!H33</f>
        <v>G1</v>
      </c>
      <c r="F73" s="13">
        <f>'07b_하반기입력'!I33</f>
        <v>0</v>
      </c>
      <c r="G73" s="13">
        <f>'07b_하반기입력'!J33</f>
        <v>0</v>
      </c>
      <c r="H73" s="39">
        <f>IFERROR(IF(AND(F73&lt;&gt;"",G73&lt;&gt;""),'02_의사결정·종합결과'!$B$67*IF(F73="S",5,IF(F73="A",4,IF(F73="B",3,IF(F73="C",2,IF(F73="D",1,0)))))+'02_의사결정·종합결과'!$B$68*IF(G73="S",5,IF(G73="A",4,IF(G73="B",3,IF(G73="C",2,IF(G73="D",1,0))))),IF(F73&lt;&gt;"",IF(F73="S",5,IF(F73="A",4,IF(F73="B",3,IF(F73="C",2,IF(F73="D",1,0))))),IF(G73&lt;&gt;"",IF(G73="S",5,IF(G73="A",4,IF(G73="B",3,IF(G73="C",2,IF(G73="D",1,0))))),""))),"")</f>
        <v>0</v>
      </c>
      <c r="I73" s="40" t="str">
        <f t="shared" si="1"/>
        <v>D</v>
      </c>
      <c r="J73" s="58"/>
      <c r="K73" s="58"/>
      <c r="L73" s="58"/>
      <c r="M73" s="58"/>
      <c r="N73" s="58"/>
      <c r="O73" s="58"/>
      <c r="P73" s="63"/>
      <c r="Q73" s="58"/>
      <c r="R73" s="58"/>
      <c r="S73" s="58"/>
    </row>
    <row r="74" spans="1:19" ht="22.05" customHeight="1" x14ac:dyDescent="0.6">
      <c r="A74" s="25">
        <f>'01_인적정보'!A34</f>
        <v>29</v>
      </c>
      <c r="B74" s="25" t="str">
        <f>'01_인적정보'!B34</f>
        <v>BSS-029</v>
      </c>
      <c r="C74" s="5" t="str">
        <f>'01_인적정보'!C34</f>
        <v>콜셍홍</v>
      </c>
      <c r="D74" s="5" t="str">
        <f>'01_인적정보'!E34</f>
        <v>BIM컨설팅</v>
      </c>
      <c r="E74" s="11" t="str">
        <f>'01_인적정보'!H34</f>
        <v>G1</v>
      </c>
      <c r="F74" s="13">
        <f>'07b_하반기입력'!I34</f>
        <v>0</v>
      </c>
      <c r="G74" s="13">
        <f>'07b_하반기입력'!J34</f>
        <v>0</v>
      </c>
      <c r="H74" s="39">
        <f>IFERROR(IF(AND(F74&lt;&gt;"",G74&lt;&gt;""),'02_의사결정·종합결과'!$B$67*IF(F74="S",5,IF(F74="A",4,IF(F74="B",3,IF(F74="C",2,IF(F74="D",1,0)))))+'02_의사결정·종합결과'!$B$68*IF(G74="S",5,IF(G74="A",4,IF(G74="B",3,IF(G74="C",2,IF(G74="D",1,0))))),IF(F74&lt;&gt;"",IF(F74="S",5,IF(F74="A",4,IF(F74="B",3,IF(F74="C",2,IF(F74="D",1,0))))),IF(G74&lt;&gt;"",IF(G74="S",5,IF(G74="A",4,IF(G74="B",3,IF(G74="C",2,IF(G74="D",1,0))))),""))),"")</f>
        <v>0</v>
      </c>
      <c r="I74" s="40" t="str">
        <f t="shared" si="1"/>
        <v>D</v>
      </c>
      <c r="J74" s="58"/>
      <c r="K74" s="58"/>
      <c r="L74" s="58"/>
      <c r="M74" s="58"/>
      <c r="N74" s="58"/>
      <c r="O74" s="58"/>
      <c r="P74" s="63"/>
      <c r="Q74" s="58"/>
      <c r="R74" s="58"/>
      <c r="S74" s="58"/>
    </row>
    <row r="75" spans="1:19" ht="22.05" customHeight="1" x14ac:dyDescent="0.6">
      <c r="A75" s="25">
        <f>'01_인적정보'!A35</f>
        <v>30</v>
      </c>
      <c r="B75" s="25" t="str">
        <f>'01_인적정보'!B35</f>
        <v>BSS-030</v>
      </c>
      <c r="C75" s="5" t="str">
        <f>'01_인적정보'!C35</f>
        <v>안성진</v>
      </c>
      <c r="D75" s="5" t="str">
        <f>'01_인적정보'!E35</f>
        <v>BIM컨설팅</v>
      </c>
      <c r="E75" s="11" t="str">
        <f>'01_인적정보'!H35</f>
        <v>G1</v>
      </c>
      <c r="F75" s="13">
        <f>'07b_하반기입력'!I35</f>
        <v>0</v>
      </c>
      <c r="G75" s="13">
        <f>'07b_하반기입력'!J35</f>
        <v>0</v>
      </c>
      <c r="H75" s="39">
        <f>IFERROR(IF(AND(F75&lt;&gt;"",G75&lt;&gt;""),'02_의사결정·종합결과'!$B$67*IF(F75="S",5,IF(F75="A",4,IF(F75="B",3,IF(F75="C",2,IF(F75="D",1,0)))))+'02_의사결정·종합결과'!$B$68*IF(G75="S",5,IF(G75="A",4,IF(G75="B",3,IF(G75="C",2,IF(G75="D",1,0))))),IF(F75&lt;&gt;"",IF(F75="S",5,IF(F75="A",4,IF(F75="B",3,IF(F75="C",2,IF(F75="D",1,0))))),IF(G75&lt;&gt;"",IF(G75="S",5,IF(G75="A",4,IF(G75="B",3,IF(G75="C",2,IF(G75="D",1,0))))),""))),"")</f>
        <v>0</v>
      </c>
      <c r="I75" s="40" t="str">
        <f t="shared" si="1"/>
        <v>D</v>
      </c>
      <c r="J75" s="58"/>
      <c r="K75" s="58"/>
      <c r="L75" s="58"/>
      <c r="M75" s="58"/>
      <c r="N75" s="58"/>
      <c r="O75" s="58"/>
      <c r="P75" s="63"/>
      <c r="Q75" s="58"/>
      <c r="R75" s="58"/>
      <c r="S75" s="58"/>
    </row>
    <row r="76" spans="1:19" ht="22.05" customHeight="1" x14ac:dyDescent="0.6">
      <c r="A76" s="25">
        <f>'01_인적정보'!A36</f>
        <v>31</v>
      </c>
      <c r="B76" s="25" t="str">
        <f>'01_인적정보'!B36</f>
        <v>BSS-031</v>
      </c>
      <c r="C76" s="5" t="str">
        <f>'01_인적정보'!C36</f>
        <v>이정일</v>
      </c>
      <c r="D76" s="5" t="str">
        <f>'01_인적정보'!E36</f>
        <v>BIM컨설팅</v>
      </c>
      <c r="E76" s="11" t="str">
        <f>'01_인적정보'!H36</f>
        <v>G1</v>
      </c>
      <c r="F76" s="13">
        <f>'07b_하반기입력'!I36</f>
        <v>0</v>
      </c>
      <c r="G76" s="13">
        <f>'07b_하반기입력'!J36</f>
        <v>0</v>
      </c>
      <c r="H76" s="39">
        <f>IFERROR(IF(AND(F76&lt;&gt;"",G76&lt;&gt;""),'02_의사결정·종합결과'!$B$67*IF(F76="S",5,IF(F76="A",4,IF(F76="B",3,IF(F76="C",2,IF(F76="D",1,0)))))+'02_의사결정·종합결과'!$B$68*IF(G76="S",5,IF(G76="A",4,IF(G76="B",3,IF(G76="C",2,IF(G76="D",1,0))))),IF(F76&lt;&gt;"",IF(F76="S",5,IF(F76="A",4,IF(F76="B",3,IF(F76="C",2,IF(F76="D",1,0))))),IF(G76&lt;&gt;"",IF(G76="S",5,IF(G76="A",4,IF(G76="B",3,IF(G76="C",2,IF(G76="D",1,0))))),""))),"")</f>
        <v>0</v>
      </c>
      <c r="I76" s="40" t="str">
        <f t="shared" si="1"/>
        <v>D</v>
      </c>
      <c r="J76" s="58"/>
      <c r="K76" s="58"/>
      <c r="L76" s="58"/>
      <c r="M76" s="58"/>
      <c r="N76" s="58"/>
      <c r="O76" s="58"/>
      <c r="P76" s="63"/>
      <c r="Q76" s="58"/>
      <c r="R76" s="58"/>
      <c r="S76" s="58"/>
    </row>
    <row r="77" spans="1:19" ht="22.05" customHeight="1" x14ac:dyDescent="0.6">
      <c r="A77" s="25">
        <f>'01_인적정보'!A37</f>
        <v>32</v>
      </c>
      <c r="B77" s="25" t="str">
        <f>'01_인적정보'!B37</f>
        <v>BSS-032</v>
      </c>
      <c r="C77" s="5" t="str">
        <f>'01_인적정보'!C37</f>
        <v>안재성</v>
      </c>
      <c r="D77" s="5" t="str">
        <f>'01_인적정보'!E37</f>
        <v>BIM컨설팅</v>
      </c>
      <c r="E77" s="11" t="str">
        <f>'01_인적정보'!H37</f>
        <v>G1</v>
      </c>
      <c r="F77" s="13">
        <f>'07b_하반기입력'!I37</f>
        <v>0</v>
      </c>
      <c r="G77" s="13">
        <f>'07b_하반기입력'!J37</f>
        <v>0</v>
      </c>
      <c r="H77" s="39">
        <f>IFERROR(IF(AND(F77&lt;&gt;"",G77&lt;&gt;""),'02_의사결정·종합결과'!$B$67*IF(F77="S",5,IF(F77="A",4,IF(F77="B",3,IF(F77="C",2,IF(F77="D",1,0)))))+'02_의사결정·종합결과'!$B$68*IF(G77="S",5,IF(G77="A",4,IF(G77="B",3,IF(G77="C",2,IF(G77="D",1,0))))),IF(F77&lt;&gt;"",IF(F77="S",5,IF(F77="A",4,IF(F77="B",3,IF(F77="C",2,IF(F77="D",1,0))))),IF(G77&lt;&gt;"",IF(G77="S",5,IF(G77="A",4,IF(G77="B",3,IF(G77="C",2,IF(G77="D",1,0))))),""))),"")</f>
        <v>0</v>
      </c>
      <c r="I77" s="40" t="str">
        <f t="shared" si="1"/>
        <v>D</v>
      </c>
      <c r="J77" s="58"/>
      <c r="K77" s="58"/>
      <c r="L77" s="58"/>
      <c r="M77" s="58"/>
      <c r="N77" s="58"/>
      <c r="O77" s="58"/>
      <c r="P77" s="63"/>
      <c r="Q77" s="58"/>
      <c r="R77" s="58"/>
      <c r="S77" s="58"/>
    </row>
    <row r="78" spans="1:19" ht="22.05" customHeight="1" x14ac:dyDescent="0.6">
      <c r="A78" s="25">
        <f>'01_인적정보'!A38</f>
        <v>33</v>
      </c>
      <c r="B78" s="25" t="str">
        <f>'01_인적정보'!B38</f>
        <v>BSS-033</v>
      </c>
      <c r="C78" s="5" t="str">
        <f>'01_인적정보'!C38</f>
        <v>유태석</v>
      </c>
      <c r="D78" s="5" t="str">
        <f>'01_인적정보'!E38</f>
        <v>BIM컨설팅</v>
      </c>
      <c r="E78" s="11" t="str">
        <f>'01_인적정보'!H38</f>
        <v>G1</v>
      </c>
      <c r="F78" s="13">
        <f>'07b_하반기입력'!I38</f>
        <v>0</v>
      </c>
      <c r="G78" s="13">
        <f>'07b_하반기입력'!J38</f>
        <v>0</v>
      </c>
      <c r="H78" s="39">
        <f>IFERROR(IF(AND(F78&lt;&gt;"",G78&lt;&gt;""),'02_의사결정·종합결과'!$B$67*IF(F78="S",5,IF(F78="A",4,IF(F78="B",3,IF(F78="C",2,IF(F78="D",1,0)))))+'02_의사결정·종합결과'!$B$68*IF(G78="S",5,IF(G78="A",4,IF(G78="B",3,IF(G78="C",2,IF(G78="D",1,0))))),IF(F78&lt;&gt;"",IF(F78="S",5,IF(F78="A",4,IF(F78="B",3,IF(F78="C",2,IF(F78="D",1,0))))),IF(G78&lt;&gt;"",IF(G78="S",5,IF(G78="A",4,IF(G78="B",3,IF(G78="C",2,IF(G78="D",1,0))))),""))),"")</f>
        <v>0</v>
      </c>
      <c r="I78" s="40" t="str">
        <f t="shared" si="1"/>
        <v>D</v>
      </c>
      <c r="J78" s="58"/>
      <c r="K78" s="58"/>
      <c r="L78" s="58"/>
      <c r="M78" s="58"/>
      <c r="N78" s="58"/>
      <c r="O78" s="58"/>
      <c r="P78" s="63"/>
      <c r="Q78" s="58"/>
      <c r="R78" s="58"/>
      <c r="S78" s="58"/>
    </row>
    <row r="79" spans="1:19" ht="22.05" customHeight="1" x14ac:dyDescent="0.6">
      <c r="A79" s="25">
        <f>'01_인적정보'!A39</f>
        <v>34</v>
      </c>
      <c r="B79" s="25" t="str">
        <f>'01_인적정보'!B39</f>
        <v>BSS-034</v>
      </c>
      <c r="C79" s="5" t="str">
        <f>'01_인적정보'!C39</f>
        <v>엄보근</v>
      </c>
      <c r="D79" s="5" t="str">
        <f>'01_인적정보'!E39</f>
        <v>BIM컨설팅</v>
      </c>
      <c r="E79" s="11" t="str">
        <f>'01_인적정보'!H39</f>
        <v>G1</v>
      </c>
      <c r="F79" s="13">
        <f>'07b_하반기입력'!I39</f>
        <v>0</v>
      </c>
      <c r="G79" s="13">
        <f>'07b_하반기입력'!J39</f>
        <v>0</v>
      </c>
      <c r="H79" s="39">
        <f>IFERROR(IF(AND(F79&lt;&gt;"",G79&lt;&gt;""),'02_의사결정·종합결과'!$B$67*IF(F79="S",5,IF(F79="A",4,IF(F79="B",3,IF(F79="C",2,IF(F79="D",1,0)))))+'02_의사결정·종합결과'!$B$68*IF(G79="S",5,IF(G79="A",4,IF(G79="B",3,IF(G79="C",2,IF(G79="D",1,0))))),IF(F79&lt;&gt;"",IF(F79="S",5,IF(F79="A",4,IF(F79="B",3,IF(F79="C",2,IF(F79="D",1,0))))),IF(G79&lt;&gt;"",IF(G79="S",5,IF(G79="A",4,IF(G79="B",3,IF(G79="C",2,IF(G79="D",1,0))))),""))),"")</f>
        <v>0</v>
      </c>
      <c r="I79" s="40" t="str">
        <f t="shared" si="1"/>
        <v>D</v>
      </c>
      <c r="J79" s="58"/>
      <c r="K79" s="58"/>
      <c r="L79" s="58"/>
      <c r="M79" s="58"/>
      <c r="N79" s="58"/>
      <c r="O79" s="58"/>
      <c r="P79" s="63"/>
      <c r="Q79" s="58"/>
      <c r="R79" s="58"/>
      <c r="S79" s="58"/>
    </row>
    <row r="80" spans="1:19" x14ac:dyDescent="0.6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</row>
    <row r="81" spans="1:19" x14ac:dyDescent="0.6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</row>
    <row r="82" spans="1:19" x14ac:dyDescent="0.6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</row>
    <row r="83" spans="1:19" x14ac:dyDescent="0.6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</row>
    <row r="84" spans="1:19" x14ac:dyDescent="0.6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</row>
    <row r="85" spans="1:19" x14ac:dyDescent="0.6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</row>
    <row r="86" spans="1:19" x14ac:dyDescent="0.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</row>
    <row r="87" spans="1:19" x14ac:dyDescent="0.6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</row>
    <row r="88" spans="1:19" x14ac:dyDescent="0.6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</row>
    <row r="89" spans="1:19" x14ac:dyDescent="0.6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</row>
  </sheetData>
  <mergeCells count="4">
    <mergeCell ref="A1:I1"/>
    <mergeCell ref="A4:I4"/>
    <mergeCell ref="A2:I2"/>
    <mergeCell ref="A44:I44"/>
  </mergeCells>
  <phoneticPr fontId="16" type="noConversion"/>
  <conditionalFormatting sqref="E6:Q39">
    <cfRule type="cellIs" dxfId="45" priority="1" operator="equal">
      <formula>"S"</formula>
    </cfRule>
    <cfRule type="cellIs" dxfId="44" priority="2" operator="equal">
      <formula>"A"</formula>
    </cfRule>
    <cfRule type="cellIs" dxfId="43" priority="3" operator="equal">
      <formula>"C"</formula>
    </cfRule>
    <cfRule type="cellIs" dxfId="42" priority="4" operator="equal">
      <formula>"D"</formula>
    </cfRule>
  </conditionalFormatting>
  <conditionalFormatting sqref="E46:Q79">
    <cfRule type="cellIs" dxfId="41" priority="5" operator="equal">
      <formula>"S"</formula>
    </cfRule>
    <cfRule type="cellIs" dxfId="40" priority="6" operator="equal">
      <formula>"A"</formula>
    </cfRule>
    <cfRule type="cellIs" dxfId="39" priority="7" operator="equal">
      <formula>"C"</formula>
    </cfRule>
    <cfRule type="cellIs" dxfId="38" priority="8" operator="equal">
      <formula>"D"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5911"/>
  </sheetPr>
  <dimension ref="A1:N89"/>
  <sheetViews>
    <sheetView workbookViewId="0">
      <pane xSplit="3" ySplit="5" topLeftCell="D61" activePane="bottomRight" state="frozen"/>
      <selection pane="topRight"/>
      <selection pane="bottomLeft"/>
      <selection pane="bottomRight" activeCell="G95" sqref="G95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6" width="10" customWidth="1"/>
    <col min="7" max="8" width="11" customWidth="1"/>
    <col min="9" max="9" width="12" customWidth="1"/>
    <col min="10" max="10" width="11" customWidth="1"/>
    <col min="11" max="11" width="8" customWidth="1"/>
    <col min="12" max="12" width="25" customWidth="1"/>
  </cols>
  <sheetData>
    <row r="1" spans="1:14" ht="30" customHeight="1" x14ac:dyDescent="0.6">
      <c r="A1" s="82" t="s">
        <v>418</v>
      </c>
      <c r="B1" s="86"/>
      <c r="C1" s="86"/>
      <c r="D1" s="86"/>
      <c r="E1" s="86"/>
      <c r="F1" s="86"/>
      <c r="G1" s="86"/>
      <c r="H1" s="86"/>
      <c r="I1" s="86"/>
      <c r="J1" s="86"/>
      <c r="K1" s="58"/>
      <c r="L1" s="58"/>
      <c r="M1" s="58"/>
      <c r="N1" s="58"/>
    </row>
    <row r="2" spans="1:14" ht="24" customHeight="1" x14ac:dyDescent="0.6">
      <c r="A2" s="74" t="s">
        <v>419</v>
      </c>
      <c r="B2" s="86"/>
      <c r="C2" s="86"/>
      <c r="D2" s="86"/>
      <c r="E2" s="86"/>
      <c r="F2" s="86"/>
      <c r="G2" s="86"/>
      <c r="H2" s="86"/>
      <c r="I2" s="86"/>
      <c r="J2" s="86"/>
      <c r="K2" s="58"/>
      <c r="L2" s="58"/>
      <c r="M2" s="58"/>
      <c r="N2" s="58"/>
    </row>
    <row r="3" spans="1:14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4" ht="24" customHeight="1" x14ac:dyDescent="0.6">
      <c r="A4" s="87" t="s">
        <v>420</v>
      </c>
      <c r="B4" s="86"/>
      <c r="C4" s="86"/>
      <c r="D4" s="86"/>
      <c r="E4" s="86"/>
      <c r="F4" s="86"/>
      <c r="G4" s="86"/>
      <c r="H4" s="86"/>
      <c r="I4" s="86"/>
      <c r="J4" s="86"/>
      <c r="K4" s="58"/>
      <c r="L4" s="58"/>
      <c r="M4" s="58"/>
      <c r="N4" s="58"/>
    </row>
    <row r="5" spans="1:14" ht="28.05" customHeight="1" x14ac:dyDescent="0.6">
      <c r="A5" s="15" t="s">
        <v>144</v>
      </c>
      <c r="B5" s="15" t="s">
        <v>145</v>
      </c>
      <c r="C5" s="15" t="s">
        <v>146</v>
      </c>
      <c r="D5" s="15" t="s">
        <v>148</v>
      </c>
      <c r="E5" s="15" t="s">
        <v>151</v>
      </c>
      <c r="F5" s="15" t="s">
        <v>421</v>
      </c>
      <c r="G5" s="15" t="s">
        <v>422</v>
      </c>
      <c r="H5" s="15" t="s">
        <v>423</v>
      </c>
      <c r="I5" s="15" t="s">
        <v>409</v>
      </c>
      <c r="J5" s="15" t="s">
        <v>410</v>
      </c>
      <c r="K5" s="58"/>
      <c r="L5" s="58"/>
      <c r="M5" s="58"/>
      <c r="N5" s="58"/>
    </row>
    <row r="6" spans="1:14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'01_인적정보'!E6</f>
        <v>프로젝트영업</v>
      </c>
      <c r="E6" s="11" t="str">
        <f>'01_인적정보'!H6</f>
        <v>G6</v>
      </c>
      <c r="F6" s="14">
        <f>'01_인적정보'!L6</f>
        <v>0</v>
      </c>
      <c r="G6" s="13">
        <f>'07a_상반기입력'!K6</f>
        <v>0</v>
      </c>
      <c r="H6" s="13">
        <f>'07a_상반기입력'!L6</f>
        <v>0</v>
      </c>
      <c r="I6" s="39">
        <f>IFERROR(IF(AND(G6&lt;&gt;"",H6&lt;&gt;""),'02_의사결정·종합결과'!$B$67*IF(G6="S",5,IF(G6="A",4,IF(G6="B",3,IF(G6="C",2,IF(G6="D",1,0)))))+'02_의사결정·종합결과'!$B$68*IF(H6="S",5,IF(H6="A",4,IF(H6="B",3,IF(H6="C",2,IF(H6="D",1,0))))),IF(G6&lt;&gt;"",IF(G6="S",5,IF(G6="A",4,IF(G6="B",3,IF(G6="C",2,IF(G6="D",1,0))))),IF(H6&lt;&gt;"",IF(H6="S",5,IF(H6="A",4,IF(H6="B",3,IF(H6="C",2,IF(H6="D",1,0))))),""))),"")</f>
        <v>0</v>
      </c>
      <c r="J6" s="40" t="str">
        <f t="shared" ref="J6:J39" si="0">IF(I6="","",IF(I6&gt;=4.5,"S",IF(I6&gt;=3.5,"A",IF(I6&gt;=2.5,"B",IF(I6&gt;=1.5,"C","D")))))</f>
        <v>D</v>
      </c>
      <c r="K6" s="64"/>
      <c r="L6" s="58"/>
      <c r="M6" s="58"/>
      <c r="N6" s="58"/>
    </row>
    <row r="7" spans="1:14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'01_인적정보'!E7</f>
        <v>연구개발(R&amp;D)</v>
      </c>
      <c r="E7" s="11" t="str">
        <f>'01_인적정보'!H7</f>
        <v>G6</v>
      </c>
      <c r="F7" s="14">
        <f>'01_인적정보'!L7</f>
        <v>0</v>
      </c>
      <c r="G7" s="13">
        <f>'07a_상반기입력'!K7</f>
        <v>0</v>
      </c>
      <c r="H7" s="13">
        <f>'07a_상반기입력'!L7</f>
        <v>0</v>
      </c>
      <c r="I7" s="39">
        <f>IFERROR(IF(AND(G7&lt;&gt;"",H7&lt;&gt;""),'02_의사결정·종합결과'!$B$67*IF(G7="S",5,IF(G7="A",4,IF(G7="B",3,IF(G7="C",2,IF(G7="D",1,0)))))+'02_의사결정·종합결과'!$B$68*IF(H7="S",5,IF(H7="A",4,IF(H7="B",3,IF(H7="C",2,IF(H7="D",1,0))))),IF(G7&lt;&gt;"",IF(G7="S",5,IF(G7="A",4,IF(G7="B",3,IF(G7="C",2,IF(G7="D",1,0))))),IF(H7&lt;&gt;"",IF(H7="S",5,IF(H7="A",4,IF(H7="B",3,IF(H7="C",2,IF(H7="D",1,0))))),""))),"")</f>
        <v>0</v>
      </c>
      <c r="J7" s="40" t="str">
        <f t="shared" si="0"/>
        <v>D</v>
      </c>
      <c r="K7" s="64"/>
      <c r="L7" s="58"/>
      <c r="M7" s="58"/>
      <c r="N7" s="58"/>
    </row>
    <row r="8" spans="1:14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'01_인적정보'!E8</f>
        <v>BIM컨설팅</v>
      </c>
      <c r="E8" s="11" t="str">
        <f>'01_인적정보'!H8</f>
        <v>G6</v>
      </c>
      <c r="F8" s="14">
        <f>'01_인적정보'!L8</f>
        <v>0</v>
      </c>
      <c r="G8" s="13">
        <f>'07a_상반기입력'!K8</f>
        <v>0</v>
      </c>
      <c r="H8" s="13">
        <f>'07a_상반기입력'!L8</f>
        <v>0</v>
      </c>
      <c r="I8" s="39">
        <f>IFERROR(IF(AND(G8&lt;&gt;"",H8&lt;&gt;""),'02_의사결정·종합결과'!$B$67*IF(G8="S",5,IF(G8="A",4,IF(G8="B",3,IF(G8="C",2,IF(G8="D",1,0)))))+'02_의사결정·종합결과'!$B$68*IF(H8="S",5,IF(H8="A",4,IF(H8="B",3,IF(H8="C",2,IF(H8="D",1,0))))),IF(G8&lt;&gt;"",IF(G8="S",5,IF(G8="A",4,IF(G8="B",3,IF(G8="C",2,IF(G8="D",1,0))))),IF(H8&lt;&gt;"",IF(H8="S",5,IF(H8="A",4,IF(H8="B",3,IF(H8="C",2,IF(H8="D",1,0))))),""))),"")</f>
        <v>0</v>
      </c>
      <c r="J8" s="40" t="str">
        <f t="shared" si="0"/>
        <v>D</v>
      </c>
      <c r="K8" s="64"/>
      <c r="L8" s="58"/>
      <c r="M8" s="58"/>
      <c r="N8" s="58"/>
    </row>
    <row r="9" spans="1:14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'01_인적정보'!E9</f>
        <v>경영전략기획</v>
      </c>
      <c r="E9" s="11" t="str">
        <f>'01_인적정보'!H9</f>
        <v>G6</v>
      </c>
      <c r="F9" s="14">
        <f>'01_인적정보'!L9</f>
        <v>0</v>
      </c>
      <c r="G9" s="13">
        <f>'07a_상반기입력'!K9</f>
        <v>0</v>
      </c>
      <c r="H9" s="13">
        <f>'07a_상반기입력'!L9</f>
        <v>0</v>
      </c>
      <c r="I9" s="39">
        <f>IFERROR(IF(AND(G9&lt;&gt;"",H9&lt;&gt;""),'02_의사결정·종합결과'!$B$67*IF(G9="S",5,IF(G9="A",4,IF(G9="B",3,IF(G9="C",2,IF(G9="D",1,0)))))+'02_의사결정·종합결과'!$B$68*IF(H9="S",5,IF(H9="A",4,IF(H9="B",3,IF(H9="C",2,IF(H9="D",1,0))))),IF(G9&lt;&gt;"",IF(G9="S",5,IF(G9="A",4,IF(G9="B",3,IF(G9="C",2,IF(G9="D",1,0))))),IF(H9&lt;&gt;"",IF(H9="S",5,IF(H9="A",4,IF(H9="B",3,IF(H9="C",2,IF(H9="D",1,0))))),""))),"")</f>
        <v>0</v>
      </c>
      <c r="J9" s="40" t="str">
        <f t="shared" si="0"/>
        <v>D</v>
      </c>
      <c r="K9" s="64"/>
      <c r="L9" s="58"/>
      <c r="M9" s="58"/>
      <c r="N9" s="58"/>
    </row>
    <row r="10" spans="1:14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'01_인적정보'!E10</f>
        <v>경영전략기획</v>
      </c>
      <c r="E10" s="11" t="str">
        <f>'01_인적정보'!H10</f>
        <v>G6</v>
      </c>
      <c r="F10" s="14">
        <f>'01_인적정보'!L10</f>
        <v>0</v>
      </c>
      <c r="G10" s="13">
        <f>'07a_상반기입력'!K10</f>
        <v>0</v>
      </c>
      <c r="H10" s="13">
        <f>'07a_상반기입력'!L10</f>
        <v>0</v>
      </c>
      <c r="I10" s="39">
        <f>IFERROR(IF(AND(G10&lt;&gt;"",H10&lt;&gt;""),'02_의사결정·종합결과'!$B$67*IF(G10="S",5,IF(G10="A",4,IF(G10="B",3,IF(G10="C",2,IF(G10="D",1,0)))))+'02_의사결정·종합결과'!$B$68*IF(H10="S",5,IF(H10="A",4,IF(H10="B",3,IF(H10="C",2,IF(H10="D",1,0))))),IF(G10&lt;&gt;"",IF(G10="S",5,IF(G10="A",4,IF(G10="B",3,IF(G10="C",2,IF(G10="D",1,0))))),IF(H10&lt;&gt;"",IF(H10="S",5,IF(H10="A",4,IF(H10="B",3,IF(H10="C",2,IF(H10="D",1,0))))),""))),"")</f>
        <v>0</v>
      </c>
      <c r="J10" s="40" t="str">
        <f t="shared" si="0"/>
        <v>D</v>
      </c>
      <c r="K10" s="64"/>
      <c r="L10" s="58"/>
      <c r="M10" s="58"/>
      <c r="N10" s="58"/>
    </row>
    <row r="11" spans="1:14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'01_인적정보'!E11</f>
        <v>경영전략기획</v>
      </c>
      <c r="E11" s="11" t="str">
        <f>'01_인적정보'!H11</f>
        <v>G6</v>
      </c>
      <c r="F11" s="14">
        <f>'01_인적정보'!L11</f>
        <v>0</v>
      </c>
      <c r="G11" s="13">
        <f>'07a_상반기입력'!K11</f>
        <v>0</v>
      </c>
      <c r="H11" s="13">
        <f>'07a_상반기입력'!L11</f>
        <v>0</v>
      </c>
      <c r="I11" s="39">
        <f>IFERROR(IF(AND(G11&lt;&gt;"",H11&lt;&gt;""),'02_의사결정·종합결과'!$B$67*IF(G11="S",5,IF(G11="A",4,IF(G11="B",3,IF(G11="C",2,IF(G11="D",1,0)))))+'02_의사결정·종합결과'!$B$68*IF(H11="S",5,IF(H11="A",4,IF(H11="B",3,IF(H11="C",2,IF(H11="D",1,0))))),IF(G11&lt;&gt;"",IF(G11="S",5,IF(G11="A",4,IF(G11="B",3,IF(G11="C",2,IF(G11="D",1,0))))),IF(H11&lt;&gt;"",IF(H11="S",5,IF(H11="A",4,IF(H11="B",3,IF(H11="C",2,IF(H11="D",1,0))))),""))),"")</f>
        <v>0</v>
      </c>
      <c r="J11" s="40" t="str">
        <f t="shared" si="0"/>
        <v>D</v>
      </c>
      <c r="K11" s="64"/>
      <c r="L11" s="58"/>
      <c r="M11" s="58"/>
      <c r="N11" s="58"/>
    </row>
    <row r="12" spans="1:14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'01_인적정보'!E12</f>
        <v>교육</v>
      </c>
      <c r="E12" s="11" t="str">
        <f>'01_인적정보'!H12</f>
        <v>G5-M</v>
      </c>
      <c r="F12" s="14">
        <f>'01_인적정보'!L12</f>
        <v>0</v>
      </c>
      <c r="G12" s="13">
        <f>'07a_상반기입력'!K12</f>
        <v>0</v>
      </c>
      <c r="H12" s="13">
        <f>'07a_상반기입력'!L12</f>
        <v>0</v>
      </c>
      <c r="I12" s="39">
        <f>IFERROR(IF(AND(G12&lt;&gt;"",H12&lt;&gt;""),'02_의사결정·종합결과'!$B$67*IF(G12="S",5,IF(G12="A",4,IF(G12="B",3,IF(G12="C",2,IF(G12="D",1,0)))))+'02_의사결정·종합결과'!$B$68*IF(H12="S",5,IF(H12="A",4,IF(H12="B",3,IF(H12="C",2,IF(H12="D",1,0))))),IF(G12&lt;&gt;"",IF(G12="S",5,IF(G12="A",4,IF(G12="B",3,IF(G12="C",2,IF(G12="D",1,0))))),IF(H12&lt;&gt;"",IF(H12="S",5,IF(H12="A",4,IF(H12="B",3,IF(H12="C",2,IF(H12="D",1,0))))),""))),"")</f>
        <v>0</v>
      </c>
      <c r="J12" s="40" t="str">
        <f t="shared" si="0"/>
        <v>D</v>
      </c>
      <c r="K12" s="64"/>
      <c r="L12" s="58"/>
      <c r="M12" s="58"/>
      <c r="N12" s="58"/>
    </row>
    <row r="13" spans="1:14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'01_인적정보'!E13</f>
        <v>기술지원</v>
      </c>
      <c r="E13" s="11" t="str">
        <f>'01_인적정보'!H13</f>
        <v>G5-M</v>
      </c>
      <c r="F13" s="14">
        <f>'01_인적정보'!L13</f>
        <v>0</v>
      </c>
      <c r="G13" s="13">
        <f>'07a_상반기입력'!K13</f>
        <v>0</v>
      </c>
      <c r="H13" s="13">
        <f>'07a_상반기입력'!L13</f>
        <v>0</v>
      </c>
      <c r="I13" s="39">
        <f>IFERROR(IF(AND(G13&lt;&gt;"",H13&lt;&gt;""),'02_의사결정·종합결과'!$B$67*IF(G13="S",5,IF(G13="A",4,IF(G13="B",3,IF(G13="C",2,IF(G13="D",1,0)))))+'02_의사결정·종합결과'!$B$68*IF(H13="S",5,IF(H13="A",4,IF(H13="B",3,IF(H13="C",2,IF(H13="D",1,0))))),IF(G13&lt;&gt;"",IF(G13="S",5,IF(G13="A",4,IF(G13="B",3,IF(G13="C",2,IF(G13="D",1,0))))),IF(H13&lt;&gt;"",IF(H13="S",5,IF(H13="A",4,IF(H13="B",3,IF(H13="C",2,IF(H13="D",1,0))))),""))),"")</f>
        <v>0</v>
      </c>
      <c r="J13" s="40" t="str">
        <f t="shared" si="0"/>
        <v>D</v>
      </c>
      <c r="K13" s="64"/>
      <c r="L13" s="58"/>
      <c r="M13" s="58"/>
      <c r="N13" s="58"/>
    </row>
    <row r="14" spans="1:14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'01_인적정보'!E14</f>
        <v>BIM컨설팅</v>
      </c>
      <c r="E14" s="11" t="str">
        <f>'01_인적정보'!H14</f>
        <v>G5-M</v>
      </c>
      <c r="F14" s="14">
        <f>'01_인적정보'!L14</f>
        <v>0</v>
      </c>
      <c r="G14" s="13">
        <f>'07a_상반기입력'!K14</f>
        <v>0</v>
      </c>
      <c r="H14" s="13">
        <f>'07a_상반기입력'!L14</f>
        <v>0</v>
      </c>
      <c r="I14" s="39">
        <f>IFERROR(IF(AND(G14&lt;&gt;"",H14&lt;&gt;""),'02_의사결정·종합결과'!$B$67*IF(G14="S",5,IF(G14="A",4,IF(G14="B",3,IF(G14="C",2,IF(G14="D",1,0)))))+'02_의사결정·종합결과'!$B$68*IF(H14="S",5,IF(H14="A",4,IF(H14="B",3,IF(H14="C",2,IF(H14="D",1,0))))),IF(G14&lt;&gt;"",IF(G14="S",5,IF(G14="A",4,IF(G14="B",3,IF(G14="C",2,IF(G14="D",1,0))))),IF(H14&lt;&gt;"",IF(H14="S",5,IF(H14="A",4,IF(H14="B",3,IF(H14="C",2,IF(H14="D",1,0))))),""))),"")</f>
        <v>0</v>
      </c>
      <c r="J14" s="40" t="str">
        <f t="shared" si="0"/>
        <v>D</v>
      </c>
      <c r="K14" s="64"/>
      <c r="L14" s="58"/>
      <c r="M14" s="58"/>
      <c r="N14" s="58"/>
    </row>
    <row r="15" spans="1:14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'01_인적정보'!E15</f>
        <v>BIM컨설팅</v>
      </c>
      <c r="E15" s="11" t="str">
        <f>'01_인적정보'!H15</f>
        <v>G5-S</v>
      </c>
      <c r="F15" s="14">
        <f>'01_인적정보'!L15</f>
        <v>0</v>
      </c>
      <c r="G15" s="13">
        <f>'07a_상반기입력'!K15</f>
        <v>0</v>
      </c>
      <c r="H15" s="13">
        <f>'07a_상반기입력'!L15</f>
        <v>0</v>
      </c>
      <c r="I15" s="39">
        <f>IFERROR(IF(AND(G15&lt;&gt;"",H15&lt;&gt;""),'02_의사결정·종합결과'!$B$67*IF(G15="S",5,IF(G15="A",4,IF(G15="B",3,IF(G15="C",2,IF(G15="D",1,0)))))+'02_의사결정·종합결과'!$B$68*IF(H15="S",5,IF(H15="A",4,IF(H15="B",3,IF(H15="C",2,IF(H15="D",1,0))))),IF(G15&lt;&gt;"",IF(G15="S",5,IF(G15="A",4,IF(G15="B",3,IF(G15="C",2,IF(G15="D",1,0))))),IF(H15&lt;&gt;"",IF(H15="S",5,IF(H15="A",4,IF(H15="B",3,IF(H15="C",2,IF(H15="D",1,0))))),""))),"")</f>
        <v>0</v>
      </c>
      <c r="J15" s="40" t="str">
        <f t="shared" si="0"/>
        <v>D</v>
      </c>
      <c r="K15" s="64"/>
      <c r="L15" s="58"/>
      <c r="M15" s="58"/>
      <c r="N15" s="58"/>
    </row>
    <row r="16" spans="1:14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'01_인적정보'!E16</f>
        <v>BIM컨설팅</v>
      </c>
      <c r="E16" s="11" t="str">
        <f>'01_인적정보'!H16</f>
        <v>G5-S</v>
      </c>
      <c r="F16" s="14">
        <f>'01_인적정보'!L16</f>
        <v>0</v>
      </c>
      <c r="G16" s="13">
        <f>'07a_상반기입력'!K16</f>
        <v>0</v>
      </c>
      <c r="H16" s="13">
        <f>'07a_상반기입력'!L16</f>
        <v>0</v>
      </c>
      <c r="I16" s="39">
        <f>IFERROR(IF(AND(G16&lt;&gt;"",H16&lt;&gt;""),'02_의사결정·종합결과'!$B$67*IF(G16="S",5,IF(G16="A",4,IF(G16="B",3,IF(G16="C",2,IF(G16="D",1,0)))))+'02_의사결정·종합결과'!$B$68*IF(H16="S",5,IF(H16="A",4,IF(H16="B",3,IF(H16="C",2,IF(H16="D",1,0))))),IF(G16&lt;&gt;"",IF(G16="S",5,IF(G16="A",4,IF(G16="B",3,IF(G16="C",2,IF(G16="D",1,0))))),IF(H16&lt;&gt;"",IF(H16="S",5,IF(H16="A",4,IF(H16="B",3,IF(H16="C",2,IF(H16="D",1,0))))),""))),"")</f>
        <v>0</v>
      </c>
      <c r="J16" s="40" t="str">
        <f t="shared" si="0"/>
        <v>D</v>
      </c>
      <c r="K16" s="64"/>
      <c r="L16" s="58"/>
      <c r="M16" s="58"/>
      <c r="N16" s="58"/>
    </row>
    <row r="17" spans="1:14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'01_인적정보'!E17</f>
        <v>경영전략기획</v>
      </c>
      <c r="E17" s="11" t="str">
        <f>'01_인적정보'!H17</f>
        <v>G5-M</v>
      </c>
      <c r="F17" s="14">
        <f>'01_인적정보'!L17</f>
        <v>0</v>
      </c>
      <c r="G17" s="13">
        <f>'07a_상반기입력'!K17</f>
        <v>0</v>
      </c>
      <c r="H17" s="13">
        <f>'07a_상반기입력'!L17</f>
        <v>0</v>
      </c>
      <c r="I17" s="39">
        <f>IFERROR(IF(AND(G17&lt;&gt;"",H17&lt;&gt;""),'02_의사결정·종합결과'!$B$67*IF(G17="S",5,IF(G17="A",4,IF(G17="B",3,IF(G17="C",2,IF(G17="D",1,0)))))+'02_의사결정·종합결과'!$B$68*IF(H17="S",5,IF(H17="A",4,IF(H17="B",3,IF(H17="C",2,IF(H17="D",1,0))))),IF(G17&lt;&gt;"",IF(G17="S",5,IF(G17="A",4,IF(G17="B",3,IF(G17="C",2,IF(G17="D",1,0))))),IF(H17&lt;&gt;"",IF(H17="S",5,IF(H17="A",4,IF(H17="B",3,IF(H17="C",2,IF(H17="D",1,0))))),""))),"")</f>
        <v>0</v>
      </c>
      <c r="J17" s="40" t="str">
        <f t="shared" si="0"/>
        <v>D</v>
      </c>
      <c r="K17" s="64"/>
      <c r="L17" s="58"/>
      <c r="M17" s="58"/>
      <c r="N17" s="58"/>
    </row>
    <row r="18" spans="1:14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'01_인적정보'!E18</f>
        <v>BIM컨설팅</v>
      </c>
      <c r="E18" s="11" t="str">
        <f>'01_인적정보'!H18</f>
        <v>G5-S</v>
      </c>
      <c r="F18" s="14">
        <f>'01_인적정보'!L18</f>
        <v>0</v>
      </c>
      <c r="G18" s="13">
        <f>'07a_상반기입력'!K18</f>
        <v>0</v>
      </c>
      <c r="H18" s="13">
        <f>'07a_상반기입력'!L18</f>
        <v>0</v>
      </c>
      <c r="I18" s="39">
        <f>IFERROR(IF(AND(G18&lt;&gt;"",H18&lt;&gt;""),'02_의사결정·종합결과'!$B$67*IF(G18="S",5,IF(G18="A",4,IF(G18="B",3,IF(G18="C",2,IF(G18="D",1,0)))))+'02_의사결정·종합결과'!$B$68*IF(H18="S",5,IF(H18="A",4,IF(H18="B",3,IF(H18="C",2,IF(H18="D",1,0))))),IF(G18&lt;&gt;"",IF(G18="S",5,IF(G18="A",4,IF(G18="B",3,IF(G18="C",2,IF(G18="D",1,0))))),IF(H18&lt;&gt;"",IF(H18="S",5,IF(H18="A",4,IF(H18="B",3,IF(H18="C",2,IF(H18="D",1,0))))),""))),"")</f>
        <v>0</v>
      </c>
      <c r="J18" s="40" t="str">
        <f t="shared" si="0"/>
        <v>D</v>
      </c>
      <c r="K18" s="64"/>
      <c r="L18" s="58"/>
      <c r="M18" s="58"/>
      <c r="N18" s="58"/>
    </row>
    <row r="19" spans="1:14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'01_인적정보'!E19</f>
        <v>BIM컨설팅</v>
      </c>
      <c r="E19" s="11" t="str">
        <f>'01_인적정보'!H19</f>
        <v>G5-S</v>
      </c>
      <c r="F19" s="14">
        <f>'01_인적정보'!L19</f>
        <v>0</v>
      </c>
      <c r="G19" s="13">
        <f>'07a_상반기입력'!K19</f>
        <v>0</v>
      </c>
      <c r="H19" s="13">
        <f>'07a_상반기입력'!L19</f>
        <v>0</v>
      </c>
      <c r="I19" s="39">
        <f>IFERROR(IF(AND(G19&lt;&gt;"",H19&lt;&gt;""),'02_의사결정·종합결과'!$B$67*IF(G19="S",5,IF(G19="A",4,IF(G19="B",3,IF(G19="C",2,IF(G19="D",1,0)))))+'02_의사결정·종합결과'!$B$68*IF(H19="S",5,IF(H19="A",4,IF(H19="B",3,IF(H19="C",2,IF(H19="D",1,0))))),IF(G19&lt;&gt;"",IF(G19="S",5,IF(G19="A",4,IF(G19="B",3,IF(G19="C",2,IF(G19="D",1,0))))),IF(H19&lt;&gt;"",IF(H19="S",5,IF(H19="A",4,IF(H19="B",3,IF(H19="C",2,IF(H19="D",1,0))))),""))),"")</f>
        <v>0</v>
      </c>
      <c r="J19" s="40" t="str">
        <f t="shared" si="0"/>
        <v>D</v>
      </c>
      <c r="K19" s="64"/>
      <c r="L19" s="58"/>
      <c r="M19" s="58"/>
      <c r="N19" s="58"/>
    </row>
    <row r="20" spans="1:14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'01_인적정보'!E20</f>
        <v>BIM컨설팅</v>
      </c>
      <c r="E20" s="11" t="str">
        <f>'01_인적정보'!H20</f>
        <v>G5-S</v>
      </c>
      <c r="F20" s="14">
        <f>'01_인적정보'!L20</f>
        <v>0</v>
      </c>
      <c r="G20" s="13">
        <f>'07a_상반기입력'!K20</f>
        <v>0</v>
      </c>
      <c r="H20" s="13">
        <f>'07a_상반기입력'!L20</f>
        <v>0</v>
      </c>
      <c r="I20" s="39">
        <f>IFERROR(IF(AND(G20&lt;&gt;"",H20&lt;&gt;""),'02_의사결정·종합결과'!$B$67*IF(G20="S",5,IF(G20="A",4,IF(G20="B",3,IF(G20="C",2,IF(G20="D",1,0)))))+'02_의사결정·종합결과'!$B$68*IF(H20="S",5,IF(H20="A",4,IF(H20="B",3,IF(H20="C",2,IF(H20="D",1,0))))),IF(G20&lt;&gt;"",IF(G20="S",5,IF(G20="A",4,IF(G20="B",3,IF(G20="C",2,IF(G20="D",1,0))))),IF(H20&lt;&gt;"",IF(H20="S",5,IF(H20="A",4,IF(H20="B",3,IF(H20="C",2,IF(H20="D",1,0))))),""))),"")</f>
        <v>0</v>
      </c>
      <c r="J20" s="40" t="str">
        <f t="shared" si="0"/>
        <v>D</v>
      </c>
      <c r="K20" s="64"/>
      <c r="L20" s="58"/>
      <c r="M20" s="58"/>
      <c r="N20" s="58"/>
    </row>
    <row r="21" spans="1:14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'01_인적정보'!E21</f>
        <v>BIM컨설팅</v>
      </c>
      <c r="E21" s="11" t="str">
        <f>'01_인적정보'!H21</f>
        <v>G5-S</v>
      </c>
      <c r="F21" s="14">
        <f>'01_인적정보'!L21</f>
        <v>0</v>
      </c>
      <c r="G21" s="13">
        <f>'07a_상반기입력'!K21</f>
        <v>0</v>
      </c>
      <c r="H21" s="13">
        <f>'07a_상반기입력'!L21</f>
        <v>0</v>
      </c>
      <c r="I21" s="39">
        <f>IFERROR(IF(AND(G21&lt;&gt;"",H21&lt;&gt;""),'02_의사결정·종합결과'!$B$67*IF(G21="S",5,IF(G21="A",4,IF(G21="B",3,IF(G21="C",2,IF(G21="D",1,0)))))+'02_의사결정·종합결과'!$B$68*IF(H21="S",5,IF(H21="A",4,IF(H21="B",3,IF(H21="C",2,IF(H21="D",1,0))))),IF(G21&lt;&gt;"",IF(G21="S",5,IF(G21="A",4,IF(G21="B",3,IF(G21="C",2,IF(G21="D",1,0))))),IF(H21&lt;&gt;"",IF(H21="S",5,IF(H21="A",4,IF(H21="B",3,IF(H21="C",2,IF(H21="D",1,0))))),""))),"")</f>
        <v>0</v>
      </c>
      <c r="J21" s="40" t="str">
        <f t="shared" si="0"/>
        <v>D</v>
      </c>
      <c r="K21" s="64"/>
      <c r="L21" s="58"/>
      <c r="M21" s="58"/>
      <c r="N21" s="58"/>
    </row>
    <row r="22" spans="1:14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'01_인적정보'!E22</f>
        <v>교육</v>
      </c>
      <c r="E22" s="11" t="str">
        <f>'01_인적정보'!H22</f>
        <v>G4</v>
      </c>
      <c r="F22" s="14">
        <f>'01_인적정보'!L22</f>
        <v>0</v>
      </c>
      <c r="G22" s="13">
        <f>'07a_상반기입력'!K22</f>
        <v>0</v>
      </c>
      <c r="H22" s="13">
        <f>'07a_상반기입력'!L22</f>
        <v>0</v>
      </c>
      <c r="I22" s="39">
        <f>IFERROR(IF(AND(G22&lt;&gt;"",H22&lt;&gt;""),'02_의사결정·종합결과'!$B$67*IF(G22="S",5,IF(G22="A",4,IF(G22="B",3,IF(G22="C",2,IF(G22="D",1,0)))))+'02_의사결정·종합결과'!$B$68*IF(H22="S",5,IF(H22="A",4,IF(H22="B",3,IF(H22="C",2,IF(H22="D",1,0))))),IF(G22&lt;&gt;"",IF(G22="S",5,IF(G22="A",4,IF(G22="B",3,IF(G22="C",2,IF(G22="D",1,0))))),IF(H22&lt;&gt;"",IF(H22="S",5,IF(H22="A",4,IF(H22="B",3,IF(H22="C",2,IF(H22="D",1,0))))),""))),"")</f>
        <v>0</v>
      </c>
      <c r="J22" s="40" t="str">
        <f t="shared" si="0"/>
        <v>D</v>
      </c>
      <c r="K22" s="64"/>
      <c r="L22" s="58"/>
      <c r="M22" s="58"/>
      <c r="N22" s="58"/>
    </row>
    <row r="23" spans="1:14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'01_인적정보'!E23</f>
        <v>BIM컨설팅</v>
      </c>
      <c r="E23" s="11" t="str">
        <f>'01_인적정보'!H23</f>
        <v>G4</v>
      </c>
      <c r="F23" s="14">
        <f>'01_인적정보'!L23</f>
        <v>0</v>
      </c>
      <c r="G23" s="13">
        <f>'07a_상반기입력'!K23</f>
        <v>0</v>
      </c>
      <c r="H23" s="13">
        <f>'07a_상반기입력'!L23</f>
        <v>0</v>
      </c>
      <c r="I23" s="39">
        <f>IFERROR(IF(AND(G23&lt;&gt;"",H23&lt;&gt;""),'02_의사결정·종합결과'!$B$67*IF(G23="S",5,IF(G23="A",4,IF(G23="B",3,IF(G23="C",2,IF(G23="D",1,0)))))+'02_의사결정·종합결과'!$B$68*IF(H23="S",5,IF(H23="A",4,IF(H23="B",3,IF(H23="C",2,IF(H23="D",1,0))))),IF(G23&lt;&gt;"",IF(G23="S",5,IF(G23="A",4,IF(G23="B",3,IF(G23="C",2,IF(G23="D",1,0))))),IF(H23&lt;&gt;"",IF(H23="S",5,IF(H23="A",4,IF(H23="B",3,IF(H23="C",2,IF(H23="D",1,0))))),""))),"")</f>
        <v>0</v>
      </c>
      <c r="J23" s="40" t="str">
        <f t="shared" si="0"/>
        <v>D</v>
      </c>
      <c r="K23" s="64"/>
      <c r="L23" s="58"/>
      <c r="M23" s="58"/>
      <c r="N23" s="58"/>
    </row>
    <row r="24" spans="1:14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'01_인적정보'!E24</f>
        <v>BIM컨설팅</v>
      </c>
      <c r="E24" s="11" t="str">
        <f>'01_인적정보'!H24</f>
        <v>G3</v>
      </c>
      <c r="F24" s="14">
        <f>'01_인적정보'!L24</f>
        <v>0</v>
      </c>
      <c r="G24" s="13">
        <f>'07a_상반기입력'!K24</f>
        <v>0</v>
      </c>
      <c r="H24" s="13">
        <f>'07a_상반기입력'!L24</f>
        <v>0</v>
      </c>
      <c r="I24" s="39">
        <f>IFERROR(IF(AND(G24&lt;&gt;"",H24&lt;&gt;""),'02_의사결정·종합결과'!$B$67*IF(G24="S",5,IF(G24="A",4,IF(G24="B",3,IF(G24="C",2,IF(G24="D",1,0)))))+'02_의사결정·종합결과'!$B$68*IF(H24="S",5,IF(H24="A",4,IF(H24="B",3,IF(H24="C",2,IF(H24="D",1,0))))),IF(G24&lt;&gt;"",IF(G24="S",5,IF(G24="A",4,IF(G24="B",3,IF(G24="C",2,IF(G24="D",1,0))))),IF(H24&lt;&gt;"",IF(H24="S",5,IF(H24="A",4,IF(H24="B",3,IF(H24="C",2,IF(H24="D",1,0))))),""))),"")</f>
        <v>0</v>
      </c>
      <c r="J24" s="40" t="str">
        <f t="shared" si="0"/>
        <v>D</v>
      </c>
      <c r="K24" s="64"/>
      <c r="L24" s="58"/>
      <c r="M24" s="58"/>
      <c r="N24" s="58"/>
    </row>
    <row r="25" spans="1:14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'01_인적정보'!E25</f>
        <v>기술지원</v>
      </c>
      <c r="E25" s="11" t="str">
        <f>'01_인적정보'!H25</f>
        <v>G3</v>
      </c>
      <c r="F25" s="14">
        <f>'01_인적정보'!L25</f>
        <v>0</v>
      </c>
      <c r="G25" s="13">
        <f>'07a_상반기입력'!K25</f>
        <v>0</v>
      </c>
      <c r="H25" s="13">
        <f>'07a_상반기입력'!L25</f>
        <v>0</v>
      </c>
      <c r="I25" s="39">
        <f>IFERROR(IF(AND(G25&lt;&gt;"",H25&lt;&gt;""),'02_의사결정·종합결과'!$B$67*IF(G25="S",5,IF(G25="A",4,IF(G25="B",3,IF(G25="C",2,IF(G25="D",1,0)))))+'02_의사결정·종합결과'!$B$68*IF(H25="S",5,IF(H25="A",4,IF(H25="B",3,IF(H25="C",2,IF(H25="D",1,0))))),IF(G25&lt;&gt;"",IF(G25="S",5,IF(G25="A",4,IF(G25="B",3,IF(G25="C",2,IF(G25="D",1,0))))),IF(H25&lt;&gt;"",IF(H25="S",5,IF(H25="A",4,IF(H25="B",3,IF(H25="C",2,IF(H25="D",1,0))))),""))),"")</f>
        <v>0</v>
      </c>
      <c r="J25" s="40" t="str">
        <f t="shared" si="0"/>
        <v>D</v>
      </c>
      <c r="K25" s="64"/>
      <c r="L25" s="58"/>
      <c r="M25" s="58"/>
      <c r="N25" s="58"/>
    </row>
    <row r="26" spans="1:14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'01_인적정보'!E26</f>
        <v>BIM컨설팅</v>
      </c>
      <c r="E26" s="11" t="str">
        <f>'01_인적정보'!H26</f>
        <v>G2</v>
      </c>
      <c r="F26" s="14">
        <f>'01_인적정보'!L26</f>
        <v>0</v>
      </c>
      <c r="G26" s="13">
        <f>'07a_상반기입력'!K26</f>
        <v>0</v>
      </c>
      <c r="H26" s="13">
        <f>'07a_상반기입력'!L26</f>
        <v>0</v>
      </c>
      <c r="I26" s="39">
        <f>IFERROR(IF(AND(G26&lt;&gt;"",H26&lt;&gt;""),'02_의사결정·종합결과'!$B$67*IF(G26="S",5,IF(G26="A",4,IF(G26="B",3,IF(G26="C",2,IF(G26="D",1,0)))))+'02_의사결정·종합결과'!$B$68*IF(H26="S",5,IF(H26="A",4,IF(H26="B",3,IF(H26="C",2,IF(H26="D",1,0))))),IF(G26&lt;&gt;"",IF(G26="S",5,IF(G26="A",4,IF(G26="B",3,IF(G26="C",2,IF(G26="D",1,0))))),IF(H26&lt;&gt;"",IF(H26="S",5,IF(H26="A",4,IF(H26="B",3,IF(H26="C",2,IF(H26="D",1,0))))),""))),"")</f>
        <v>0</v>
      </c>
      <c r="J26" s="40" t="str">
        <f t="shared" si="0"/>
        <v>D</v>
      </c>
      <c r="K26" s="64"/>
      <c r="L26" s="58"/>
      <c r="M26" s="58"/>
      <c r="N26" s="58"/>
    </row>
    <row r="27" spans="1:14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'01_인적정보'!E27</f>
        <v>BIM컨설팅</v>
      </c>
      <c r="E27" s="11" t="str">
        <f>'01_인적정보'!H27</f>
        <v>G2</v>
      </c>
      <c r="F27" s="14">
        <f>'01_인적정보'!L27</f>
        <v>0</v>
      </c>
      <c r="G27" s="13">
        <f>'07a_상반기입력'!K27</f>
        <v>0</v>
      </c>
      <c r="H27" s="13">
        <f>'07a_상반기입력'!L27</f>
        <v>0</v>
      </c>
      <c r="I27" s="39">
        <f>IFERROR(IF(AND(G27&lt;&gt;"",H27&lt;&gt;""),'02_의사결정·종합결과'!$B$67*IF(G27="S",5,IF(G27="A",4,IF(G27="B",3,IF(G27="C",2,IF(G27="D",1,0)))))+'02_의사결정·종합결과'!$B$68*IF(H27="S",5,IF(H27="A",4,IF(H27="B",3,IF(H27="C",2,IF(H27="D",1,0))))),IF(G27&lt;&gt;"",IF(G27="S",5,IF(G27="A",4,IF(G27="B",3,IF(G27="C",2,IF(G27="D",1,0))))),IF(H27&lt;&gt;"",IF(H27="S",5,IF(H27="A",4,IF(H27="B",3,IF(H27="C",2,IF(H27="D",1,0))))),""))),"")</f>
        <v>0</v>
      </c>
      <c r="J27" s="40" t="str">
        <f t="shared" si="0"/>
        <v>D</v>
      </c>
      <c r="K27" s="64"/>
      <c r="L27" s="58"/>
      <c r="M27" s="58"/>
      <c r="N27" s="58"/>
    </row>
    <row r="28" spans="1:14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'01_인적정보'!E28</f>
        <v>BIM컨설팅</v>
      </c>
      <c r="E28" s="11" t="str">
        <f>'01_인적정보'!H28</f>
        <v>G2</v>
      </c>
      <c r="F28" s="14">
        <f>'01_인적정보'!L28</f>
        <v>0</v>
      </c>
      <c r="G28" s="13">
        <f>'07a_상반기입력'!K28</f>
        <v>0</v>
      </c>
      <c r="H28" s="13">
        <f>'07a_상반기입력'!L28</f>
        <v>0</v>
      </c>
      <c r="I28" s="39">
        <f>IFERROR(IF(AND(G28&lt;&gt;"",H28&lt;&gt;""),'02_의사결정·종합결과'!$B$67*IF(G28="S",5,IF(G28="A",4,IF(G28="B",3,IF(G28="C",2,IF(G28="D",1,0)))))+'02_의사결정·종합결과'!$B$68*IF(H28="S",5,IF(H28="A",4,IF(H28="B",3,IF(H28="C",2,IF(H28="D",1,0))))),IF(G28&lt;&gt;"",IF(G28="S",5,IF(G28="A",4,IF(G28="B",3,IF(G28="C",2,IF(G28="D",1,0))))),IF(H28&lt;&gt;"",IF(H28="S",5,IF(H28="A",4,IF(H28="B",3,IF(H28="C",2,IF(H28="D",1,0))))),""))),"")</f>
        <v>0</v>
      </c>
      <c r="J28" s="40" t="str">
        <f t="shared" si="0"/>
        <v>D</v>
      </c>
      <c r="K28" s="64"/>
      <c r="L28" s="58"/>
      <c r="M28" s="58"/>
      <c r="N28" s="58"/>
    </row>
    <row r="29" spans="1:14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'01_인적정보'!E29</f>
        <v>BIM컨설팅</v>
      </c>
      <c r="E29" s="11" t="str">
        <f>'01_인적정보'!H29</f>
        <v>G2</v>
      </c>
      <c r="F29" s="14">
        <f>'01_인적정보'!L29</f>
        <v>0</v>
      </c>
      <c r="G29" s="13">
        <f>'07a_상반기입력'!K29</f>
        <v>0</v>
      </c>
      <c r="H29" s="13">
        <f>'07a_상반기입력'!L29</f>
        <v>0</v>
      </c>
      <c r="I29" s="39">
        <f>IFERROR(IF(AND(G29&lt;&gt;"",H29&lt;&gt;""),'02_의사결정·종합결과'!$B$67*IF(G29="S",5,IF(G29="A",4,IF(G29="B",3,IF(G29="C",2,IF(G29="D",1,0)))))+'02_의사결정·종합결과'!$B$68*IF(H29="S",5,IF(H29="A",4,IF(H29="B",3,IF(H29="C",2,IF(H29="D",1,0))))),IF(G29&lt;&gt;"",IF(G29="S",5,IF(G29="A",4,IF(G29="B",3,IF(G29="C",2,IF(G29="D",1,0))))),IF(H29&lt;&gt;"",IF(H29="S",5,IF(H29="A",4,IF(H29="B",3,IF(H29="C",2,IF(H29="D",1,0))))),""))),"")</f>
        <v>0</v>
      </c>
      <c r="J29" s="40" t="str">
        <f t="shared" si="0"/>
        <v>D</v>
      </c>
      <c r="K29" s="64"/>
      <c r="L29" s="58"/>
      <c r="M29" s="58"/>
      <c r="N29" s="58"/>
    </row>
    <row r="30" spans="1:14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'01_인적정보'!E30</f>
        <v>연구개발(R&amp;D)</v>
      </c>
      <c r="E30" s="11" t="str">
        <f>'01_인적정보'!H30</f>
        <v>G2</v>
      </c>
      <c r="F30" s="14">
        <f>'01_인적정보'!L30</f>
        <v>0</v>
      </c>
      <c r="G30" s="13">
        <f>'07a_상반기입력'!K30</f>
        <v>0</v>
      </c>
      <c r="H30" s="13">
        <f>'07a_상반기입력'!L30</f>
        <v>0</v>
      </c>
      <c r="I30" s="39">
        <f>IFERROR(IF(AND(G30&lt;&gt;"",H30&lt;&gt;""),'02_의사결정·종합결과'!$B$67*IF(G30="S",5,IF(G30="A",4,IF(G30="B",3,IF(G30="C",2,IF(G30="D",1,0)))))+'02_의사결정·종합결과'!$B$68*IF(H30="S",5,IF(H30="A",4,IF(H30="B",3,IF(H30="C",2,IF(H30="D",1,0))))),IF(G30&lt;&gt;"",IF(G30="S",5,IF(G30="A",4,IF(G30="B",3,IF(G30="C",2,IF(G30="D",1,0))))),IF(H30&lt;&gt;"",IF(H30="S",5,IF(H30="A",4,IF(H30="B",3,IF(H30="C",2,IF(H30="D",1,0))))),""))),"")</f>
        <v>0</v>
      </c>
      <c r="J30" s="40" t="str">
        <f t="shared" si="0"/>
        <v>D</v>
      </c>
      <c r="K30" s="64"/>
      <c r="L30" s="58"/>
      <c r="M30" s="58"/>
      <c r="N30" s="58"/>
    </row>
    <row r="31" spans="1:14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'01_인적정보'!E31</f>
        <v>경영전략기획</v>
      </c>
      <c r="E31" s="11" t="str">
        <f>'01_인적정보'!H31</f>
        <v>G1</v>
      </c>
      <c r="F31" s="14">
        <f>'01_인적정보'!L31</f>
        <v>0</v>
      </c>
      <c r="G31" s="13">
        <f>'07a_상반기입력'!K31</f>
        <v>0</v>
      </c>
      <c r="H31" s="13">
        <f>'07a_상반기입력'!L31</f>
        <v>0</v>
      </c>
      <c r="I31" s="39">
        <f>IFERROR(IF(AND(G31&lt;&gt;"",H31&lt;&gt;""),'02_의사결정·종합결과'!$B$67*IF(G31="S",5,IF(G31="A",4,IF(G31="B",3,IF(G31="C",2,IF(G31="D",1,0)))))+'02_의사결정·종합결과'!$B$68*IF(H31="S",5,IF(H31="A",4,IF(H31="B",3,IF(H31="C",2,IF(H31="D",1,0))))),IF(G31&lt;&gt;"",IF(G31="S",5,IF(G31="A",4,IF(G31="B",3,IF(G31="C",2,IF(G31="D",1,0))))),IF(H31&lt;&gt;"",IF(H31="S",5,IF(H31="A",4,IF(H31="B",3,IF(H31="C",2,IF(H31="D",1,0))))),""))),"")</f>
        <v>0</v>
      </c>
      <c r="J31" s="40" t="str">
        <f t="shared" si="0"/>
        <v>D</v>
      </c>
      <c r="K31" s="64"/>
      <c r="L31" s="58"/>
      <c r="M31" s="58"/>
      <c r="N31" s="58"/>
    </row>
    <row r="32" spans="1:14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'01_인적정보'!E32</f>
        <v>교육</v>
      </c>
      <c r="E32" s="11" t="str">
        <f>'01_인적정보'!H32</f>
        <v>G2</v>
      </c>
      <c r="F32" s="14">
        <f>'01_인적정보'!L32</f>
        <v>0</v>
      </c>
      <c r="G32" s="13">
        <f>'07a_상반기입력'!K32</f>
        <v>0</v>
      </c>
      <c r="H32" s="13">
        <f>'07a_상반기입력'!L32</f>
        <v>0</v>
      </c>
      <c r="I32" s="39">
        <f>IFERROR(IF(AND(G32&lt;&gt;"",H32&lt;&gt;""),'02_의사결정·종합결과'!$B$67*IF(G32="S",5,IF(G32="A",4,IF(G32="B",3,IF(G32="C",2,IF(G32="D",1,0)))))+'02_의사결정·종합결과'!$B$68*IF(H32="S",5,IF(H32="A",4,IF(H32="B",3,IF(H32="C",2,IF(H32="D",1,0))))),IF(G32&lt;&gt;"",IF(G32="S",5,IF(G32="A",4,IF(G32="B",3,IF(G32="C",2,IF(G32="D",1,0))))),IF(H32&lt;&gt;"",IF(H32="S",5,IF(H32="A",4,IF(H32="B",3,IF(H32="C",2,IF(H32="D",1,0))))),""))),"")</f>
        <v>0</v>
      </c>
      <c r="J32" s="40" t="str">
        <f t="shared" si="0"/>
        <v>D</v>
      </c>
      <c r="K32" s="64"/>
      <c r="L32" s="58"/>
      <c r="M32" s="58"/>
      <c r="N32" s="58"/>
    </row>
    <row r="33" spans="1:14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'01_인적정보'!E33</f>
        <v>BIM컨설팅</v>
      </c>
      <c r="E33" s="11" t="str">
        <f>'01_인적정보'!H33</f>
        <v>G1</v>
      </c>
      <c r="F33" s="14">
        <f>'01_인적정보'!L33</f>
        <v>0</v>
      </c>
      <c r="G33" s="13">
        <f>'07a_상반기입력'!K33</f>
        <v>0</v>
      </c>
      <c r="H33" s="13">
        <f>'07a_상반기입력'!L33</f>
        <v>0</v>
      </c>
      <c r="I33" s="39">
        <f>IFERROR(IF(AND(G33&lt;&gt;"",H33&lt;&gt;""),'02_의사결정·종합결과'!$B$67*IF(G33="S",5,IF(G33="A",4,IF(G33="B",3,IF(G33="C",2,IF(G33="D",1,0)))))+'02_의사결정·종합결과'!$B$68*IF(H33="S",5,IF(H33="A",4,IF(H33="B",3,IF(H33="C",2,IF(H33="D",1,0))))),IF(G33&lt;&gt;"",IF(G33="S",5,IF(G33="A",4,IF(G33="B",3,IF(G33="C",2,IF(G33="D",1,0))))),IF(H33&lt;&gt;"",IF(H33="S",5,IF(H33="A",4,IF(H33="B",3,IF(H33="C",2,IF(H33="D",1,0))))),""))),"")</f>
        <v>0</v>
      </c>
      <c r="J33" s="40" t="str">
        <f t="shared" si="0"/>
        <v>D</v>
      </c>
      <c r="K33" s="64"/>
      <c r="L33" s="58"/>
      <c r="M33" s="58"/>
      <c r="N33" s="58"/>
    </row>
    <row r="34" spans="1:14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'01_인적정보'!E34</f>
        <v>BIM컨설팅</v>
      </c>
      <c r="E34" s="11" t="str">
        <f>'01_인적정보'!H34</f>
        <v>G1</v>
      </c>
      <c r="F34" s="14">
        <f>'01_인적정보'!L34</f>
        <v>0</v>
      </c>
      <c r="G34" s="13">
        <f>'07a_상반기입력'!K34</f>
        <v>0</v>
      </c>
      <c r="H34" s="13">
        <f>'07a_상반기입력'!L34</f>
        <v>0</v>
      </c>
      <c r="I34" s="39">
        <f>IFERROR(IF(AND(G34&lt;&gt;"",H34&lt;&gt;""),'02_의사결정·종합결과'!$B$67*IF(G34="S",5,IF(G34="A",4,IF(G34="B",3,IF(G34="C",2,IF(G34="D",1,0)))))+'02_의사결정·종합결과'!$B$68*IF(H34="S",5,IF(H34="A",4,IF(H34="B",3,IF(H34="C",2,IF(H34="D",1,0))))),IF(G34&lt;&gt;"",IF(G34="S",5,IF(G34="A",4,IF(G34="B",3,IF(G34="C",2,IF(G34="D",1,0))))),IF(H34&lt;&gt;"",IF(H34="S",5,IF(H34="A",4,IF(H34="B",3,IF(H34="C",2,IF(H34="D",1,0))))),""))),"")</f>
        <v>0</v>
      </c>
      <c r="J34" s="40" t="str">
        <f t="shared" si="0"/>
        <v>D</v>
      </c>
      <c r="K34" s="64"/>
      <c r="L34" s="58"/>
      <c r="M34" s="58"/>
      <c r="N34" s="58"/>
    </row>
    <row r="35" spans="1:14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'01_인적정보'!E35</f>
        <v>BIM컨설팅</v>
      </c>
      <c r="E35" s="11" t="str">
        <f>'01_인적정보'!H35</f>
        <v>G1</v>
      </c>
      <c r="F35" s="14">
        <f>'01_인적정보'!L35</f>
        <v>0</v>
      </c>
      <c r="G35" s="13">
        <f>'07a_상반기입력'!K35</f>
        <v>0</v>
      </c>
      <c r="H35" s="13">
        <f>'07a_상반기입력'!L35</f>
        <v>0</v>
      </c>
      <c r="I35" s="39">
        <f>IFERROR(IF(AND(G35&lt;&gt;"",H35&lt;&gt;""),'02_의사결정·종합결과'!$B$67*IF(G35="S",5,IF(G35="A",4,IF(G35="B",3,IF(G35="C",2,IF(G35="D",1,0)))))+'02_의사결정·종합결과'!$B$68*IF(H35="S",5,IF(H35="A",4,IF(H35="B",3,IF(H35="C",2,IF(H35="D",1,0))))),IF(G35&lt;&gt;"",IF(G35="S",5,IF(G35="A",4,IF(G35="B",3,IF(G35="C",2,IF(G35="D",1,0))))),IF(H35&lt;&gt;"",IF(H35="S",5,IF(H35="A",4,IF(H35="B",3,IF(H35="C",2,IF(H35="D",1,0))))),""))),"")</f>
        <v>0</v>
      </c>
      <c r="J35" s="40" t="str">
        <f t="shared" si="0"/>
        <v>D</v>
      </c>
      <c r="K35" s="64"/>
      <c r="L35" s="58"/>
      <c r="M35" s="58"/>
      <c r="N35" s="58"/>
    </row>
    <row r="36" spans="1:14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'01_인적정보'!E36</f>
        <v>BIM컨설팅</v>
      </c>
      <c r="E36" s="11" t="str">
        <f>'01_인적정보'!H36</f>
        <v>G1</v>
      </c>
      <c r="F36" s="14">
        <f>'01_인적정보'!L36</f>
        <v>0</v>
      </c>
      <c r="G36" s="13">
        <f>'07a_상반기입력'!K36</f>
        <v>0</v>
      </c>
      <c r="H36" s="13">
        <f>'07a_상반기입력'!L36</f>
        <v>0</v>
      </c>
      <c r="I36" s="39">
        <f>IFERROR(IF(AND(G36&lt;&gt;"",H36&lt;&gt;""),'02_의사결정·종합결과'!$B$67*IF(G36="S",5,IF(G36="A",4,IF(G36="B",3,IF(G36="C",2,IF(G36="D",1,0)))))+'02_의사결정·종합결과'!$B$68*IF(H36="S",5,IF(H36="A",4,IF(H36="B",3,IF(H36="C",2,IF(H36="D",1,0))))),IF(G36&lt;&gt;"",IF(G36="S",5,IF(G36="A",4,IF(G36="B",3,IF(G36="C",2,IF(G36="D",1,0))))),IF(H36&lt;&gt;"",IF(H36="S",5,IF(H36="A",4,IF(H36="B",3,IF(H36="C",2,IF(H36="D",1,0))))),""))),"")</f>
        <v>0</v>
      </c>
      <c r="J36" s="40" t="str">
        <f t="shared" si="0"/>
        <v>D</v>
      </c>
      <c r="K36" s="64"/>
      <c r="L36" s="58"/>
      <c r="M36" s="58"/>
      <c r="N36" s="58"/>
    </row>
    <row r="37" spans="1:14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'01_인적정보'!E37</f>
        <v>BIM컨설팅</v>
      </c>
      <c r="E37" s="11" t="str">
        <f>'01_인적정보'!H37</f>
        <v>G1</v>
      </c>
      <c r="F37" s="14">
        <f>'01_인적정보'!L37</f>
        <v>0</v>
      </c>
      <c r="G37" s="13">
        <f>'07a_상반기입력'!K37</f>
        <v>0</v>
      </c>
      <c r="H37" s="13">
        <f>'07a_상반기입력'!L37</f>
        <v>0</v>
      </c>
      <c r="I37" s="39">
        <f>IFERROR(IF(AND(G37&lt;&gt;"",H37&lt;&gt;""),'02_의사결정·종합결과'!$B$67*IF(G37="S",5,IF(G37="A",4,IF(G37="B",3,IF(G37="C",2,IF(G37="D",1,0)))))+'02_의사결정·종합결과'!$B$68*IF(H37="S",5,IF(H37="A",4,IF(H37="B",3,IF(H37="C",2,IF(H37="D",1,0))))),IF(G37&lt;&gt;"",IF(G37="S",5,IF(G37="A",4,IF(G37="B",3,IF(G37="C",2,IF(G37="D",1,0))))),IF(H37&lt;&gt;"",IF(H37="S",5,IF(H37="A",4,IF(H37="B",3,IF(H37="C",2,IF(H37="D",1,0))))),""))),"")</f>
        <v>0</v>
      </c>
      <c r="J37" s="40" t="str">
        <f t="shared" si="0"/>
        <v>D</v>
      </c>
      <c r="K37" s="64"/>
      <c r="L37" s="58"/>
      <c r="M37" s="58"/>
      <c r="N37" s="58"/>
    </row>
    <row r="38" spans="1:14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'01_인적정보'!E38</f>
        <v>BIM컨설팅</v>
      </c>
      <c r="E38" s="11" t="str">
        <f>'01_인적정보'!H38</f>
        <v>G1</v>
      </c>
      <c r="F38" s="14">
        <f>'01_인적정보'!L38</f>
        <v>0</v>
      </c>
      <c r="G38" s="13">
        <f>'07a_상반기입력'!K38</f>
        <v>0</v>
      </c>
      <c r="H38" s="13">
        <f>'07a_상반기입력'!L38</f>
        <v>0</v>
      </c>
      <c r="I38" s="39">
        <f>IFERROR(IF(AND(G38&lt;&gt;"",H38&lt;&gt;""),'02_의사결정·종합결과'!$B$67*IF(G38="S",5,IF(G38="A",4,IF(G38="B",3,IF(G38="C",2,IF(G38="D",1,0)))))+'02_의사결정·종합결과'!$B$68*IF(H38="S",5,IF(H38="A",4,IF(H38="B",3,IF(H38="C",2,IF(H38="D",1,0))))),IF(G38&lt;&gt;"",IF(G38="S",5,IF(G38="A",4,IF(G38="B",3,IF(G38="C",2,IF(G38="D",1,0))))),IF(H38&lt;&gt;"",IF(H38="S",5,IF(H38="A",4,IF(H38="B",3,IF(H38="C",2,IF(H38="D",1,0))))),""))),"")</f>
        <v>0</v>
      </c>
      <c r="J38" s="40" t="str">
        <f t="shared" si="0"/>
        <v>D</v>
      </c>
      <c r="K38" s="64"/>
      <c r="L38" s="58"/>
      <c r="M38" s="58"/>
      <c r="N38" s="58"/>
    </row>
    <row r="39" spans="1:14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'01_인적정보'!E39</f>
        <v>BIM컨설팅</v>
      </c>
      <c r="E39" s="11" t="str">
        <f>'01_인적정보'!H39</f>
        <v>G1</v>
      </c>
      <c r="F39" s="14">
        <f>'01_인적정보'!L39</f>
        <v>0</v>
      </c>
      <c r="G39" s="13">
        <f>'07a_상반기입력'!K39</f>
        <v>0</v>
      </c>
      <c r="H39" s="13">
        <f>'07a_상반기입력'!L39</f>
        <v>0</v>
      </c>
      <c r="I39" s="39">
        <f>IFERROR(IF(AND(G39&lt;&gt;"",H39&lt;&gt;""),'02_의사결정·종합결과'!$B$67*IF(G39="S",5,IF(G39="A",4,IF(G39="B",3,IF(G39="C",2,IF(G39="D",1,0)))))+'02_의사결정·종합결과'!$B$68*IF(H39="S",5,IF(H39="A",4,IF(H39="B",3,IF(H39="C",2,IF(H39="D",1,0))))),IF(G39&lt;&gt;"",IF(G39="S",5,IF(G39="A",4,IF(G39="B",3,IF(G39="C",2,IF(G39="D",1,0))))),IF(H39&lt;&gt;"",IF(H39="S",5,IF(H39="A",4,IF(H39="B",3,IF(H39="C",2,IF(H39="D",1,0))))),""))),"")</f>
        <v>0</v>
      </c>
      <c r="J39" s="40" t="str">
        <f t="shared" si="0"/>
        <v>D</v>
      </c>
      <c r="K39" s="64"/>
      <c r="L39" s="58"/>
      <c r="M39" s="58"/>
      <c r="N39" s="58"/>
    </row>
    <row r="40" spans="1:14" x14ac:dyDescent="0.6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</row>
    <row r="41" spans="1:14" x14ac:dyDescent="0.6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</row>
    <row r="42" spans="1:14" x14ac:dyDescent="0.6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</row>
    <row r="43" spans="1:14" x14ac:dyDescent="0.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</row>
    <row r="44" spans="1:14" ht="24" customHeight="1" x14ac:dyDescent="0.6">
      <c r="A44" s="87" t="s">
        <v>424</v>
      </c>
      <c r="B44" s="86"/>
      <c r="C44" s="86"/>
      <c r="D44" s="86"/>
      <c r="E44" s="86"/>
      <c r="F44" s="86"/>
      <c r="G44" s="86"/>
      <c r="H44" s="86"/>
      <c r="I44" s="86"/>
      <c r="J44" s="86"/>
      <c r="K44" s="58"/>
      <c r="L44" s="58"/>
      <c r="M44" s="58"/>
      <c r="N44" s="58"/>
    </row>
    <row r="45" spans="1:14" ht="28.05" customHeight="1" x14ac:dyDescent="0.6">
      <c r="A45" s="15" t="s">
        <v>144</v>
      </c>
      <c r="B45" s="15" t="s">
        <v>145</v>
      </c>
      <c r="C45" s="15" t="s">
        <v>146</v>
      </c>
      <c r="D45" s="15" t="s">
        <v>148</v>
      </c>
      <c r="E45" s="15" t="s">
        <v>151</v>
      </c>
      <c r="F45" s="15" t="s">
        <v>421</v>
      </c>
      <c r="G45" s="15" t="s">
        <v>422</v>
      </c>
      <c r="H45" s="15" t="s">
        <v>423</v>
      </c>
      <c r="I45" s="15" t="s">
        <v>409</v>
      </c>
      <c r="J45" s="15" t="s">
        <v>410</v>
      </c>
      <c r="K45" s="58"/>
      <c r="L45" s="58"/>
      <c r="M45" s="58"/>
      <c r="N45" s="58"/>
    </row>
    <row r="46" spans="1:14" ht="22.05" customHeight="1" x14ac:dyDescent="0.6">
      <c r="A46" s="25">
        <f>'01_인적정보'!A6</f>
        <v>1</v>
      </c>
      <c r="B46" s="25" t="str">
        <f>'01_인적정보'!B6</f>
        <v>BSS-001</v>
      </c>
      <c r="C46" s="5" t="str">
        <f>'01_인적정보'!C6</f>
        <v>이화형</v>
      </c>
      <c r="D46" s="5" t="str">
        <f>'01_인적정보'!E6</f>
        <v>프로젝트영업</v>
      </c>
      <c r="E46" s="11" t="str">
        <f>'01_인적정보'!H6</f>
        <v>G6</v>
      </c>
      <c r="F46" s="14">
        <f>'01_인적정보'!L6</f>
        <v>0</v>
      </c>
      <c r="G46" s="13">
        <f>'07b_하반기입력'!K6</f>
        <v>0</v>
      </c>
      <c r="H46" s="13">
        <f>'07b_하반기입력'!L6</f>
        <v>0</v>
      </c>
      <c r="I46" s="39">
        <f>IFERROR(IF(AND(G46&lt;&gt;"",H46&lt;&gt;""),'02_의사결정·종합결과'!$B$67*IF(G46="S",5,IF(G46="A",4,IF(G46="B",3,IF(G46="C",2,IF(G46="D",1,0)))))+'02_의사결정·종합결과'!$B$68*IF(H46="S",5,IF(H46="A",4,IF(H46="B",3,IF(H46="C",2,IF(H46="D",1,0))))),IF(G46&lt;&gt;"",IF(G46="S",5,IF(G46="A",4,IF(G46="B",3,IF(G46="C",2,IF(G46="D",1,0))))),IF(H46&lt;&gt;"",IF(H46="S",5,IF(H46="A",4,IF(H46="B",3,IF(H46="C",2,IF(H46="D",1,0))))),""))),"")</f>
        <v>0</v>
      </c>
      <c r="J46" s="40" t="str">
        <f t="shared" ref="J46:J79" si="1">IF(I46="","",IF(I46&gt;=4.5,"S",IF(I46&gt;=3.5,"A",IF(I46&gt;=2.5,"B",IF(I46&gt;=1.5,"C","D")))))</f>
        <v>D</v>
      </c>
      <c r="K46" s="58"/>
      <c r="L46" s="58"/>
      <c r="M46" s="58"/>
      <c r="N46" s="58"/>
    </row>
    <row r="47" spans="1:14" ht="22.05" customHeight="1" x14ac:dyDescent="0.6">
      <c r="A47" s="25">
        <f>'01_인적정보'!A7</f>
        <v>2</v>
      </c>
      <c r="B47" s="25" t="str">
        <f>'01_인적정보'!B7</f>
        <v>BSS-002</v>
      </c>
      <c r="C47" s="5" t="str">
        <f>'01_인적정보'!C7</f>
        <v>강전용</v>
      </c>
      <c r="D47" s="5" t="str">
        <f>'01_인적정보'!E7</f>
        <v>연구개발(R&amp;D)</v>
      </c>
      <c r="E47" s="11" t="str">
        <f>'01_인적정보'!H7</f>
        <v>G6</v>
      </c>
      <c r="F47" s="14">
        <f>'01_인적정보'!L7</f>
        <v>0</v>
      </c>
      <c r="G47" s="13">
        <f>'07b_하반기입력'!K7</f>
        <v>0</v>
      </c>
      <c r="H47" s="13">
        <f>'07b_하반기입력'!L7</f>
        <v>0</v>
      </c>
      <c r="I47" s="39">
        <f>IFERROR(IF(AND(G47&lt;&gt;"",H47&lt;&gt;""),'02_의사결정·종합결과'!$B$67*IF(G47="S",5,IF(G47="A",4,IF(G47="B",3,IF(G47="C",2,IF(G47="D",1,0)))))+'02_의사결정·종합결과'!$B$68*IF(H47="S",5,IF(H47="A",4,IF(H47="B",3,IF(H47="C",2,IF(H47="D",1,0))))),IF(G47&lt;&gt;"",IF(G47="S",5,IF(G47="A",4,IF(G47="B",3,IF(G47="C",2,IF(G47="D",1,0))))),IF(H47&lt;&gt;"",IF(H47="S",5,IF(H47="A",4,IF(H47="B",3,IF(H47="C",2,IF(H47="D",1,0))))),""))),"")</f>
        <v>0</v>
      </c>
      <c r="J47" s="40" t="str">
        <f t="shared" si="1"/>
        <v>D</v>
      </c>
      <c r="K47" s="58"/>
      <c r="L47" s="58"/>
      <c r="M47" s="58"/>
      <c r="N47" s="58"/>
    </row>
    <row r="48" spans="1:14" ht="22.05" customHeight="1" x14ac:dyDescent="0.6">
      <c r="A48" s="25">
        <f>'01_인적정보'!A8</f>
        <v>3</v>
      </c>
      <c r="B48" s="25" t="str">
        <f>'01_인적정보'!B8</f>
        <v>BSS-003</v>
      </c>
      <c r="C48" s="5" t="str">
        <f>'01_인적정보'!C8</f>
        <v>김현민</v>
      </c>
      <c r="D48" s="5" t="str">
        <f>'01_인적정보'!E8</f>
        <v>BIM컨설팅</v>
      </c>
      <c r="E48" s="11" t="str">
        <f>'01_인적정보'!H8</f>
        <v>G6</v>
      </c>
      <c r="F48" s="14">
        <f>'01_인적정보'!L8</f>
        <v>0</v>
      </c>
      <c r="G48" s="13">
        <f>'07b_하반기입력'!K8</f>
        <v>0</v>
      </c>
      <c r="H48" s="13">
        <f>'07b_하반기입력'!L8</f>
        <v>0</v>
      </c>
      <c r="I48" s="39">
        <f>IFERROR(IF(AND(G48&lt;&gt;"",H48&lt;&gt;""),'02_의사결정·종합결과'!$B$67*IF(G48="S",5,IF(G48="A",4,IF(G48="B",3,IF(G48="C",2,IF(G48="D",1,0)))))+'02_의사결정·종합결과'!$B$68*IF(H48="S",5,IF(H48="A",4,IF(H48="B",3,IF(H48="C",2,IF(H48="D",1,0))))),IF(G48&lt;&gt;"",IF(G48="S",5,IF(G48="A",4,IF(G48="B",3,IF(G48="C",2,IF(G48="D",1,0))))),IF(H48&lt;&gt;"",IF(H48="S",5,IF(H48="A",4,IF(H48="B",3,IF(H48="C",2,IF(H48="D",1,0))))),""))),"")</f>
        <v>0</v>
      </c>
      <c r="J48" s="40" t="str">
        <f t="shared" si="1"/>
        <v>D</v>
      </c>
      <c r="K48" s="58"/>
      <c r="L48" s="58"/>
      <c r="M48" s="58"/>
      <c r="N48" s="58"/>
    </row>
    <row r="49" spans="1:14" ht="22.05" customHeight="1" x14ac:dyDescent="0.6">
      <c r="A49" s="25">
        <f>'01_인적정보'!A9</f>
        <v>4</v>
      </c>
      <c r="B49" s="25" t="str">
        <f>'01_인적정보'!B9</f>
        <v>BSS-004</v>
      </c>
      <c r="C49" s="5" t="str">
        <f>'01_인적정보'!C9</f>
        <v>이일곤</v>
      </c>
      <c r="D49" s="5" t="str">
        <f>'01_인적정보'!E9</f>
        <v>경영전략기획</v>
      </c>
      <c r="E49" s="11" t="str">
        <f>'01_인적정보'!H9</f>
        <v>G6</v>
      </c>
      <c r="F49" s="14">
        <f>'01_인적정보'!L9</f>
        <v>0</v>
      </c>
      <c r="G49" s="13">
        <f>'07b_하반기입력'!K9</f>
        <v>0</v>
      </c>
      <c r="H49" s="13">
        <f>'07b_하반기입력'!L9</f>
        <v>0</v>
      </c>
      <c r="I49" s="39">
        <f>IFERROR(IF(AND(G49&lt;&gt;"",H49&lt;&gt;""),'02_의사결정·종합결과'!$B$67*IF(G49="S",5,IF(G49="A",4,IF(G49="B",3,IF(G49="C",2,IF(G49="D",1,0)))))+'02_의사결정·종합결과'!$B$68*IF(H49="S",5,IF(H49="A",4,IF(H49="B",3,IF(H49="C",2,IF(H49="D",1,0))))),IF(G49&lt;&gt;"",IF(G49="S",5,IF(G49="A",4,IF(G49="B",3,IF(G49="C",2,IF(G49="D",1,0))))),IF(H49&lt;&gt;"",IF(H49="S",5,IF(H49="A",4,IF(H49="B",3,IF(H49="C",2,IF(H49="D",1,0))))),""))),"")</f>
        <v>0</v>
      </c>
      <c r="J49" s="40" t="str">
        <f t="shared" si="1"/>
        <v>D</v>
      </c>
      <c r="K49" s="58"/>
      <c r="L49" s="58"/>
      <c r="M49" s="58"/>
      <c r="N49" s="58"/>
    </row>
    <row r="50" spans="1:14" ht="22.05" customHeight="1" x14ac:dyDescent="0.6">
      <c r="A50" s="25">
        <f>'01_인적정보'!A10</f>
        <v>5</v>
      </c>
      <c r="B50" s="25" t="str">
        <f>'01_인적정보'!B10</f>
        <v>BSS-005</v>
      </c>
      <c r="C50" s="5" t="str">
        <f>'01_인적정보'!C10</f>
        <v>송헌영</v>
      </c>
      <c r="D50" s="5" t="str">
        <f>'01_인적정보'!E10</f>
        <v>경영전략기획</v>
      </c>
      <c r="E50" s="11" t="str">
        <f>'01_인적정보'!H10</f>
        <v>G6</v>
      </c>
      <c r="F50" s="14">
        <f>'01_인적정보'!L10</f>
        <v>0</v>
      </c>
      <c r="G50" s="13">
        <f>'07b_하반기입력'!K10</f>
        <v>0</v>
      </c>
      <c r="H50" s="13">
        <f>'07b_하반기입력'!L10</f>
        <v>0</v>
      </c>
      <c r="I50" s="39">
        <f>IFERROR(IF(AND(G50&lt;&gt;"",H50&lt;&gt;""),'02_의사결정·종합결과'!$B$67*IF(G50="S",5,IF(G50="A",4,IF(G50="B",3,IF(G50="C",2,IF(G50="D",1,0)))))+'02_의사결정·종합결과'!$B$68*IF(H50="S",5,IF(H50="A",4,IF(H50="B",3,IF(H50="C",2,IF(H50="D",1,0))))),IF(G50&lt;&gt;"",IF(G50="S",5,IF(G50="A",4,IF(G50="B",3,IF(G50="C",2,IF(G50="D",1,0))))),IF(H50&lt;&gt;"",IF(H50="S",5,IF(H50="A",4,IF(H50="B",3,IF(H50="C",2,IF(H50="D",1,0))))),""))),"")</f>
        <v>0</v>
      </c>
      <c r="J50" s="40" t="str">
        <f t="shared" si="1"/>
        <v>D</v>
      </c>
      <c r="K50" s="58"/>
      <c r="L50" s="58"/>
      <c r="M50" s="58"/>
      <c r="N50" s="58"/>
    </row>
    <row r="51" spans="1:14" ht="22.05" customHeight="1" x14ac:dyDescent="0.6">
      <c r="A51" s="25">
        <f>'01_인적정보'!A11</f>
        <v>6</v>
      </c>
      <c r="B51" s="25" t="str">
        <f>'01_인적정보'!B11</f>
        <v>BSS-006</v>
      </c>
      <c r="C51" s="5" t="str">
        <f>'01_인적정보'!C11</f>
        <v>이재용</v>
      </c>
      <c r="D51" s="5" t="str">
        <f>'01_인적정보'!E11</f>
        <v>경영전략기획</v>
      </c>
      <c r="E51" s="11" t="str">
        <f>'01_인적정보'!H11</f>
        <v>G6</v>
      </c>
      <c r="F51" s="14">
        <f>'01_인적정보'!L11</f>
        <v>0</v>
      </c>
      <c r="G51" s="13">
        <f>'07b_하반기입력'!K11</f>
        <v>0</v>
      </c>
      <c r="H51" s="13">
        <f>'07b_하반기입력'!L11</f>
        <v>0</v>
      </c>
      <c r="I51" s="39">
        <f>IFERROR(IF(AND(G51&lt;&gt;"",H51&lt;&gt;""),'02_의사결정·종합결과'!$B$67*IF(G51="S",5,IF(G51="A",4,IF(G51="B",3,IF(G51="C",2,IF(G51="D",1,0)))))+'02_의사결정·종합결과'!$B$68*IF(H51="S",5,IF(H51="A",4,IF(H51="B",3,IF(H51="C",2,IF(H51="D",1,0))))),IF(G51&lt;&gt;"",IF(G51="S",5,IF(G51="A",4,IF(G51="B",3,IF(G51="C",2,IF(G51="D",1,0))))),IF(H51&lt;&gt;"",IF(H51="S",5,IF(H51="A",4,IF(H51="B",3,IF(H51="C",2,IF(H51="D",1,0))))),""))),"")</f>
        <v>0</v>
      </c>
      <c r="J51" s="40" t="str">
        <f t="shared" si="1"/>
        <v>D</v>
      </c>
      <c r="K51" s="64"/>
      <c r="L51" s="58"/>
      <c r="M51" s="58"/>
      <c r="N51" s="58"/>
    </row>
    <row r="52" spans="1:14" ht="22.05" customHeight="1" x14ac:dyDescent="0.6">
      <c r="A52" s="25">
        <f>'01_인적정보'!A12</f>
        <v>7</v>
      </c>
      <c r="B52" s="25" t="str">
        <f>'01_인적정보'!B12</f>
        <v>BSS-007</v>
      </c>
      <c r="C52" s="5" t="str">
        <f>'01_인적정보'!C12</f>
        <v>이진행</v>
      </c>
      <c r="D52" s="5" t="str">
        <f>'01_인적정보'!E12</f>
        <v>교육</v>
      </c>
      <c r="E52" s="11" t="str">
        <f>'01_인적정보'!H12</f>
        <v>G5-M</v>
      </c>
      <c r="F52" s="14">
        <f>'01_인적정보'!L12</f>
        <v>0</v>
      </c>
      <c r="G52" s="13">
        <f>'07b_하반기입력'!K12</f>
        <v>0</v>
      </c>
      <c r="H52" s="13">
        <f>'07b_하반기입력'!L12</f>
        <v>0</v>
      </c>
      <c r="I52" s="39">
        <f>IFERROR(IF(AND(G52&lt;&gt;"",H52&lt;&gt;""),'02_의사결정·종합결과'!$B$67*IF(G52="S",5,IF(G52="A",4,IF(G52="B",3,IF(G52="C",2,IF(G52="D",1,0)))))+'02_의사결정·종합결과'!$B$68*IF(H52="S",5,IF(H52="A",4,IF(H52="B",3,IF(H52="C",2,IF(H52="D",1,0))))),IF(G52&lt;&gt;"",IF(G52="S",5,IF(G52="A",4,IF(G52="B",3,IF(G52="C",2,IF(G52="D",1,0))))),IF(H52&lt;&gt;"",IF(H52="S",5,IF(H52="A",4,IF(H52="B",3,IF(H52="C",2,IF(H52="D",1,0))))),""))),"")</f>
        <v>0</v>
      </c>
      <c r="J52" s="40" t="str">
        <f t="shared" si="1"/>
        <v>D</v>
      </c>
      <c r="K52" s="64"/>
      <c r="L52" s="58"/>
      <c r="M52" s="58"/>
      <c r="N52" s="58"/>
    </row>
    <row r="53" spans="1:14" ht="22.05" customHeight="1" x14ac:dyDescent="0.6">
      <c r="A53" s="25">
        <f>'01_인적정보'!A13</f>
        <v>8</v>
      </c>
      <c r="B53" s="25" t="str">
        <f>'01_인적정보'!B13</f>
        <v>BSS-008</v>
      </c>
      <c r="C53" s="5" t="str">
        <f>'01_인적정보'!C13</f>
        <v>김민수</v>
      </c>
      <c r="D53" s="5" t="str">
        <f>'01_인적정보'!E13</f>
        <v>기술지원</v>
      </c>
      <c r="E53" s="11" t="str">
        <f>'01_인적정보'!H13</f>
        <v>G5-M</v>
      </c>
      <c r="F53" s="14">
        <f>'01_인적정보'!L13</f>
        <v>0</v>
      </c>
      <c r="G53" s="13">
        <f>'07b_하반기입력'!K13</f>
        <v>0</v>
      </c>
      <c r="H53" s="13">
        <f>'07b_하반기입력'!L13</f>
        <v>0</v>
      </c>
      <c r="I53" s="39">
        <f>IFERROR(IF(AND(G53&lt;&gt;"",H53&lt;&gt;""),'02_의사결정·종합결과'!$B$67*IF(G53="S",5,IF(G53="A",4,IF(G53="B",3,IF(G53="C",2,IF(G53="D",1,0)))))+'02_의사결정·종합결과'!$B$68*IF(H53="S",5,IF(H53="A",4,IF(H53="B",3,IF(H53="C",2,IF(H53="D",1,0))))),IF(G53&lt;&gt;"",IF(G53="S",5,IF(G53="A",4,IF(G53="B",3,IF(G53="C",2,IF(G53="D",1,0))))),IF(H53&lt;&gt;"",IF(H53="S",5,IF(H53="A",4,IF(H53="B",3,IF(H53="C",2,IF(H53="D",1,0))))),""))),"")</f>
        <v>0</v>
      </c>
      <c r="J53" s="40" t="str">
        <f t="shared" si="1"/>
        <v>D</v>
      </c>
      <c r="K53" s="64"/>
      <c r="L53" s="58"/>
      <c r="M53" s="58"/>
      <c r="N53" s="58"/>
    </row>
    <row r="54" spans="1:14" ht="22.05" customHeight="1" x14ac:dyDescent="0.6">
      <c r="A54" s="25">
        <f>'01_인적정보'!A14</f>
        <v>9</v>
      </c>
      <c r="B54" s="25" t="str">
        <f>'01_인적정보'!B14</f>
        <v>BSS-009</v>
      </c>
      <c r="C54" s="5" t="str">
        <f>'01_인적정보'!C14</f>
        <v>박남식</v>
      </c>
      <c r="D54" s="5" t="str">
        <f>'01_인적정보'!E14</f>
        <v>BIM컨설팅</v>
      </c>
      <c r="E54" s="11" t="str">
        <f>'01_인적정보'!H14</f>
        <v>G5-M</v>
      </c>
      <c r="F54" s="14">
        <f>'01_인적정보'!L14</f>
        <v>0</v>
      </c>
      <c r="G54" s="13">
        <f>'07b_하반기입력'!K14</f>
        <v>0</v>
      </c>
      <c r="H54" s="13">
        <f>'07b_하반기입력'!L14</f>
        <v>0</v>
      </c>
      <c r="I54" s="39">
        <f>IFERROR(IF(AND(G54&lt;&gt;"",H54&lt;&gt;""),'02_의사결정·종합결과'!$B$67*IF(G54="S",5,IF(G54="A",4,IF(G54="B",3,IF(G54="C",2,IF(G54="D",1,0)))))+'02_의사결정·종합결과'!$B$68*IF(H54="S",5,IF(H54="A",4,IF(H54="B",3,IF(H54="C",2,IF(H54="D",1,0))))),IF(G54&lt;&gt;"",IF(G54="S",5,IF(G54="A",4,IF(G54="B",3,IF(G54="C",2,IF(G54="D",1,0))))),IF(H54&lt;&gt;"",IF(H54="S",5,IF(H54="A",4,IF(H54="B",3,IF(H54="C",2,IF(H54="D",1,0))))),""))),"")</f>
        <v>0</v>
      </c>
      <c r="J54" s="40" t="str">
        <f t="shared" si="1"/>
        <v>D</v>
      </c>
      <c r="K54" s="64"/>
      <c r="L54" s="58"/>
      <c r="M54" s="58"/>
      <c r="N54" s="58"/>
    </row>
    <row r="55" spans="1:14" ht="22.05" customHeight="1" x14ac:dyDescent="0.6">
      <c r="A55" s="25">
        <f>'01_인적정보'!A15</f>
        <v>10</v>
      </c>
      <c r="B55" s="25" t="str">
        <f>'01_인적정보'!B15</f>
        <v>BSS-010</v>
      </c>
      <c r="C55" s="5" t="str">
        <f>'01_인적정보'!C15</f>
        <v>신재민</v>
      </c>
      <c r="D55" s="5" t="str">
        <f>'01_인적정보'!E15</f>
        <v>BIM컨설팅</v>
      </c>
      <c r="E55" s="11" t="str">
        <f>'01_인적정보'!H15</f>
        <v>G5-S</v>
      </c>
      <c r="F55" s="14">
        <f>'01_인적정보'!L15</f>
        <v>0</v>
      </c>
      <c r="G55" s="13">
        <f>'07b_하반기입력'!K15</f>
        <v>0</v>
      </c>
      <c r="H55" s="13">
        <f>'07b_하반기입력'!L15</f>
        <v>0</v>
      </c>
      <c r="I55" s="39">
        <f>IFERROR(IF(AND(G55&lt;&gt;"",H55&lt;&gt;""),'02_의사결정·종합결과'!$B$67*IF(G55="S",5,IF(G55="A",4,IF(G55="B",3,IF(G55="C",2,IF(G55="D",1,0)))))+'02_의사결정·종합결과'!$B$68*IF(H55="S",5,IF(H55="A",4,IF(H55="B",3,IF(H55="C",2,IF(H55="D",1,0))))),IF(G55&lt;&gt;"",IF(G55="S",5,IF(G55="A",4,IF(G55="B",3,IF(G55="C",2,IF(G55="D",1,0))))),IF(H55&lt;&gt;"",IF(H55="S",5,IF(H55="A",4,IF(H55="B",3,IF(H55="C",2,IF(H55="D",1,0))))),""))),"")</f>
        <v>0</v>
      </c>
      <c r="J55" s="40" t="str">
        <f t="shared" si="1"/>
        <v>D</v>
      </c>
      <c r="K55" s="64"/>
      <c r="L55" s="58"/>
      <c r="M55" s="58"/>
      <c r="N55" s="58"/>
    </row>
    <row r="56" spans="1:14" ht="22.05" customHeight="1" x14ac:dyDescent="0.6">
      <c r="A56" s="25">
        <f>'01_인적정보'!A16</f>
        <v>11</v>
      </c>
      <c r="B56" s="25" t="str">
        <f>'01_인적정보'!B16</f>
        <v>BSS-011</v>
      </c>
      <c r="C56" s="5" t="str">
        <f>'01_인적정보'!C16</f>
        <v>마장엽</v>
      </c>
      <c r="D56" s="5" t="str">
        <f>'01_인적정보'!E16</f>
        <v>BIM컨설팅</v>
      </c>
      <c r="E56" s="11" t="str">
        <f>'01_인적정보'!H16</f>
        <v>G5-S</v>
      </c>
      <c r="F56" s="14">
        <f>'01_인적정보'!L16</f>
        <v>0</v>
      </c>
      <c r="G56" s="13">
        <f>'07b_하반기입력'!K16</f>
        <v>0</v>
      </c>
      <c r="H56" s="13">
        <f>'07b_하반기입력'!L16</f>
        <v>0</v>
      </c>
      <c r="I56" s="39">
        <f>IFERROR(IF(AND(G56&lt;&gt;"",H56&lt;&gt;""),'02_의사결정·종합결과'!$B$67*IF(G56="S",5,IF(G56="A",4,IF(G56="B",3,IF(G56="C",2,IF(G56="D",1,0)))))+'02_의사결정·종합결과'!$B$68*IF(H56="S",5,IF(H56="A",4,IF(H56="B",3,IF(H56="C",2,IF(H56="D",1,0))))),IF(G56&lt;&gt;"",IF(G56="S",5,IF(G56="A",4,IF(G56="B",3,IF(G56="C",2,IF(G56="D",1,0))))),IF(H56&lt;&gt;"",IF(H56="S",5,IF(H56="A",4,IF(H56="B",3,IF(H56="C",2,IF(H56="D",1,0))))),""))),"")</f>
        <v>0</v>
      </c>
      <c r="J56" s="40" t="str">
        <f t="shared" si="1"/>
        <v>D</v>
      </c>
      <c r="K56" s="64"/>
      <c r="L56" s="58"/>
      <c r="M56" s="58"/>
      <c r="N56" s="58"/>
    </row>
    <row r="57" spans="1:14" ht="22.05" customHeight="1" x14ac:dyDescent="0.6">
      <c r="A57" s="25">
        <f>'01_인적정보'!A17</f>
        <v>12</v>
      </c>
      <c r="B57" s="25" t="str">
        <f>'01_인적정보'!B17</f>
        <v>BSS-012</v>
      </c>
      <c r="C57" s="5" t="str">
        <f>'01_인적정보'!C17</f>
        <v>하은주</v>
      </c>
      <c r="D57" s="5" t="str">
        <f>'01_인적정보'!E17</f>
        <v>경영전략기획</v>
      </c>
      <c r="E57" s="11" t="str">
        <f>'01_인적정보'!H17</f>
        <v>G5-M</v>
      </c>
      <c r="F57" s="14">
        <f>'01_인적정보'!L17</f>
        <v>0</v>
      </c>
      <c r="G57" s="13">
        <f>'07b_하반기입력'!K17</f>
        <v>0</v>
      </c>
      <c r="H57" s="13">
        <f>'07b_하반기입력'!L17</f>
        <v>0</v>
      </c>
      <c r="I57" s="39">
        <f>IFERROR(IF(AND(G57&lt;&gt;"",H57&lt;&gt;""),'02_의사결정·종합결과'!$B$67*IF(G57="S",5,IF(G57="A",4,IF(G57="B",3,IF(G57="C",2,IF(G57="D",1,0)))))+'02_의사결정·종합결과'!$B$68*IF(H57="S",5,IF(H57="A",4,IF(H57="B",3,IF(H57="C",2,IF(H57="D",1,0))))),IF(G57&lt;&gt;"",IF(G57="S",5,IF(G57="A",4,IF(G57="B",3,IF(G57="C",2,IF(G57="D",1,0))))),IF(H57&lt;&gt;"",IF(H57="S",5,IF(H57="A",4,IF(H57="B",3,IF(H57="C",2,IF(H57="D",1,0))))),""))),"")</f>
        <v>0</v>
      </c>
      <c r="J57" s="40" t="str">
        <f t="shared" si="1"/>
        <v>D</v>
      </c>
      <c r="K57" s="64"/>
      <c r="L57" s="58"/>
      <c r="M57" s="58"/>
      <c r="N57" s="58"/>
    </row>
    <row r="58" spans="1:14" ht="22.05" customHeight="1" x14ac:dyDescent="0.6">
      <c r="A58" s="25">
        <f>'01_인적정보'!A18</f>
        <v>13</v>
      </c>
      <c r="B58" s="25" t="str">
        <f>'01_인적정보'!B18</f>
        <v>BSS-013</v>
      </c>
      <c r="C58" s="5" t="str">
        <f>'01_인적정보'!C18</f>
        <v>홍사훈</v>
      </c>
      <c r="D58" s="5" t="str">
        <f>'01_인적정보'!E18</f>
        <v>BIM컨설팅</v>
      </c>
      <c r="E58" s="11" t="str">
        <f>'01_인적정보'!H18</f>
        <v>G5-S</v>
      </c>
      <c r="F58" s="14">
        <f>'01_인적정보'!L18</f>
        <v>0</v>
      </c>
      <c r="G58" s="13">
        <f>'07b_하반기입력'!K18</f>
        <v>0</v>
      </c>
      <c r="H58" s="13">
        <f>'07b_하반기입력'!L18</f>
        <v>0</v>
      </c>
      <c r="I58" s="39">
        <f>IFERROR(IF(AND(G58&lt;&gt;"",H58&lt;&gt;""),'02_의사결정·종합결과'!$B$67*IF(G58="S",5,IF(G58="A",4,IF(G58="B",3,IF(G58="C",2,IF(G58="D",1,0)))))+'02_의사결정·종합결과'!$B$68*IF(H58="S",5,IF(H58="A",4,IF(H58="B",3,IF(H58="C",2,IF(H58="D",1,0))))),IF(G58&lt;&gt;"",IF(G58="S",5,IF(G58="A",4,IF(G58="B",3,IF(G58="C",2,IF(G58="D",1,0))))),IF(H58&lt;&gt;"",IF(H58="S",5,IF(H58="A",4,IF(H58="B",3,IF(H58="C",2,IF(H58="D",1,0))))),""))),"")</f>
        <v>0</v>
      </c>
      <c r="J58" s="40" t="str">
        <f t="shared" si="1"/>
        <v>D</v>
      </c>
      <c r="K58" s="64"/>
      <c r="L58" s="58"/>
      <c r="M58" s="58"/>
      <c r="N58" s="58"/>
    </row>
    <row r="59" spans="1:14" ht="22.05" customHeight="1" x14ac:dyDescent="0.6">
      <c r="A59" s="25">
        <f>'01_인적정보'!A19</f>
        <v>14</v>
      </c>
      <c r="B59" s="25" t="str">
        <f>'01_인적정보'!B19</f>
        <v>BSS-014</v>
      </c>
      <c r="C59" s="5" t="str">
        <f>'01_인적정보'!C19</f>
        <v>유자영</v>
      </c>
      <c r="D59" s="5" t="str">
        <f>'01_인적정보'!E19</f>
        <v>BIM컨설팅</v>
      </c>
      <c r="E59" s="11" t="str">
        <f>'01_인적정보'!H19</f>
        <v>G5-S</v>
      </c>
      <c r="F59" s="14">
        <f>'01_인적정보'!L19</f>
        <v>0</v>
      </c>
      <c r="G59" s="13">
        <f>'07b_하반기입력'!K19</f>
        <v>0</v>
      </c>
      <c r="H59" s="13">
        <f>'07b_하반기입력'!L19</f>
        <v>0</v>
      </c>
      <c r="I59" s="39">
        <f>IFERROR(IF(AND(G59&lt;&gt;"",H59&lt;&gt;""),'02_의사결정·종합결과'!$B$67*IF(G59="S",5,IF(G59="A",4,IF(G59="B",3,IF(G59="C",2,IF(G59="D",1,0)))))+'02_의사결정·종합결과'!$B$68*IF(H59="S",5,IF(H59="A",4,IF(H59="B",3,IF(H59="C",2,IF(H59="D",1,0))))),IF(G59&lt;&gt;"",IF(G59="S",5,IF(G59="A",4,IF(G59="B",3,IF(G59="C",2,IF(G59="D",1,0))))),IF(H59&lt;&gt;"",IF(H59="S",5,IF(H59="A",4,IF(H59="B",3,IF(H59="C",2,IF(H59="D",1,0))))),""))),"")</f>
        <v>0</v>
      </c>
      <c r="J59" s="40" t="str">
        <f t="shared" si="1"/>
        <v>D</v>
      </c>
      <c r="K59" s="64"/>
      <c r="L59" s="58"/>
      <c r="M59" s="58"/>
      <c r="N59" s="58"/>
    </row>
    <row r="60" spans="1:14" ht="22.05" customHeight="1" x14ac:dyDescent="0.6">
      <c r="A60" s="25">
        <f>'01_인적정보'!A20</f>
        <v>15</v>
      </c>
      <c r="B60" s="25" t="str">
        <f>'01_인적정보'!B20</f>
        <v>BSS-015</v>
      </c>
      <c r="C60" s="5" t="str">
        <f>'01_인적정보'!C20</f>
        <v>민지선</v>
      </c>
      <c r="D60" s="5" t="str">
        <f>'01_인적정보'!E20</f>
        <v>BIM컨설팅</v>
      </c>
      <c r="E60" s="11" t="str">
        <f>'01_인적정보'!H20</f>
        <v>G5-S</v>
      </c>
      <c r="F60" s="14">
        <f>'01_인적정보'!L20</f>
        <v>0</v>
      </c>
      <c r="G60" s="13">
        <f>'07b_하반기입력'!K20</f>
        <v>0</v>
      </c>
      <c r="H60" s="13">
        <f>'07b_하반기입력'!L20</f>
        <v>0</v>
      </c>
      <c r="I60" s="39">
        <f>IFERROR(IF(AND(G60&lt;&gt;"",H60&lt;&gt;""),'02_의사결정·종합결과'!$B$67*IF(G60="S",5,IF(G60="A",4,IF(G60="B",3,IF(G60="C",2,IF(G60="D",1,0)))))+'02_의사결정·종합결과'!$B$68*IF(H60="S",5,IF(H60="A",4,IF(H60="B",3,IF(H60="C",2,IF(H60="D",1,0))))),IF(G60&lt;&gt;"",IF(G60="S",5,IF(G60="A",4,IF(G60="B",3,IF(G60="C",2,IF(G60="D",1,0))))),IF(H60&lt;&gt;"",IF(H60="S",5,IF(H60="A",4,IF(H60="B",3,IF(H60="C",2,IF(H60="D",1,0))))),""))),"")</f>
        <v>0</v>
      </c>
      <c r="J60" s="40" t="str">
        <f t="shared" si="1"/>
        <v>D</v>
      </c>
      <c r="K60" s="64"/>
      <c r="L60" s="58"/>
      <c r="M60" s="58"/>
      <c r="N60" s="58"/>
    </row>
    <row r="61" spans="1:14" ht="22.05" customHeight="1" x14ac:dyDescent="0.6">
      <c r="A61" s="25">
        <f>'01_인적정보'!A21</f>
        <v>16</v>
      </c>
      <c r="B61" s="25" t="str">
        <f>'01_인적정보'!B21</f>
        <v>BSS-016</v>
      </c>
      <c r="C61" s="5" t="str">
        <f>'01_인적정보'!C21</f>
        <v>장훈</v>
      </c>
      <c r="D61" s="5" t="str">
        <f>'01_인적정보'!E21</f>
        <v>BIM컨설팅</v>
      </c>
      <c r="E61" s="11" t="str">
        <f>'01_인적정보'!H21</f>
        <v>G5-S</v>
      </c>
      <c r="F61" s="14">
        <f>'01_인적정보'!L21</f>
        <v>0</v>
      </c>
      <c r="G61" s="13">
        <f>'07b_하반기입력'!K21</f>
        <v>0</v>
      </c>
      <c r="H61" s="13">
        <f>'07b_하반기입력'!L21</f>
        <v>0</v>
      </c>
      <c r="I61" s="39">
        <f>IFERROR(IF(AND(G61&lt;&gt;"",H61&lt;&gt;""),'02_의사결정·종합결과'!$B$67*IF(G61="S",5,IF(G61="A",4,IF(G61="B",3,IF(G61="C",2,IF(G61="D",1,0)))))+'02_의사결정·종합결과'!$B$68*IF(H61="S",5,IF(H61="A",4,IF(H61="B",3,IF(H61="C",2,IF(H61="D",1,0))))),IF(G61&lt;&gt;"",IF(G61="S",5,IF(G61="A",4,IF(G61="B",3,IF(G61="C",2,IF(G61="D",1,0))))),IF(H61&lt;&gt;"",IF(H61="S",5,IF(H61="A",4,IF(H61="B",3,IF(H61="C",2,IF(H61="D",1,0))))),""))),"")</f>
        <v>0</v>
      </c>
      <c r="J61" s="40" t="str">
        <f t="shared" si="1"/>
        <v>D</v>
      </c>
      <c r="K61" s="64"/>
      <c r="L61" s="58"/>
      <c r="M61" s="58"/>
      <c r="N61" s="58"/>
    </row>
    <row r="62" spans="1:14" ht="22.05" customHeight="1" x14ac:dyDescent="0.6">
      <c r="A62" s="25">
        <f>'01_인적정보'!A22</f>
        <v>17</v>
      </c>
      <c r="B62" s="25" t="str">
        <f>'01_인적정보'!B22</f>
        <v>BSS-017</v>
      </c>
      <c r="C62" s="5" t="str">
        <f>'01_인적정보'!C22</f>
        <v>김우람</v>
      </c>
      <c r="D62" s="5" t="str">
        <f>'01_인적정보'!E22</f>
        <v>교육</v>
      </c>
      <c r="E62" s="11" t="str">
        <f>'01_인적정보'!H22</f>
        <v>G4</v>
      </c>
      <c r="F62" s="14">
        <f>'01_인적정보'!L22</f>
        <v>0</v>
      </c>
      <c r="G62" s="13">
        <f>'07b_하반기입력'!K22</f>
        <v>0</v>
      </c>
      <c r="H62" s="13">
        <f>'07b_하반기입력'!L22</f>
        <v>0</v>
      </c>
      <c r="I62" s="39">
        <f>IFERROR(IF(AND(G62&lt;&gt;"",H62&lt;&gt;""),'02_의사결정·종합결과'!$B$67*IF(G62="S",5,IF(G62="A",4,IF(G62="B",3,IF(G62="C",2,IF(G62="D",1,0)))))+'02_의사결정·종합결과'!$B$68*IF(H62="S",5,IF(H62="A",4,IF(H62="B",3,IF(H62="C",2,IF(H62="D",1,0))))),IF(G62&lt;&gt;"",IF(G62="S",5,IF(G62="A",4,IF(G62="B",3,IF(G62="C",2,IF(G62="D",1,0))))),IF(H62&lt;&gt;"",IF(H62="S",5,IF(H62="A",4,IF(H62="B",3,IF(H62="C",2,IF(H62="D",1,0))))),""))),"")</f>
        <v>0</v>
      </c>
      <c r="J62" s="40" t="str">
        <f t="shared" si="1"/>
        <v>D</v>
      </c>
      <c r="K62" s="64"/>
      <c r="L62" s="58"/>
      <c r="M62" s="58"/>
      <c r="N62" s="58"/>
    </row>
    <row r="63" spans="1:14" ht="22.05" customHeight="1" x14ac:dyDescent="0.6">
      <c r="A63" s="25">
        <f>'01_인적정보'!A23</f>
        <v>18</v>
      </c>
      <c r="B63" s="25" t="str">
        <f>'01_인적정보'!B23</f>
        <v>BSS-018</v>
      </c>
      <c r="C63" s="5" t="str">
        <f>'01_인적정보'!C23</f>
        <v>조성준</v>
      </c>
      <c r="D63" s="5" t="str">
        <f>'01_인적정보'!E23</f>
        <v>BIM컨설팅</v>
      </c>
      <c r="E63" s="11" t="str">
        <f>'01_인적정보'!H23</f>
        <v>G4</v>
      </c>
      <c r="F63" s="14">
        <f>'01_인적정보'!L23</f>
        <v>0</v>
      </c>
      <c r="G63" s="13">
        <f>'07b_하반기입력'!K23</f>
        <v>0</v>
      </c>
      <c r="H63" s="13">
        <f>'07b_하반기입력'!L23</f>
        <v>0</v>
      </c>
      <c r="I63" s="39">
        <f>IFERROR(IF(AND(G63&lt;&gt;"",H63&lt;&gt;""),'02_의사결정·종합결과'!$B$67*IF(G63="S",5,IF(G63="A",4,IF(G63="B",3,IF(G63="C",2,IF(G63="D",1,0)))))+'02_의사결정·종합결과'!$B$68*IF(H63="S",5,IF(H63="A",4,IF(H63="B",3,IF(H63="C",2,IF(H63="D",1,0))))),IF(G63&lt;&gt;"",IF(G63="S",5,IF(G63="A",4,IF(G63="B",3,IF(G63="C",2,IF(G63="D",1,0))))),IF(H63&lt;&gt;"",IF(H63="S",5,IF(H63="A",4,IF(H63="B",3,IF(H63="C",2,IF(H63="D",1,0))))),""))),"")</f>
        <v>0</v>
      </c>
      <c r="J63" s="40" t="str">
        <f t="shared" si="1"/>
        <v>D</v>
      </c>
      <c r="K63" s="64"/>
      <c r="L63" s="58"/>
      <c r="M63" s="58"/>
      <c r="N63" s="58"/>
    </row>
    <row r="64" spans="1:14" ht="22.05" customHeight="1" x14ac:dyDescent="0.6">
      <c r="A64" s="25">
        <f>'01_인적정보'!A24</f>
        <v>19</v>
      </c>
      <c r="B64" s="25" t="str">
        <f>'01_인적정보'!B24</f>
        <v>BSS-019</v>
      </c>
      <c r="C64" s="5" t="str">
        <f>'01_인적정보'!C24</f>
        <v>구서현</v>
      </c>
      <c r="D64" s="5" t="str">
        <f>'01_인적정보'!E24</f>
        <v>BIM컨설팅</v>
      </c>
      <c r="E64" s="11" t="str">
        <f>'01_인적정보'!H24</f>
        <v>G3</v>
      </c>
      <c r="F64" s="14">
        <f>'01_인적정보'!L24</f>
        <v>0</v>
      </c>
      <c r="G64" s="13">
        <f>'07b_하반기입력'!K24</f>
        <v>0</v>
      </c>
      <c r="H64" s="13">
        <f>'07b_하반기입력'!L24</f>
        <v>0</v>
      </c>
      <c r="I64" s="39">
        <f>IFERROR(IF(AND(G64&lt;&gt;"",H64&lt;&gt;""),'02_의사결정·종합결과'!$B$67*IF(G64="S",5,IF(G64="A",4,IF(G64="B",3,IF(G64="C",2,IF(G64="D",1,0)))))+'02_의사결정·종합결과'!$B$68*IF(H64="S",5,IF(H64="A",4,IF(H64="B",3,IF(H64="C",2,IF(H64="D",1,0))))),IF(G64&lt;&gt;"",IF(G64="S",5,IF(G64="A",4,IF(G64="B",3,IF(G64="C",2,IF(G64="D",1,0))))),IF(H64&lt;&gt;"",IF(H64="S",5,IF(H64="A",4,IF(H64="B",3,IF(H64="C",2,IF(H64="D",1,0))))),""))),"")</f>
        <v>0</v>
      </c>
      <c r="J64" s="40" t="str">
        <f t="shared" si="1"/>
        <v>D</v>
      </c>
      <c r="K64" s="64"/>
      <c r="L64" s="58"/>
      <c r="M64" s="58"/>
      <c r="N64" s="58"/>
    </row>
    <row r="65" spans="1:14" ht="22.05" customHeight="1" x14ac:dyDescent="0.6">
      <c r="A65" s="25">
        <f>'01_인적정보'!A25</f>
        <v>20</v>
      </c>
      <c r="B65" s="25" t="str">
        <f>'01_인적정보'!B25</f>
        <v>BSS-020</v>
      </c>
      <c r="C65" s="5" t="str">
        <f>'01_인적정보'!C25</f>
        <v>박진용</v>
      </c>
      <c r="D65" s="5" t="str">
        <f>'01_인적정보'!E25</f>
        <v>기술지원</v>
      </c>
      <c r="E65" s="11" t="str">
        <f>'01_인적정보'!H25</f>
        <v>G3</v>
      </c>
      <c r="F65" s="14">
        <f>'01_인적정보'!L25</f>
        <v>0</v>
      </c>
      <c r="G65" s="13">
        <f>'07b_하반기입력'!K25</f>
        <v>0</v>
      </c>
      <c r="H65" s="13">
        <f>'07b_하반기입력'!L25</f>
        <v>0</v>
      </c>
      <c r="I65" s="39">
        <f>IFERROR(IF(AND(G65&lt;&gt;"",H65&lt;&gt;""),'02_의사결정·종합결과'!$B$67*IF(G65="S",5,IF(G65="A",4,IF(G65="B",3,IF(G65="C",2,IF(G65="D",1,0)))))+'02_의사결정·종합결과'!$B$68*IF(H65="S",5,IF(H65="A",4,IF(H65="B",3,IF(H65="C",2,IF(H65="D",1,0))))),IF(G65&lt;&gt;"",IF(G65="S",5,IF(G65="A",4,IF(G65="B",3,IF(G65="C",2,IF(G65="D",1,0))))),IF(H65&lt;&gt;"",IF(H65="S",5,IF(H65="A",4,IF(H65="B",3,IF(H65="C",2,IF(H65="D",1,0))))),""))),"")</f>
        <v>0</v>
      </c>
      <c r="J65" s="40" t="str">
        <f t="shared" si="1"/>
        <v>D</v>
      </c>
      <c r="K65" s="64"/>
      <c r="L65" s="58"/>
      <c r="M65" s="58"/>
      <c r="N65" s="58"/>
    </row>
    <row r="66" spans="1:14" ht="22.05" customHeight="1" x14ac:dyDescent="0.6">
      <c r="A66" s="25">
        <f>'01_인적정보'!A26</f>
        <v>21</v>
      </c>
      <c r="B66" s="25" t="str">
        <f>'01_인적정보'!B26</f>
        <v>BSS-021</v>
      </c>
      <c r="C66" s="5" t="str">
        <f>'01_인적정보'!C26</f>
        <v>김가연</v>
      </c>
      <c r="D66" s="5" t="str">
        <f>'01_인적정보'!E26</f>
        <v>BIM컨설팅</v>
      </c>
      <c r="E66" s="11" t="str">
        <f>'01_인적정보'!H26</f>
        <v>G2</v>
      </c>
      <c r="F66" s="14">
        <f>'01_인적정보'!L26</f>
        <v>0</v>
      </c>
      <c r="G66" s="13">
        <f>'07b_하반기입력'!K26</f>
        <v>0</v>
      </c>
      <c r="H66" s="13">
        <f>'07b_하반기입력'!L26</f>
        <v>0</v>
      </c>
      <c r="I66" s="39">
        <f>IFERROR(IF(AND(G66&lt;&gt;"",H66&lt;&gt;""),'02_의사결정·종합결과'!$B$67*IF(G66="S",5,IF(G66="A",4,IF(G66="B",3,IF(G66="C",2,IF(G66="D",1,0)))))+'02_의사결정·종합결과'!$B$68*IF(H66="S",5,IF(H66="A",4,IF(H66="B",3,IF(H66="C",2,IF(H66="D",1,0))))),IF(G66&lt;&gt;"",IF(G66="S",5,IF(G66="A",4,IF(G66="B",3,IF(G66="C",2,IF(G66="D",1,0))))),IF(H66&lt;&gt;"",IF(H66="S",5,IF(H66="A",4,IF(H66="B",3,IF(H66="C",2,IF(H66="D",1,0))))),""))),"")</f>
        <v>0</v>
      </c>
      <c r="J66" s="40" t="str">
        <f t="shared" si="1"/>
        <v>D</v>
      </c>
      <c r="K66" s="64"/>
      <c r="L66" s="58"/>
      <c r="M66" s="58"/>
      <c r="N66" s="58"/>
    </row>
    <row r="67" spans="1:14" ht="22.05" customHeight="1" x14ac:dyDescent="0.6">
      <c r="A67" s="25">
        <f>'01_인적정보'!A27</f>
        <v>22</v>
      </c>
      <c r="B67" s="25" t="str">
        <f>'01_인적정보'!B27</f>
        <v>BSS-022</v>
      </c>
      <c r="C67" s="5" t="str">
        <f>'01_인적정보'!C27</f>
        <v>한근수</v>
      </c>
      <c r="D67" s="5" t="str">
        <f>'01_인적정보'!E27</f>
        <v>BIM컨설팅</v>
      </c>
      <c r="E67" s="11" t="str">
        <f>'01_인적정보'!H27</f>
        <v>G2</v>
      </c>
      <c r="F67" s="14">
        <f>'01_인적정보'!L27</f>
        <v>0</v>
      </c>
      <c r="G67" s="13">
        <f>'07b_하반기입력'!K27</f>
        <v>0</v>
      </c>
      <c r="H67" s="13">
        <f>'07b_하반기입력'!L27</f>
        <v>0</v>
      </c>
      <c r="I67" s="39">
        <f>IFERROR(IF(AND(G67&lt;&gt;"",H67&lt;&gt;""),'02_의사결정·종합결과'!$B$67*IF(G67="S",5,IF(G67="A",4,IF(G67="B",3,IF(G67="C",2,IF(G67="D",1,0)))))+'02_의사결정·종합결과'!$B$68*IF(H67="S",5,IF(H67="A",4,IF(H67="B",3,IF(H67="C",2,IF(H67="D",1,0))))),IF(G67&lt;&gt;"",IF(G67="S",5,IF(G67="A",4,IF(G67="B",3,IF(G67="C",2,IF(G67="D",1,0))))),IF(H67&lt;&gt;"",IF(H67="S",5,IF(H67="A",4,IF(H67="B",3,IF(H67="C",2,IF(H67="D",1,0))))),""))),"")</f>
        <v>0</v>
      </c>
      <c r="J67" s="40" t="str">
        <f t="shared" si="1"/>
        <v>D</v>
      </c>
      <c r="K67" s="64"/>
      <c r="L67" s="58"/>
      <c r="M67" s="58"/>
      <c r="N67" s="58"/>
    </row>
    <row r="68" spans="1:14" ht="22.05" customHeight="1" x14ac:dyDescent="0.6">
      <c r="A68" s="25">
        <f>'01_인적정보'!A28</f>
        <v>23</v>
      </c>
      <c r="B68" s="25" t="str">
        <f>'01_인적정보'!B28</f>
        <v>BSS-023</v>
      </c>
      <c r="C68" s="5" t="str">
        <f>'01_인적정보'!C28</f>
        <v>김성민</v>
      </c>
      <c r="D68" s="5" t="str">
        <f>'01_인적정보'!E28</f>
        <v>BIM컨설팅</v>
      </c>
      <c r="E68" s="11" t="str">
        <f>'01_인적정보'!H28</f>
        <v>G2</v>
      </c>
      <c r="F68" s="14">
        <f>'01_인적정보'!L28</f>
        <v>0</v>
      </c>
      <c r="G68" s="13">
        <f>'07b_하반기입력'!K28</f>
        <v>0</v>
      </c>
      <c r="H68" s="13">
        <f>'07b_하반기입력'!L28</f>
        <v>0</v>
      </c>
      <c r="I68" s="39">
        <f>IFERROR(IF(AND(G68&lt;&gt;"",H68&lt;&gt;""),'02_의사결정·종합결과'!$B$67*IF(G68="S",5,IF(G68="A",4,IF(G68="B",3,IF(G68="C",2,IF(G68="D",1,0)))))+'02_의사결정·종합결과'!$B$68*IF(H68="S",5,IF(H68="A",4,IF(H68="B",3,IF(H68="C",2,IF(H68="D",1,0))))),IF(G68&lt;&gt;"",IF(G68="S",5,IF(G68="A",4,IF(G68="B",3,IF(G68="C",2,IF(G68="D",1,0))))),IF(H68&lt;&gt;"",IF(H68="S",5,IF(H68="A",4,IF(H68="B",3,IF(H68="C",2,IF(H68="D",1,0))))),""))),"")</f>
        <v>0</v>
      </c>
      <c r="J68" s="40" t="str">
        <f t="shared" si="1"/>
        <v>D</v>
      </c>
      <c r="K68" s="64"/>
      <c r="L68" s="58"/>
      <c r="M68" s="58"/>
      <c r="N68" s="58"/>
    </row>
    <row r="69" spans="1:14" ht="22.05" customHeight="1" x14ac:dyDescent="0.6">
      <c r="A69" s="25">
        <f>'01_인적정보'!A29</f>
        <v>24</v>
      </c>
      <c r="B69" s="25" t="str">
        <f>'01_인적정보'!B29</f>
        <v>BSS-024</v>
      </c>
      <c r="C69" s="5" t="str">
        <f>'01_인적정보'!C29</f>
        <v>고광우</v>
      </c>
      <c r="D69" s="5" t="str">
        <f>'01_인적정보'!E29</f>
        <v>BIM컨설팅</v>
      </c>
      <c r="E69" s="11" t="str">
        <f>'01_인적정보'!H29</f>
        <v>G2</v>
      </c>
      <c r="F69" s="14">
        <f>'01_인적정보'!L29</f>
        <v>0</v>
      </c>
      <c r="G69" s="13">
        <f>'07b_하반기입력'!K29</f>
        <v>0</v>
      </c>
      <c r="H69" s="13">
        <f>'07b_하반기입력'!L29</f>
        <v>0</v>
      </c>
      <c r="I69" s="39">
        <f>IFERROR(IF(AND(G69&lt;&gt;"",H69&lt;&gt;""),'02_의사결정·종합결과'!$B$67*IF(G69="S",5,IF(G69="A",4,IF(G69="B",3,IF(G69="C",2,IF(G69="D",1,0)))))+'02_의사결정·종합결과'!$B$68*IF(H69="S",5,IF(H69="A",4,IF(H69="B",3,IF(H69="C",2,IF(H69="D",1,0))))),IF(G69&lt;&gt;"",IF(G69="S",5,IF(G69="A",4,IF(G69="B",3,IF(G69="C",2,IF(G69="D",1,0))))),IF(H69&lt;&gt;"",IF(H69="S",5,IF(H69="A",4,IF(H69="B",3,IF(H69="C",2,IF(H69="D",1,0))))),""))),"")</f>
        <v>0</v>
      </c>
      <c r="J69" s="40" t="str">
        <f t="shared" si="1"/>
        <v>D</v>
      </c>
      <c r="K69" s="64"/>
      <c r="L69" s="58"/>
      <c r="M69" s="58"/>
      <c r="N69" s="58"/>
    </row>
    <row r="70" spans="1:14" ht="22.05" customHeight="1" x14ac:dyDescent="0.6">
      <c r="A70" s="25">
        <f>'01_인적정보'!A30</f>
        <v>25</v>
      </c>
      <c r="B70" s="25" t="str">
        <f>'01_인적정보'!B30</f>
        <v>BSS-025</v>
      </c>
      <c r="C70" s="5" t="str">
        <f>'01_인적정보'!C30</f>
        <v>김성수</v>
      </c>
      <c r="D70" s="5" t="str">
        <f>'01_인적정보'!E30</f>
        <v>연구개발(R&amp;D)</v>
      </c>
      <c r="E70" s="11" t="str">
        <f>'01_인적정보'!H30</f>
        <v>G2</v>
      </c>
      <c r="F70" s="14">
        <f>'01_인적정보'!L30</f>
        <v>0</v>
      </c>
      <c r="G70" s="13">
        <f>'07b_하반기입력'!K30</f>
        <v>0</v>
      </c>
      <c r="H70" s="13">
        <f>'07b_하반기입력'!L30</f>
        <v>0</v>
      </c>
      <c r="I70" s="39">
        <f>IFERROR(IF(AND(G70&lt;&gt;"",H70&lt;&gt;""),'02_의사결정·종합결과'!$B$67*IF(G70="S",5,IF(G70="A",4,IF(G70="B",3,IF(G70="C",2,IF(G70="D",1,0)))))+'02_의사결정·종합결과'!$B$68*IF(H70="S",5,IF(H70="A",4,IF(H70="B",3,IF(H70="C",2,IF(H70="D",1,0))))),IF(G70&lt;&gt;"",IF(G70="S",5,IF(G70="A",4,IF(G70="B",3,IF(G70="C",2,IF(G70="D",1,0))))),IF(H70&lt;&gt;"",IF(H70="S",5,IF(H70="A",4,IF(H70="B",3,IF(H70="C",2,IF(H70="D",1,0))))),""))),"")</f>
        <v>0</v>
      </c>
      <c r="J70" s="40" t="str">
        <f t="shared" si="1"/>
        <v>D</v>
      </c>
      <c r="K70" s="64"/>
      <c r="L70" s="58"/>
      <c r="M70" s="58"/>
      <c r="N70" s="58"/>
    </row>
    <row r="71" spans="1:14" ht="22.05" customHeight="1" x14ac:dyDescent="0.6">
      <c r="A71" s="25">
        <f>'01_인적정보'!A31</f>
        <v>26</v>
      </c>
      <c r="B71" s="25" t="str">
        <f>'01_인적정보'!B31</f>
        <v>BSS-026</v>
      </c>
      <c r="C71" s="5" t="str">
        <f>'01_인적정보'!C31</f>
        <v>박진희</v>
      </c>
      <c r="D71" s="5" t="str">
        <f>'01_인적정보'!E31</f>
        <v>경영전략기획</v>
      </c>
      <c r="E71" s="11" t="str">
        <f>'01_인적정보'!H31</f>
        <v>G1</v>
      </c>
      <c r="F71" s="14">
        <f>'01_인적정보'!L31</f>
        <v>0</v>
      </c>
      <c r="G71" s="13">
        <f>'07b_하반기입력'!K31</f>
        <v>0</v>
      </c>
      <c r="H71" s="13">
        <f>'07b_하반기입력'!L31</f>
        <v>0</v>
      </c>
      <c r="I71" s="39">
        <f>IFERROR(IF(AND(G71&lt;&gt;"",H71&lt;&gt;""),'02_의사결정·종합결과'!$B$67*IF(G71="S",5,IF(G71="A",4,IF(G71="B",3,IF(G71="C",2,IF(G71="D",1,0)))))+'02_의사결정·종합결과'!$B$68*IF(H71="S",5,IF(H71="A",4,IF(H71="B",3,IF(H71="C",2,IF(H71="D",1,0))))),IF(G71&lt;&gt;"",IF(G71="S",5,IF(G71="A",4,IF(G71="B",3,IF(G71="C",2,IF(G71="D",1,0))))),IF(H71&lt;&gt;"",IF(H71="S",5,IF(H71="A",4,IF(H71="B",3,IF(H71="C",2,IF(H71="D",1,0))))),""))),"")</f>
        <v>0</v>
      </c>
      <c r="J71" s="40" t="str">
        <f t="shared" si="1"/>
        <v>D</v>
      </c>
      <c r="K71" s="64"/>
      <c r="L71" s="58"/>
      <c r="M71" s="58"/>
      <c r="N71" s="58"/>
    </row>
    <row r="72" spans="1:14" ht="22.05" customHeight="1" x14ac:dyDescent="0.6">
      <c r="A72" s="25">
        <f>'01_인적정보'!A32</f>
        <v>27</v>
      </c>
      <c r="B72" s="25" t="str">
        <f>'01_인적정보'!B32</f>
        <v>BSS-027</v>
      </c>
      <c r="C72" s="5" t="str">
        <f>'01_인적정보'!C32</f>
        <v>장은한</v>
      </c>
      <c r="D72" s="5" t="str">
        <f>'01_인적정보'!E32</f>
        <v>교육</v>
      </c>
      <c r="E72" s="11" t="str">
        <f>'01_인적정보'!H32</f>
        <v>G2</v>
      </c>
      <c r="F72" s="14">
        <f>'01_인적정보'!L32</f>
        <v>0</v>
      </c>
      <c r="G72" s="13">
        <f>'07b_하반기입력'!K32</f>
        <v>0</v>
      </c>
      <c r="H72" s="13">
        <f>'07b_하반기입력'!L32</f>
        <v>0</v>
      </c>
      <c r="I72" s="39">
        <f>IFERROR(IF(AND(G72&lt;&gt;"",H72&lt;&gt;""),'02_의사결정·종합결과'!$B$67*IF(G72="S",5,IF(G72="A",4,IF(G72="B",3,IF(G72="C",2,IF(G72="D",1,0)))))+'02_의사결정·종합결과'!$B$68*IF(H72="S",5,IF(H72="A",4,IF(H72="B",3,IF(H72="C",2,IF(H72="D",1,0))))),IF(G72&lt;&gt;"",IF(G72="S",5,IF(G72="A",4,IF(G72="B",3,IF(G72="C",2,IF(G72="D",1,0))))),IF(H72&lt;&gt;"",IF(H72="S",5,IF(H72="A",4,IF(H72="B",3,IF(H72="C",2,IF(H72="D",1,0))))),""))),"")</f>
        <v>0</v>
      </c>
      <c r="J72" s="40" t="str">
        <f t="shared" si="1"/>
        <v>D</v>
      </c>
      <c r="K72" s="64"/>
      <c r="L72" s="58"/>
      <c r="M72" s="58"/>
      <c r="N72" s="58"/>
    </row>
    <row r="73" spans="1:14" ht="22.05" customHeight="1" x14ac:dyDescent="0.6">
      <c r="A73" s="25">
        <f>'01_인적정보'!A33</f>
        <v>28</v>
      </c>
      <c r="B73" s="25" t="str">
        <f>'01_인적정보'!B33</f>
        <v>BSS-028</v>
      </c>
      <c r="C73" s="5" t="str">
        <f>'01_인적정보'!C33</f>
        <v>김현수</v>
      </c>
      <c r="D73" s="5" t="str">
        <f>'01_인적정보'!E33</f>
        <v>BIM컨설팅</v>
      </c>
      <c r="E73" s="11" t="str">
        <f>'01_인적정보'!H33</f>
        <v>G1</v>
      </c>
      <c r="F73" s="14">
        <f>'01_인적정보'!L33</f>
        <v>0</v>
      </c>
      <c r="G73" s="13">
        <f>'07b_하반기입력'!K33</f>
        <v>0</v>
      </c>
      <c r="H73" s="13">
        <f>'07b_하반기입력'!L33</f>
        <v>0</v>
      </c>
      <c r="I73" s="39">
        <f>IFERROR(IF(AND(G73&lt;&gt;"",H73&lt;&gt;""),'02_의사결정·종합결과'!$B$67*IF(G73="S",5,IF(G73="A",4,IF(G73="B",3,IF(G73="C",2,IF(G73="D",1,0)))))+'02_의사결정·종합결과'!$B$68*IF(H73="S",5,IF(H73="A",4,IF(H73="B",3,IF(H73="C",2,IF(H73="D",1,0))))),IF(G73&lt;&gt;"",IF(G73="S",5,IF(G73="A",4,IF(G73="B",3,IF(G73="C",2,IF(G73="D",1,0))))),IF(H73&lt;&gt;"",IF(H73="S",5,IF(H73="A",4,IF(H73="B",3,IF(H73="C",2,IF(H73="D",1,0))))),""))),"")</f>
        <v>0</v>
      </c>
      <c r="J73" s="40" t="str">
        <f t="shared" si="1"/>
        <v>D</v>
      </c>
      <c r="K73" s="64"/>
      <c r="L73" s="58"/>
      <c r="M73" s="58"/>
      <c r="N73" s="58"/>
    </row>
    <row r="74" spans="1:14" ht="22.05" customHeight="1" x14ac:dyDescent="0.6">
      <c r="A74" s="25">
        <f>'01_인적정보'!A34</f>
        <v>29</v>
      </c>
      <c r="B74" s="25" t="str">
        <f>'01_인적정보'!B34</f>
        <v>BSS-029</v>
      </c>
      <c r="C74" s="5" t="str">
        <f>'01_인적정보'!C34</f>
        <v>콜셍홍</v>
      </c>
      <c r="D74" s="5" t="str">
        <f>'01_인적정보'!E34</f>
        <v>BIM컨설팅</v>
      </c>
      <c r="E74" s="11" t="str">
        <f>'01_인적정보'!H34</f>
        <v>G1</v>
      </c>
      <c r="F74" s="14">
        <f>'01_인적정보'!L34</f>
        <v>0</v>
      </c>
      <c r="G74" s="13">
        <f>'07b_하반기입력'!K34</f>
        <v>0</v>
      </c>
      <c r="H74" s="13">
        <f>'07b_하반기입력'!L34</f>
        <v>0</v>
      </c>
      <c r="I74" s="39">
        <f>IFERROR(IF(AND(G74&lt;&gt;"",H74&lt;&gt;""),'02_의사결정·종합결과'!$B$67*IF(G74="S",5,IF(G74="A",4,IF(G74="B",3,IF(G74="C",2,IF(G74="D",1,0)))))+'02_의사결정·종합결과'!$B$68*IF(H74="S",5,IF(H74="A",4,IF(H74="B",3,IF(H74="C",2,IF(H74="D",1,0))))),IF(G74&lt;&gt;"",IF(G74="S",5,IF(G74="A",4,IF(G74="B",3,IF(G74="C",2,IF(G74="D",1,0))))),IF(H74&lt;&gt;"",IF(H74="S",5,IF(H74="A",4,IF(H74="B",3,IF(H74="C",2,IF(H74="D",1,0))))),""))),"")</f>
        <v>0</v>
      </c>
      <c r="J74" s="40" t="str">
        <f t="shared" si="1"/>
        <v>D</v>
      </c>
      <c r="K74" s="64"/>
      <c r="L74" s="58"/>
      <c r="M74" s="58"/>
      <c r="N74" s="58"/>
    </row>
    <row r="75" spans="1:14" ht="22.05" customHeight="1" x14ac:dyDescent="0.6">
      <c r="A75" s="25">
        <f>'01_인적정보'!A35</f>
        <v>30</v>
      </c>
      <c r="B75" s="25" t="str">
        <f>'01_인적정보'!B35</f>
        <v>BSS-030</v>
      </c>
      <c r="C75" s="5" t="str">
        <f>'01_인적정보'!C35</f>
        <v>안성진</v>
      </c>
      <c r="D75" s="5" t="str">
        <f>'01_인적정보'!E35</f>
        <v>BIM컨설팅</v>
      </c>
      <c r="E75" s="11" t="str">
        <f>'01_인적정보'!H35</f>
        <v>G1</v>
      </c>
      <c r="F75" s="14">
        <f>'01_인적정보'!L35</f>
        <v>0</v>
      </c>
      <c r="G75" s="13">
        <f>'07b_하반기입력'!K35</f>
        <v>0</v>
      </c>
      <c r="H75" s="13">
        <f>'07b_하반기입력'!L35</f>
        <v>0</v>
      </c>
      <c r="I75" s="39">
        <f>IFERROR(IF(AND(G75&lt;&gt;"",H75&lt;&gt;""),'02_의사결정·종합결과'!$B$67*IF(G75="S",5,IF(G75="A",4,IF(G75="B",3,IF(G75="C",2,IF(G75="D",1,0)))))+'02_의사결정·종합결과'!$B$68*IF(H75="S",5,IF(H75="A",4,IF(H75="B",3,IF(H75="C",2,IF(H75="D",1,0))))),IF(G75&lt;&gt;"",IF(G75="S",5,IF(G75="A",4,IF(G75="B",3,IF(G75="C",2,IF(G75="D",1,0))))),IF(H75&lt;&gt;"",IF(H75="S",5,IF(H75="A",4,IF(H75="B",3,IF(H75="C",2,IF(H75="D",1,0))))),""))),"")</f>
        <v>0</v>
      </c>
      <c r="J75" s="40" t="str">
        <f t="shared" si="1"/>
        <v>D</v>
      </c>
      <c r="K75" s="64"/>
      <c r="L75" s="58"/>
      <c r="M75" s="58"/>
      <c r="N75" s="58"/>
    </row>
    <row r="76" spans="1:14" ht="22.05" customHeight="1" x14ac:dyDescent="0.6">
      <c r="A76" s="25">
        <f>'01_인적정보'!A36</f>
        <v>31</v>
      </c>
      <c r="B76" s="25" t="str">
        <f>'01_인적정보'!B36</f>
        <v>BSS-031</v>
      </c>
      <c r="C76" s="5" t="str">
        <f>'01_인적정보'!C36</f>
        <v>이정일</v>
      </c>
      <c r="D76" s="5" t="str">
        <f>'01_인적정보'!E36</f>
        <v>BIM컨설팅</v>
      </c>
      <c r="E76" s="11" t="str">
        <f>'01_인적정보'!H36</f>
        <v>G1</v>
      </c>
      <c r="F76" s="14">
        <f>'01_인적정보'!L36</f>
        <v>0</v>
      </c>
      <c r="G76" s="13">
        <f>'07b_하반기입력'!K36</f>
        <v>0</v>
      </c>
      <c r="H76" s="13">
        <f>'07b_하반기입력'!L36</f>
        <v>0</v>
      </c>
      <c r="I76" s="39">
        <f>IFERROR(IF(AND(G76&lt;&gt;"",H76&lt;&gt;""),'02_의사결정·종합결과'!$B$67*IF(G76="S",5,IF(G76="A",4,IF(G76="B",3,IF(G76="C",2,IF(G76="D",1,0)))))+'02_의사결정·종합결과'!$B$68*IF(H76="S",5,IF(H76="A",4,IF(H76="B",3,IF(H76="C",2,IF(H76="D",1,0))))),IF(G76&lt;&gt;"",IF(G76="S",5,IF(G76="A",4,IF(G76="B",3,IF(G76="C",2,IF(G76="D",1,0))))),IF(H76&lt;&gt;"",IF(H76="S",5,IF(H76="A",4,IF(H76="B",3,IF(H76="C",2,IF(H76="D",1,0))))),""))),"")</f>
        <v>0</v>
      </c>
      <c r="J76" s="40" t="str">
        <f t="shared" si="1"/>
        <v>D</v>
      </c>
      <c r="K76" s="64"/>
      <c r="L76" s="58"/>
      <c r="M76" s="58"/>
      <c r="N76" s="58"/>
    </row>
    <row r="77" spans="1:14" ht="22.05" customHeight="1" x14ac:dyDescent="0.6">
      <c r="A77" s="25">
        <f>'01_인적정보'!A37</f>
        <v>32</v>
      </c>
      <c r="B77" s="25" t="str">
        <f>'01_인적정보'!B37</f>
        <v>BSS-032</v>
      </c>
      <c r="C77" s="5" t="str">
        <f>'01_인적정보'!C37</f>
        <v>안재성</v>
      </c>
      <c r="D77" s="5" t="str">
        <f>'01_인적정보'!E37</f>
        <v>BIM컨설팅</v>
      </c>
      <c r="E77" s="11" t="str">
        <f>'01_인적정보'!H37</f>
        <v>G1</v>
      </c>
      <c r="F77" s="14">
        <f>'01_인적정보'!L37</f>
        <v>0</v>
      </c>
      <c r="G77" s="13">
        <f>'07b_하반기입력'!K37</f>
        <v>0</v>
      </c>
      <c r="H77" s="13">
        <f>'07b_하반기입력'!L37</f>
        <v>0</v>
      </c>
      <c r="I77" s="39">
        <f>IFERROR(IF(AND(G77&lt;&gt;"",H77&lt;&gt;""),'02_의사결정·종합결과'!$B$67*IF(G77="S",5,IF(G77="A",4,IF(G77="B",3,IF(G77="C",2,IF(G77="D",1,0)))))+'02_의사결정·종합결과'!$B$68*IF(H77="S",5,IF(H77="A",4,IF(H77="B",3,IF(H77="C",2,IF(H77="D",1,0))))),IF(G77&lt;&gt;"",IF(G77="S",5,IF(G77="A",4,IF(G77="B",3,IF(G77="C",2,IF(G77="D",1,0))))),IF(H77&lt;&gt;"",IF(H77="S",5,IF(H77="A",4,IF(H77="B",3,IF(H77="C",2,IF(H77="D",1,0))))),""))),"")</f>
        <v>0</v>
      </c>
      <c r="J77" s="40" t="str">
        <f t="shared" si="1"/>
        <v>D</v>
      </c>
      <c r="K77" s="64"/>
      <c r="L77" s="58"/>
      <c r="M77" s="58"/>
      <c r="N77" s="58"/>
    </row>
    <row r="78" spans="1:14" ht="22.05" customHeight="1" x14ac:dyDescent="0.6">
      <c r="A78" s="25">
        <f>'01_인적정보'!A38</f>
        <v>33</v>
      </c>
      <c r="B78" s="25" t="str">
        <f>'01_인적정보'!B38</f>
        <v>BSS-033</v>
      </c>
      <c r="C78" s="5" t="str">
        <f>'01_인적정보'!C38</f>
        <v>유태석</v>
      </c>
      <c r="D78" s="5" t="str">
        <f>'01_인적정보'!E38</f>
        <v>BIM컨설팅</v>
      </c>
      <c r="E78" s="11" t="str">
        <f>'01_인적정보'!H38</f>
        <v>G1</v>
      </c>
      <c r="F78" s="14">
        <f>'01_인적정보'!L38</f>
        <v>0</v>
      </c>
      <c r="G78" s="13">
        <f>'07b_하반기입력'!K38</f>
        <v>0</v>
      </c>
      <c r="H78" s="13">
        <f>'07b_하반기입력'!L38</f>
        <v>0</v>
      </c>
      <c r="I78" s="39">
        <f>IFERROR(IF(AND(G78&lt;&gt;"",H78&lt;&gt;""),'02_의사결정·종합결과'!$B$67*IF(G78="S",5,IF(G78="A",4,IF(G78="B",3,IF(G78="C",2,IF(G78="D",1,0)))))+'02_의사결정·종합결과'!$B$68*IF(H78="S",5,IF(H78="A",4,IF(H78="B",3,IF(H78="C",2,IF(H78="D",1,0))))),IF(G78&lt;&gt;"",IF(G78="S",5,IF(G78="A",4,IF(G78="B",3,IF(G78="C",2,IF(G78="D",1,0))))),IF(H78&lt;&gt;"",IF(H78="S",5,IF(H78="A",4,IF(H78="B",3,IF(H78="C",2,IF(H78="D",1,0))))),""))),"")</f>
        <v>0</v>
      </c>
      <c r="J78" s="40" t="str">
        <f t="shared" si="1"/>
        <v>D</v>
      </c>
      <c r="K78" s="64"/>
      <c r="L78" s="58"/>
      <c r="M78" s="58"/>
      <c r="N78" s="58"/>
    </row>
    <row r="79" spans="1:14" ht="22.05" customHeight="1" x14ac:dyDescent="0.6">
      <c r="A79" s="25">
        <f>'01_인적정보'!A39</f>
        <v>34</v>
      </c>
      <c r="B79" s="25" t="str">
        <f>'01_인적정보'!B39</f>
        <v>BSS-034</v>
      </c>
      <c r="C79" s="5" t="str">
        <f>'01_인적정보'!C39</f>
        <v>엄보근</v>
      </c>
      <c r="D79" s="5" t="str">
        <f>'01_인적정보'!E39</f>
        <v>BIM컨설팅</v>
      </c>
      <c r="E79" s="11" t="str">
        <f>'01_인적정보'!H39</f>
        <v>G1</v>
      </c>
      <c r="F79" s="14">
        <f>'01_인적정보'!L39</f>
        <v>0</v>
      </c>
      <c r="G79" s="13">
        <f>'07b_하반기입력'!K39</f>
        <v>0</v>
      </c>
      <c r="H79" s="13">
        <f>'07b_하반기입력'!L39</f>
        <v>0</v>
      </c>
      <c r="I79" s="39">
        <f>IFERROR(IF(AND(G79&lt;&gt;"",H79&lt;&gt;""),'02_의사결정·종합결과'!$B$67*IF(G79="S",5,IF(G79="A",4,IF(G79="B",3,IF(G79="C",2,IF(G79="D",1,0)))))+'02_의사결정·종합결과'!$B$68*IF(H79="S",5,IF(H79="A",4,IF(H79="B",3,IF(H79="C",2,IF(H79="D",1,0))))),IF(G79&lt;&gt;"",IF(G79="S",5,IF(G79="A",4,IF(G79="B",3,IF(G79="C",2,IF(G79="D",1,0))))),IF(H79&lt;&gt;"",IF(H79="S",5,IF(H79="A",4,IF(H79="B",3,IF(H79="C",2,IF(H79="D",1,0))))),""))),"")</f>
        <v>0</v>
      </c>
      <c r="J79" s="40" t="str">
        <f t="shared" si="1"/>
        <v>D</v>
      </c>
      <c r="K79" s="64"/>
      <c r="L79" s="58"/>
      <c r="M79" s="58"/>
      <c r="N79" s="58"/>
    </row>
    <row r="80" spans="1:14" ht="22.05" customHeight="1" x14ac:dyDescent="0.6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64"/>
      <c r="L80" s="58"/>
      <c r="M80" s="58"/>
      <c r="N80" s="58"/>
    </row>
    <row r="81" spans="1:14" ht="22.05" customHeight="1" x14ac:dyDescent="0.6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64"/>
      <c r="L81" s="58"/>
      <c r="M81" s="58"/>
      <c r="N81" s="58"/>
    </row>
    <row r="82" spans="1:14" ht="22.05" customHeight="1" x14ac:dyDescent="0.6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64"/>
      <c r="L82" s="58"/>
      <c r="M82" s="58"/>
      <c r="N82" s="58"/>
    </row>
    <row r="83" spans="1:14" ht="22.05" customHeight="1" x14ac:dyDescent="0.6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64"/>
      <c r="L83" s="58"/>
      <c r="M83" s="58"/>
      <c r="N83" s="58"/>
    </row>
    <row r="84" spans="1:14" ht="22.05" customHeight="1" x14ac:dyDescent="0.6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64"/>
      <c r="L84" s="58"/>
      <c r="M84" s="58"/>
      <c r="N84" s="58"/>
    </row>
    <row r="85" spans="1:14" x14ac:dyDescent="0.6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</row>
    <row r="86" spans="1:14" x14ac:dyDescent="0.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</row>
    <row r="87" spans="1:14" x14ac:dyDescent="0.6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</row>
    <row r="88" spans="1:14" x14ac:dyDescent="0.6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</row>
    <row r="89" spans="1:14" x14ac:dyDescent="0.6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</row>
  </sheetData>
  <mergeCells count="4">
    <mergeCell ref="A44:J44"/>
    <mergeCell ref="A1:J1"/>
    <mergeCell ref="A4:J4"/>
    <mergeCell ref="A2:J2"/>
  </mergeCells>
  <phoneticPr fontId="16" type="noConversion"/>
  <conditionalFormatting sqref="G6:J39">
    <cfRule type="cellIs" dxfId="37" priority="1" operator="equal">
      <formula>"S"</formula>
    </cfRule>
    <cfRule type="cellIs" dxfId="36" priority="2" operator="equal">
      <formula>"A"</formula>
    </cfRule>
    <cfRule type="cellIs" dxfId="35" priority="3" operator="equal">
      <formula>"C"</formula>
    </cfRule>
    <cfRule type="cellIs" dxfId="34" priority="4" operator="equal">
      <formula>"D"</formula>
    </cfRule>
  </conditionalFormatting>
  <conditionalFormatting sqref="G46:J79">
    <cfRule type="cellIs" dxfId="33" priority="13" operator="equal">
      <formula>"S"</formula>
    </cfRule>
    <cfRule type="cellIs" dxfId="32" priority="14" operator="equal">
      <formula>"A"</formula>
    </cfRule>
    <cfRule type="cellIs" dxfId="31" priority="15" operator="equal">
      <formula>"C"</formula>
    </cfRule>
    <cfRule type="cellIs" dxfId="30" priority="16" operator="equal">
      <formula>"D"</formula>
    </cfRule>
  </conditionalFormatting>
  <conditionalFormatting sqref="H51:J84">
    <cfRule type="cellIs" dxfId="29" priority="5" operator="equal">
      <formula>"S"</formula>
    </cfRule>
    <cfRule type="cellIs" dxfId="28" priority="6" operator="equal">
      <formula>"A"</formula>
    </cfRule>
    <cfRule type="cellIs" dxfId="27" priority="7" operator="equal">
      <formula>"C"</formula>
    </cfRule>
    <cfRule type="cellIs" dxfId="26" priority="8" operator="equal">
      <formula>"D"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C59"/>
  <sheetViews>
    <sheetView workbookViewId="0">
      <pane xSplit="6" ySplit="5" topLeftCell="G6" activePane="bottomRight" state="frozen"/>
      <selection pane="topRight"/>
      <selection pane="bottomLeft"/>
      <selection pane="bottomRight" activeCell="L6" sqref="L6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1" customWidth="1"/>
    <col min="5" max="5" width="14" customWidth="1"/>
    <col min="6" max="6" width="9" customWidth="1"/>
    <col min="7" max="12" width="10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 x14ac:dyDescent="0.6">
      <c r="A1" s="82" t="s">
        <v>425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spans="1:29" ht="32" customHeight="1" x14ac:dyDescent="0.6">
      <c r="A2" s="74" t="s">
        <v>426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1:29" ht="18" customHeight="1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 spans="1:29" ht="22.05" customHeight="1" x14ac:dyDescent="0.6">
      <c r="A4" s="79" t="s">
        <v>427</v>
      </c>
      <c r="B4" s="86"/>
      <c r="C4" s="86"/>
      <c r="D4" s="86"/>
      <c r="E4" s="86"/>
      <c r="F4" s="86"/>
      <c r="G4" s="88" t="s">
        <v>428</v>
      </c>
      <c r="H4" s="86"/>
      <c r="I4" s="68" t="s">
        <v>429</v>
      </c>
      <c r="J4" s="86"/>
      <c r="K4" s="89" t="s">
        <v>430</v>
      </c>
      <c r="L4" s="86"/>
      <c r="M4" s="27" t="s">
        <v>431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 spans="1:29" ht="30" customHeight="1" x14ac:dyDescent="0.6">
      <c r="A5" s="28" t="s">
        <v>144</v>
      </c>
      <c r="B5" s="28" t="s">
        <v>145</v>
      </c>
      <c r="C5" s="28" t="s">
        <v>146</v>
      </c>
      <c r="D5" s="28" t="s">
        <v>147</v>
      </c>
      <c r="E5" s="28" t="s">
        <v>148</v>
      </c>
      <c r="F5" s="28" t="s">
        <v>151</v>
      </c>
      <c r="G5" s="29" t="s">
        <v>407</v>
      </c>
      <c r="H5" s="29" t="s">
        <v>408</v>
      </c>
      <c r="I5" s="30" t="s">
        <v>415</v>
      </c>
      <c r="J5" s="30" t="s">
        <v>416</v>
      </c>
      <c r="K5" s="31" t="s">
        <v>422</v>
      </c>
      <c r="L5" s="31" t="s">
        <v>423</v>
      </c>
      <c r="M5" s="32" t="s">
        <v>432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 spans="1:29" ht="24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17"/>
      <c r="H6" s="17"/>
      <c r="I6" s="17"/>
      <c r="J6" s="17"/>
      <c r="K6" s="17"/>
      <c r="L6" s="17"/>
      <c r="M6" s="1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 spans="1:29" ht="24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17"/>
      <c r="H7" s="17"/>
      <c r="I7" s="17"/>
      <c r="J7" s="17"/>
      <c r="K7" s="17"/>
      <c r="L7" s="17"/>
      <c r="M7" s="1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spans="1:29" ht="24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17"/>
      <c r="H8" s="17"/>
      <c r="I8" s="17"/>
      <c r="J8" s="17"/>
      <c r="K8" s="17"/>
      <c r="L8" s="17"/>
      <c r="M8" s="1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spans="1:29" ht="24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17"/>
      <c r="H9" s="17"/>
      <c r="I9" s="17"/>
      <c r="J9" s="17"/>
      <c r="K9" s="17"/>
      <c r="L9" s="17"/>
      <c r="M9" s="1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spans="1:29" ht="24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17"/>
      <c r="H10" s="17"/>
      <c r="I10" s="17"/>
      <c r="J10" s="17"/>
      <c r="K10" s="17"/>
      <c r="L10" s="17"/>
      <c r="M10" s="1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spans="1:29" ht="24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17"/>
      <c r="H11" s="17"/>
      <c r="I11" s="17"/>
      <c r="J11" s="17"/>
      <c r="K11" s="17"/>
      <c r="L11" s="17"/>
      <c r="M11" s="1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spans="1:29" ht="24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17"/>
      <c r="H12" s="17"/>
      <c r="I12" s="17"/>
      <c r="J12" s="17"/>
      <c r="K12" s="17"/>
      <c r="L12" s="17"/>
      <c r="M12" s="1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spans="1:29" ht="24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17"/>
      <c r="H13" s="17"/>
      <c r="I13" s="17"/>
      <c r="J13" s="17"/>
      <c r="K13" s="17"/>
      <c r="L13" s="17"/>
      <c r="M13" s="1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spans="1:29" ht="24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17"/>
      <c r="H14" s="17"/>
      <c r="I14" s="17"/>
      <c r="J14" s="17"/>
      <c r="K14" s="17"/>
      <c r="L14" s="17"/>
      <c r="M14" s="1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spans="1:29" ht="24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17"/>
      <c r="H15" s="17"/>
      <c r="I15" s="17"/>
      <c r="J15" s="17"/>
      <c r="K15" s="17"/>
      <c r="L15" s="17"/>
      <c r="M15" s="1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spans="1:29" ht="24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17"/>
      <c r="H16" s="17"/>
      <c r="I16" s="17"/>
      <c r="J16" s="17"/>
      <c r="K16" s="17"/>
      <c r="L16" s="17"/>
      <c r="M16" s="1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spans="1:29" ht="24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17"/>
      <c r="H17" s="17"/>
      <c r="I17" s="17"/>
      <c r="J17" s="17"/>
      <c r="K17" s="17"/>
      <c r="L17" s="17"/>
      <c r="M17" s="1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spans="1:29" ht="24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17"/>
      <c r="H18" s="17"/>
      <c r="I18" s="17"/>
      <c r="J18" s="17"/>
      <c r="K18" s="17"/>
      <c r="L18" s="17"/>
      <c r="M18" s="1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spans="1:29" ht="24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17"/>
      <c r="H19" s="17"/>
      <c r="I19" s="17"/>
      <c r="J19" s="17"/>
      <c r="K19" s="17"/>
      <c r="L19" s="17"/>
      <c r="M19" s="1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spans="1:29" ht="24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17"/>
      <c r="H20" s="17"/>
      <c r="I20" s="17"/>
      <c r="J20" s="17"/>
      <c r="K20" s="17"/>
      <c r="L20" s="17"/>
      <c r="M20" s="1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spans="1:29" ht="24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17"/>
      <c r="H21" s="17"/>
      <c r="I21" s="17"/>
      <c r="J21" s="17"/>
      <c r="K21" s="17"/>
      <c r="L21" s="17"/>
      <c r="M21" s="1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spans="1:29" ht="24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17"/>
      <c r="H22" s="17"/>
      <c r="I22" s="17"/>
      <c r="J22" s="17"/>
      <c r="K22" s="17"/>
      <c r="L22" s="17"/>
      <c r="M22" s="1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spans="1:29" ht="24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17"/>
      <c r="H23" s="17"/>
      <c r="I23" s="17"/>
      <c r="J23" s="17"/>
      <c r="K23" s="17"/>
      <c r="L23" s="17"/>
      <c r="M23" s="1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spans="1:29" ht="24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17"/>
      <c r="H24" s="17"/>
      <c r="I24" s="17"/>
      <c r="J24" s="17"/>
      <c r="K24" s="17"/>
      <c r="L24" s="17"/>
      <c r="M24" s="1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spans="1:29" ht="24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17"/>
      <c r="H25" s="17"/>
      <c r="I25" s="17"/>
      <c r="J25" s="17"/>
      <c r="K25" s="17"/>
      <c r="L25" s="17"/>
      <c r="M25" s="1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spans="1:29" ht="24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17"/>
      <c r="H26" s="17"/>
      <c r="I26" s="17"/>
      <c r="J26" s="17"/>
      <c r="K26" s="17"/>
      <c r="L26" s="17"/>
      <c r="M26" s="1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spans="1:29" ht="24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17"/>
      <c r="H27" s="17"/>
      <c r="I27" s="17"/>
      <c r="J27" s="17"/>
      <c r="K27" s="17"/>
      <c r="L27" s="17"/>
      <c r="M27" s="1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spans="1:29" ht="24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17"/>
      <c r="H28" s="17"/>
      <c r="I28" s="17"/>
      <c r="J28" s="17"/>
      <c r="K28" s="17"/>
      <c r="L28" s="17"/>
      <c r="M28" s="1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spans="1:29" ht="24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17"/>
      <c r="H29" s="17"/>
      <c r="I29" s="17"/>
      <c r="J29" s="17"/>
      <c r="K29" s="17"/>
      <c r="L29" s="17"/>
      <c r="M29" s="1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spans="1:29" ht="24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17"/>
      <c r="H30" s="17"/>
      <c r="I30" s="17"/>
      <c r="J30" s="17"/>
      <c r="K30" s="17"/>
      <c r="L30" s="17"/>
      <c r="M30" s="1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spans="1:29" ht="24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17"/>
      <c r="H31" s="17"/>
      <c r="I31" s="17"/>
      <c r="J31" s="17"/>
      <c r="K31" s="17"/>
      <c r="L31" s="17"/>
      <c r="M31" s="1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spans="1:29" ht="24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17"/>
      <c r="H32" s="17"/>
      <c r="I32" s="17"/>
      <c r="J32" s="17"/>
      <c r="K32" s="17"/>
      <c r="L32" s="17"/>
      <c r="M32" s="1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spans="1:29" ht="24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17"/>
      <c r="H33" s="17"/>
      <c r="I33" s="17"/>
      <c r="J33" s="17"/>
      <c r="K33" s="17"/>
      <c r="L33" s="17"/>
      <c r="M33" s="1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spans="1:29" ht="24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17"/>
      <c r="H34" s="17"/>
      <c r="I34" s="17"/>
      <c r="J34" s="17"/>
      <c r="K34" s="17"/>
      <c r="L34" s="17"/>
      <c r="M34" s="1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spans="1:29" ht="24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17"/>
      <c r="H35" s="17"/>
      <c r="I35" s="17"/>
      <c r="J35" s="17"/>
      <c r="K35" s="17"/>
      <c r="L35" s="17"/>
      <c r="M35" s="1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spans="1:29" ht="24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17"/>
      <c r="H36" s="17"/>
      <c r="I36" s="17"/>
      <c r="J36" s="17"/>
      <c r="K36" s="17"/>
      <c r="L36" s="17"/>
      <c r="M36" s="1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spans="1:29" ht="24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17"/>
      <c r="H37" s="17"/>
      <c r="I37" s="17"/>
      <c r="J37" s="17"/>
      <c r="K37" s="17"/>
      <c r="L37" s="17"/>
      <c r="M37" s="1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spans="1:29" ht="24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17"/>
      <c r="H38" s="17"/>
      <c r="I38" s="17"/>
      <c r="J38" s="17"/>
      <c r="K38" s="17"/>
      <c r="L38" s="17"/>
      <c r="M38" s="1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spans="1:29" ht="24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17"/>
      <c r="H39" s="17"/>
      <c r="I39" s="17"/>
      <c r="J39" s="17"/>
      <c r="K39" s="17"/>
      <c r="L39" s="17"/>
      <c r="M39" s="1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spans="1:29" x14ac:dyDescent="0.6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spans="1:29" x14ac:dyDescent="0.6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spans="1:29" x14ac:dyDescent="0.6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spans="1:29" x14ac:dyDescent="0.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spans="1:29" x14ac:dyDescent="0.6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spans="1:29" x14ac:dyDescent="0.6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spans="1:29" x14ac:dyDescent="0.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spans="1:29" x14ac:dyDescent="0.6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spans="1:29" x14ac:dyDescent="0.6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spans="1:29" x14ac:dyDescent="0.6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spans="1:29" x14ac:dyDescent="0.6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spans="1:29" x14ac:dyDescent="0.6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spans="1:29" x14ac:dyDescent="0.6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spans="1:29" x14ac:dyDescent="0.6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spans="1:29" x14ac:dyDescent="0.6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spans="1:29" x14ac:dyDescent="0.6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spans="1:29" x14ac:dyDescent="0.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spans="1:29" x14ac:dyDescent="0.6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spans="1:29" x14ac:dyDescent="0.6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spans="1:29" x14ac:dyDescent="0.6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</sheetData>
  <mergeCells count="6">
    <mergeCell ref="G4:H4"/>
    <mergeCell ref="I4:J4"/>
    <mergeCell ref="A1:M1"/>
    <mergeCell ref="K4:L4"/>
    <mergeCell ref="A4:F4"/>
    <mergeCell ref="A2:M2"/>
  </mergeCells>
  <phoneticPr fontId="16" type="noConversion"/>
  <conditionalFormatting sqref="G6:Z39">
    <cfRule type="cellIs" dxfId="25" priority="1" operator="equal">
      <formula>"S"</formula>
    </cfRule>
    <cfRule type="cellIs" dxfId="24" priority="2" operator="equal">
      <formula>"A"</formula>
    </cfRule>
    <cfRule type="cellIs" dxfId="23" priority="3" operator="equal">
      <formula>"C"</formula>
    </cfRule>
    <cfRule type="cellIs" dxfId="22" priority="4" operator="equal">
      <formula>"D"</formula>
    </cfRule>
  </conditionalFormatting>
  <dataValidations count="1">
    <dataValidation type="list" allowBlank="1" sqref="G6:L39" xr:uid="{00000000-0002-0000-0800-000000000000}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C59"/>
  <sheetViews>
    <sheetView workbookViewId="0">
      <pane xSplit="6" ySplit="5" topLeftCell="G6" activePane="bottomRight" state="frozen"/>
      <selection pane="topRight"/>
      <selection pane="bottomLeft"/>
      <selection pane="bottomRight" activeCell="G13" sqref="G13:L13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1" customWidth="1"/>
    <col min="5" max="5" width="14" customWidth="1"/>
    <col min="6" max="6" width="9" customWidth="1"/>
    <col min="7" max="12" width="10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 x14ac:dyDescent="0.6">
      <c r="A1" s="82" t="s">
        <v>433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spans="1:29" ht="32" customHeight="1" x14ac:dyDescent="0.6">
      <c r="A2" s="74" t="s">
        <v>426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1:29" ht="18" customHeight="1" x14ac:dyDescent="0.6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 spans="1:29" ht="22.05" customHeight="1" x14ac:dyDescent="0.6">
      <c r="A4" s="79" t="s">
        <v>427</v>
      </c>
      <c r="B4" s="86"/>
      <c r="C4" s="86"/>
      <c r="D4" s="86"/>
      <c r="E4" s="86"/>
      <c r="F4" s="86"/>
      <c r="G4" s="88" t="s">
        <v>428</v>
      </c>
      <c r="H4" s="86"/>
      <c r="I4" s="68" t="s">
        <v>429</v>
      </c>
      <c r="J4" s="86"/>
      <c r="K4" s="89" t="s">
        <v>430</v>
      </c>
      <c r="L4" s="86"/>
      <c r="M4" s="27" t="s">
        <v>431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 spans="1:29" ht="30" customHeight="1" x14ac:dyDescent="0.6">
      <c r="A5" s="28" t="s">
        <v>144</v>
      </c>
      <c r="B5" s="28" t="s">
        <v>145</v>
      </c>
      <c r="C5" s="28" t="s">
        <v>146</v>
      </c>
      <c r="D5" s="28" t="s">
        <v>147</v>
      </c>
      <c r="E5" s="28" t="s">
        <v>148</v>
      </c>
      <c r="F5" s="28" t="s">
        <v>151</v>
      </c>
      <c r="G5" s="29" t="s">
        <v>407</v>
      </c>
      <c r="H5" s="29" t="s">
        <v>408</v>
      </c>
      <c r="I5" s="30" t="s">
        <v>415</v>
      </c>
      <c r="J5" s="30" t="s">
        <v>416</v>
      </c>
      <c r="K5" s="31" t="s">
        <v>422</v>
      </c>
      <c r="L5" s="31" t="s">
        <v>423</v>
      </c>
      <c r="M5" s="32" t="s">
        <v>432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 spans="1:29" ht="24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17"/>
      <c r="H6" s="17"/>
      <c r="I6" s="17"/>
      <c r="J6" s="17"/>
      <c r="K6" s="17"/>
      <c r="L6" s="17"/>
      <c r="M6" s="1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 spans="1:29" ht="24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17"/>
      <c r="H7" s="17"/>
      <c r="I7" s="17"/>
      <c r="J7" s="17"/>
      <c r="K7" s="17"/>
      <c r="L7" s="17"/>
      <c r="M7" s="1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spans="1:29" ht="24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17"/>
      <c r="H8" s="17"/>
      <c r="I8" s="17"/>
      <c r="J8" s="17"/>
      <c r="K8" s="17"/>
      <c r="L8" s="17"/>
      <c r="M8" s="1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spans="1:29" ht="24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17"/>
      <c r="H9" s="17"/>
      <c r="I9" s="17"/>
      <c r="J9" s="17"/>
      <c r="K9" s="17"/>
      <c r="L9" s="17"/>
      <c r="M9" s="1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spans="1:29" ht="24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17"/>
      <c r="H10" s="17"/>
      <c r="I10" s="17"/>
      <c r="J10" s="17"/>
      <c r="K10" s="17"/>
      <c r="L10" s="17"/>
      <c r="M10" s="1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spans="1:29" ht="24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17"/>
      <c r="H11" s="17"/>
      <c r="I11" s="17"/>
      <c r="J11" s="17"/>
      <c r="K11" s="17"/>
      <c r="L11" s="17"/>
      <c r="M11" s="1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spans="1:29" ht="24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17"/>
      <c r="H12" s="17"/>
      <c r="I12" s="17"/>
      <c r="J12" s="17"/>
      <c r="K12" s="17"/>
      <c r="L12" s="17"/>
      <c r="M12" s="1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spans="1:29" ht="24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17"/>
      <c r="H13" s="17"/>
      <c r="I13" s="17"/>
      <c r="J13" s="17"/>
      <c r="K13" s="17"/>
      <c r="L13" s="17"/>
      <c r="M13" s="1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spans="1:29" ht="24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17"/>
      <c r="H14" s="17"/>
      <c r="I14" s="17"/>
      <c r="J14" s="17"/>
      <c r="K14" s="17"/>
      <c r="L14" s="17"/>
      <c r="M14" s="1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spans="1:29" ht="24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17"/>
      <c r="H15" s="17"/>
      <c r="I15" s="17"/>
      <c r="J15" s="17"/>
      <c r="K15" s="17"/>
      <c r="L15" s="17"/>
      <c r="M15" s="1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spans="1:29" ht="24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17"/>
      <c r="H16" s="17"/>
      <c r="I16" s="17"/>
      <c r="J16" s="17"/>
      <c r="K16" s="17"/>
      <c r="L16" s="17"/>
      <c r="M16" s="1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spans="1:29" ht="24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17"/>
      <c r="H17" s="17"/>
      <c r="I17" s="17"/>
      <c r="J17" s="17"/>
      <c r="K17" s="17"/>
      <c r="L17" s="17"/>
      <c r="M17" s="1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spans="1:29" ht="24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17"/>
      <c r="H18" s="17"/>
      <c r="I18" s="17"/>
      <c r="J18" s="17"/>
      <c r="K18" s="17"/>
      <c r="L18" s="17"/>
      <c r="M18" s="1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spans="1:29" ht="24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17"/>
      <c r="H19" s="17"/>
      <c r="I19" s="17"/>
      <c r="J19" s="17"/>
      <c r="K19" s="17"/>
      <c r="L19" s="17"/>
      <c r="M19" s="1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spans="1:29" ht="24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17"/>
      <c r="H20" s="17"/>
      <c r="I20" s="17"/>
      <c r="J20" s="17"/>
      <c r="K20" s="17"/>
      <c r="L20" s="17"/>
      <c r="M20" s="1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spans="1:29" ht="24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17"/>
      <c r="H21" s="17"/>
      <c r="I21" s="17"/>
      <c r="J21" s="17"/>
      <c r="K21" s="17"/>
      <c r="L21" s="17"/>
      <c r="M21" s="1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spans="1:29" ht="24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17"/>
      <c r="H22" s="17"/>
      <c r="I22" s="17"/>
      <c r="J22" s="17"/>
      <c r="K22" s="17"/>
      <c r="L22" s="17"/>
      <c r="M22" s="1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spans="1:29" ht="24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17"/>
      <c r="H23" s="17"/>
      <c r="I23" s="17"/>
      <c r="J23" s="17"/>
      <c r="K23" s="17"/>
      <c r="L23" s="17"/>
      <c r="M23" s="1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spans="1:29" ht="24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17"/>
      <c r="H24" s="17"/>
      <c r="I24" s="17"/>
      <c r="J24" s="17"/>
      <c r="K24" s="17"/>
      <c r="L24" s="17"/>
      <c r="M24" s="1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spans="1:29" ht="24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17"/>
      <c r="H25" s="17"/>
      <c r="I25" s="17"/>
      <c r="J25" s="17"/>
      <c r="K25" s="17"/>
      <c r="L25" s="17"/>
      <c r="M25" s="1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spans="1:29" ht="24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17"/>
      <c r="H26" s="17"/>
      <c r="I26" s="17"/>
      <c r="J26" s="17"/>
      <c r="K26" s="17"/>
      <c r="L26" s="17"/>
      <c r="M26" s="1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spans="1:29" ht="24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17"/>
      <c r="H27" s="17"/>
      <c r="I27" s="17"/>
      <c r="J27" s="17"/>
      <c r="K27" s="17"/>
      <c r="L27" s="17"/>
      <c r="M27" s="1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spans="1:29" ht="24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17"/>
      <c r="H28" s="17"/>
      <c r="I28" s="17"/>
      <c r="J28" s="17"/>
      <c r="K28" s="17"/>
      <c r="L28" s="17"/>
      <c r="M28" s="1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spans="1:29" ht="24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17"/>
      <c r="H29" s="17"/>
      <c r="I29" s="17"/>
      <c r="J29" s="17"/>
      <c r="K29" s="17"/>
      <c r="L29" s="17"/>
      <c r="M29" s="1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spans="1:29" ht="24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17"/>
      <c r="H30" s="17"/>
      <c r="I30" s="17"/>
      <c r="J30" s="17"/>
      <c r="K30" s="17"/>
      <c r="L30" s="17"/>
      <c r="M30" s="1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spans="1:29" ht="24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17"/>
      <c r="H31" s="17"/>
      <c r="I31" s="17"/>
      <c r="J31" s="17"/>
      <c r="K31" s="17"/>
      <c r="L31" s="17"/>
      <c r="M31" s="1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spans="1:29" ht="24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17"/>
      <c r="H32" s="17"/>
      <c r="I32" s="17"/>
      <c r="J32" s="17"/>
      <c r="K32" s="17"/>
      <c r="L32" s="17"/>
      <c r="M32" s="1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spans="1:29" ht="24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17"/>
      <c r="H33" s="17"/>
      <c r="I33" s="17"/>
      <c r="J33" s="17"/>
      <c r="K33" s="17"/>
      <c r="L33" s="17"/>
      <c r="M33" s="1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spans="1:29" ht="24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17"/>
      <c r="H34" s="17"/>
      <c r="I34" s="17"/>
      <c r="J34" s="17"/>
      <c r="K34" s="17"/>
      <c r="L34" s="17"/>
      <c r="M34" s="1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spans="1:29" ht="24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17"/>
      <c r="H35" s="17"/>
      <c r="I35" s="17"/>
      <c r="J35" s="17"/>
      <c r="K35" s="17"/>
      <c r="L35" s="17"/>
      <c r="M35" s="1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spans="1:29" ht="24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17"/>
      <c r="H36" s="17"/>
      <c r="I36" s="17"/>
      <c r="J36" s="17"/>
      <c r="K36" s="17"/>
      <c r="L36" s="17"/>
      <c r="M36" s="1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spans="1:29" ht="24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17"/>
      <c r="H37" s="17"/>
      <c r="I37" s="17"/>
      <c r="J37" s="17"/>
      <c r="K37" s="17"/>
      <c r="L37" s="17"/>
      <c r="M37" s="1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spans="1:29" ht="24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17"/>
      <c r="H38" s="17"/>
      <c r="I38" s="17"/>
      <c r="J38" s="17"/>
      <c r="K38" s="17"/>
      <c r="L38" s="17"/>
      <c r="M38" s="1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spans="1:29" ht="24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17"/>
      <c r="H39" s="17"/>
      <c r="I39" s="17"/>
      <c r="J39" s="17"/>
      <c r="K39" s="17"/>
      <c r="L39" s="17"/>
      <c r="M39" s="1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spans="1:29" x14ac:dyDescent="0.6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spans="1:29" x14ac:dyDescent="0.6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spans="1:29" x14ac:dyDescent="0.6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spans="1:29" x14ac:dyDescent="0.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spans="1:29" x14ac:dyDescent="0.6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spans="1:29" x14ac:dyDescent="0.6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spans="1:29" x14ac:dyDescent="0.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spans="1:29" x14ac:dyDescent="0.6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spans="1:29" x14ac:dyDescent="0.6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spans="1:29" x14ac:dyDescent="0.6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spans="1:29" x14ac:dyDescent="0.6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spans="1:29" x14ac:dyDescent="0.6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spans="1:29" x14ac:dyDescent="0.6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spans="1:29" x14ac:dyDescent="0.6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spans="1:29" x14ac:dyDescent="0.6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spans="1:29" x14ac:dyDescent="0.6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spans="1:29" x14ac:dyDescent="0.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spans="1:29" x14ac:dyDescent="0.6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spans="1:29" x14ac:dyDescent="0.6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spans="1:29" x14ac:dyDescent="0.6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</sheetData>
  <mergeCells count="6">
    <mergeCell ref="G4:H4"/>
    <mergeCell ref="I4:J4"/>
    <mergeCell ref="A1:M1"/>
    <mergeCell ref="K4:L4"/>
    <mergeCell ref="A4:F4"/>
    <mergeCell ref="A2:M2"/>
  </mergeCells>
  <phoneticPr fontId="16" type="noConversion"/>
  <conditionalFormatting sqref="G6:Z39">
    <cfRule type="cellIs" dxfId="21" priority="1" operator="equal">
      <formula>"S"</formula>
    </cfRule>
    <cfRule type="cellIs" dxfId="20" priority="2" operator="equal">
      <formula>"A"</formula>
    </cfRule>
    <cfRule type="cellIs" dxfId="19" priority="3" operator="equal">
      <formula>"C"</formula>
    </cfRule>
    <cfRule type="cellIs" dxfId="18" priority="4" operator="equal">
      <formula>"D"</formula>
    </cfRule>
  </conditionalFormatting>
  <dataValidations count="1">
    <dataValidation type="list" allowBlank="1" sqref="G6:L39" xr:uid="{00000000-0002-0000-0900-000000000000}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V39"/>
  <sheetViews>
    <sheetView workbookViewId="0">
      <pane xSplit="3" ySplit="5" topLeftCell="D6" activePane="bottomRight" state="frozen"/>
      <selection pane="topRight"/>
      <selection pane="bottomLeft"/>
      <selection pane="bottomRight" activeCell="I6" sqref="I6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4" width="10" customWidth="1"/>
    <col min="5" max="5" width="12" customWidth="1"/>
    <col min="6" max="18" width="7" customWidth="1"/>
    <col min="19" max="21" width="8" customWidth="1"/>
    <col min="22" max="22" width="25" customWidth="1"/>
  </cols>
  <sheetData>
    <row r="1" spans="1:22" ht="28.05" customHeight="1" x14ac:dyDescent="0.6">
      <c r="A1" s="82" t="s">
        <v>434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7"/>
    </row>
    <row r="2" spans="1:22" x14ac:dyDescent="0.6">
      <c r="A2" s="80" t="s">
        <v>435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7"/>
    </row>
    <row r="5" spans="1:22" ht="32" customHeight="1" x14ac:dyDescent="0.6">
      <c r="A5" s="42" t="s">
        <v>144</v>
      </c>
      <c r="B5" s="42" t="s">
        <v>145</v>
      </c>
      <c r="C5" s="42" t="s">
        <v>146</v>
      </c>
      <c r="D5" s="42" t="s">
        <v>147</v>
      </c>
      <c r="E5" s="42" t="s">
        <v>148</v>
      </c>
      <c r="F5" s="42" t="s">
        <v>151</v>
      </c>
      <c r="G5" s="42" t="s">
        <v>436</v>
      </c>
      <c r="H5" s="42" t="s">
        <v>437</v>
      </c>
      <c r="I5" s="42" t="s">
        <v>438</v>
      </c>
      <c r="J5" s="42" t="s">
        <v>439</v>
      </c>
      <c r="K5" s="42" t="s">
        <v>440</v>
      </c>
      <c r="L5" s="42" t="s">
        <v>441</v>
      </c>
      <c r="M5" s="42" t="s">
        <v>442</v>
      </c>
      <c r="N5" s="42" t="s">
        <v>443</v>
      </c>
      <c r="O5" s="42" t="s">
        <v>444</v>
      </c>
      <c r="P5" s="42" t="s">
        <v>445</v>
      </c>
      <c r="Q5" s="42" t="s">
        <v>446</v>
      </c>
      <c r="R5" s="42" t="s">
        <v>447</v>
      </c>
      <c r="S5" s="42" t="s">
        <v>448</v>
      </c>
      <c r="T5" s="42" t="s">
        <v>449</v>
      </c>
      <c r="U5" s="42" t="s">
        <v>450</v>
      </c>
      <c r="V5" s="42" t="s">
        <v>451</v>
      </c>
    </row>
    <row r="6" spans="1:22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13" t="str">
        <f>'04_역할평가'!I6</f>
        <v>D</v>
      </c>
      <c r="H6" s="13" t="str">
        <f>'04_역할평가'!I46</f>
        <v>D</v>
      </c>
      <c r="I6" s="39">
        <f>IF(OR(G6="",H6=""),"",(IF(G6="S",5,IF(G6="A",4,IF(G6="B",3,IF(G6="C",2,IF(G6="D",1,0))))) * '02_의사결정·종합결과'!$B$7 + IF(H6="S",5,IF(H6="A",4,IF(H6="B",3,IF(H6="C",2,IF(H6="D",1,0))))) * '02_의사결정·종합결과'!$B$8))</f>
        <v>1</v>
      </c>
      <c r="J6" s="13" t="str">
        <f>'05_공통역량평가'!I6</f>
        <v>D</v>
      </c>
      <c r="K6" s="13" t="str">
        <f>'05_공통역량평가'!I46</f>
        <v>D</v>
      </c>
      <c r="L6" s="39">
        <f>IF(OR(J6="",K6=""),"",IF(J6="S",5,IF(J6="A",4,IF(J6="B",3,IF(J6="C",2,IF(J6="D",1,0))))) * '02_의사결정·종합결과'!$B$7 + IF(K6="S",5,IF(K6="A",4,IF(K6="B",3,IF(K6="C",2,IF(K6="D",1,0))))) * '02_의사결정·종합결과'!$B$8)</f>
        <v>1</v>
      </c>
      <c r="M6" s="13" t="str">
        <f>'06_직무역량평가'!J6</f>
        <v>D</v>
      </c>
      <c r="N6" s="13" t="str">
        <f>'06_직무역량평가'!J46</f>
        <v>D</v>
      </c>
      <c r="O6" s="39">
        <f>IF(OR(M6="",N6=""),"",IF(M6="S",5,IF(M6="A",4,IF(M6="B",3,IF(M6="C",2,IF(M6="D",1,0))))) * '02_의사결정·종합결과'!$B$7 + IF(N6="S",5,IF(N6="A",4,IF(N6="B",3,IF(N6="C",2,IF(N6="D",1,0))))) * '02_의사결정·종합결과'!$B$8)</f>
        <v>1</v>
      </c>
      <c r="P6" s="22">
        <f>IFERROR(VLOOKUP(F6,'02_의사결정·종합결과'!$A$16:$D$22,2,FALSE),"")</f>
        <v>0.4</v>
      </c>
      <c r="Q6" s="22">
        <f>IFERROR(VLOOKUP(F6,'02_의사결정·종합결과'!$A$16:$D$22,3,FALSE),"")</f>
        <v>0.25</v>
      </c>
      <c r="R6" s="22">
        <f>IFERROR(VLOOKUP(F6,'02_의사결정·종합결과'!$A$16:$D$22,4,FALSE),"")</f>
        <v>0.35</v>
      </c>
      <c r="S6" s="43">
        <f t="shared" ref="S6:S39" si="0">IF(OR(I6="",L6="",O6=""),"",I6*P6+L6*Q6+O6*R6)</f>
        <v>1</v>
      </c>
      <c r="T6" s="40" t="str">
        <f t="shared" ref="T6:T39" si="1">IF(S6="","",IF(S6&gt;=4.5,"S",IF(S6&gt;=3.5,"A",IF(S6&gt;=2.5,"B",IF(S6&gt;=1.5,"C","D")))))</f>
        <v>D</v>
      </c>
      <c r="U6" s="44" t="str">
        <f>IF('02_의사결정·종합결과'!$B$6="절대평가",T6,T6)</f>
        <v>D</v>
      </c>
      <c r="V6" s="1"/>
    </row>
    <row r="7" spans="1:22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13" t="str">
        <f>'04_역할평가'!I7</f>
        <v>D</v>
      </c>
      <c r="H7" s="13" t="str">
        <f>'04_역할평가'!I47</f>
        <v>D</v>
      </c>
      <c r="I7" s="39">
        <f>IF(OR(G7="",H7=""),"",(IF(G7="S",5,IF(G7="A",4,IF(G7="B",3,IF(G7="C",2,IF(G7="D",1,0))))) * '02_의사결정·종합결과'!$B$7 + IF(H7="S",5,IF(H7="A",4,IF(H7="B",3,IF(H7="C",2,IF(H7="D",1,0))))) * '02_의사결정·종합결과'!$B$8))</f>
        <v>1</v>
      </c>
      <c r="J7" s="13" t="str">
        <f>'05_공통역량평가'!I7</f>
        <v>D</v>
      </c>
      <c r="K7" s="13" t="str">
        <f>'05_공통역량평가'!I47</f>
        <v>D</v>
      </c>
      <c r="L7" s="39">
        <f>IF(OR(J7="",K7=""),"",IF(J7="S",5,IF(J7="A",4,IF(J7="B",3,IF(J7="C",2,IF(J7="D",1,0))))) * '02_의사결정·종합결과'!$B$7 + IF(K7="S",5,IF(K7="A",4,IF(K7="B",3,IF(K7="C",2,IF(K7="D",1,0))))) * '02_의사결정·종합결과'!$B$8)</f>
        <v>1</v>
      </c>
      <c r="M7" s="13" t="str">
        <f>'06_직무역량평가'!J7</f>
        <v>D</v>
      </c>
      <c r="N7" s="13" t="str">
        <f>'06_직무역량평가'!J47</f>
        <v>D</v>
      </c>
      <c r="O7" s="39">
        <f>IF(OR(M7="",N7=""),"",IF(M7="S",5,IF(M7="A",4,IF(M7="B",3,IF(M7="C",2,IF(M7="D",1,0))))) * '02_의사결정·종합결과'!$B$7 + IF(N7="S",5,IF(N7="A",4,IF(N7="B",3,IF(N7="C",2,IF(N7="D",1,0))))) * '02_의사결정·종합결과'!$B$8)</f>
        <v>1</v>
      </c>
      <c r="P7" s="22">
        <f>IFERROR(VLOOKUP(F7,'02_의사결정·종합결과'!$A$16:$D$22,2,FALSE),"")</f>
        <v>0.4</v>
      </c>
      <c r="Q7" s="22">
        <f>IFERROR(VLOOKUP(F7,'02_의사결정·종합결과'!$A$16:$D$22,3,FALSE),"")</f>
        <v>0.25</v>
      </c>
      <c r="R7" s="22">
        <f>IFERROR(VLOOKUP(F7,'02_의사결정·종합결과'!$A$16:$D$22,4,FALSE),"")</f>
        <v>0.35</v>
      </c>
      <c r="S7" s="43">
        <f t="shared" si="0"/>
        <v>1</v>
      </c>
      <c r="T7" s="40" t="str">
        <f t="shared" si="1"/>
        <v>D</v>
      </c>
      <c r="U7" s="44" t="str">
        <f>IF('02_의사결정·종합결과'!$B$6="절대평가",T7,T7)</f>
        <v>D</v>
      </c>
      <c r="V7" s="1"/>
    </row>
    <row r="8" spans="1:22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13" t="str">
        <f>'04_역할평가'!I8</f>
        <v>D</v>
      </c>
      <c r="H8" s="13" t="str">
        <f>'04_역할평가'!I48</f>
        <v>D</v>
      </c>
      <c r="I8" s="39">
        <f>IF(OR(G8="",H8=""),"",(IF(G8="S",5,IF(G8="A",4,IF(G8="B",3,IF(G8="C",2,IF(G8="D",1,0))))) * '02_의사결정·종합결과'!$B$7 + IF(H8="S",5,IF(H8="A",4,IF(H8="B",3,IF(H8="C",2,IF(H8="D",1,0))))) * '02_의사결정·종합결과'!$B$8))</f>
        <v>1</v>
      </c>
      <c r="J8" s="13" t="str">
        <f>'05_공통역량평가'!I8</f>
        <v>D</v>
      </c>
      <c r="K8" s="13" t="str">
        <f>'05_공통역량평가'!I48</f>
        <v>D</v>
      </c>
      <c r="L8" s="39">
        <f>IF(OR(J8="",K8=""),"",IF(J8="S",5,IF(J8="A",4,IF(J8="B",3,IF(J8="C",2,IF(J8="D",1,0))))) * '02_의사결정·종합결과'!$B$7 + IF(K8="S",5,IF(K8="A",4,IF(K8="B",3,IF(K8="C",2,IF(K8="D",1,0))))) * '02_의사결정·종합결과'!$B$8)</f>
        <v>1</v>
      </c>
      <c r="M8" s="13" t="str">
        <f>'06_직무역량평가'!J8</f>
        <v>D</v>
      </c>
      <c r="N8" s="13" t="str">
        <f>'06_직무역량평가'!J48</f>
        <v>D</v>
      </c>
      <c r="O8" s="39">
        <f>IF(OR(M8="",N8=""),"",IF(M8="S",5,IF(M8="A",4,IF(M8="B",3,IF(M8="C",2,IF(M8="D",1,0))))) * '02_의사결정·종합결과'!$B$7 + IF(N8="S",5,IF(N8="A",4,IF(N8="B",3,IF(N8="C",2,IF(N8="D",1,0))))) * '02_의사결정·종합결과'!$B$8)</f>
        <v>1</v>
      </c>
      <c r="P8" s="22">
        <f>IFERROR(VLOOKUP(F8,'02_의사결정·종합결과'!$A$16:$D$22,2,FALSE),"")</f>
        <v>0.4</v>
      </c>
      <c r="Q8" s="22">
        <f>IFERROR(VLOOKUP(F8,'02_의사결정·종합결과'!$A$16:$D$22,3,FALSE),"")</f>
        <v>0.25</v>
      </c>
      <c r="R8" s="22">
        <f>IFERROR(VLOOKUP(F8,'02_의사결정·종합결과'!$A$16:$D$22,4,FALSE),"")</f>
        <v>0.35</v>
      </c>
      <c r="S8" s="43">
        <f t="shared" si="0"/>
        <v>1</v>
      </c>
      <c r="T8" s="40" t="str">
        <f t="shared" si="1"/>
        <v>D</v>
      </c>
      <c r="U8" s="44" t="str">
        <f>IF('02_의사결정·종합결과'!$B$6="절대평가",T8,T8)</f>
        <v>D</v>
      </c>
      <c r="V8" s="1"/>
    </row>
    <row r="9" spans="1:22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13" t="str">
        <f>'04_역할평가'!I9</f>
        <v>D</v>
      </c>
      <c r="H9" s="13" t="str">
        <f>'04_역할평가'!I49</f>
        <v>D</v>
      </c>
      <c r="I9" s="39">
        <f>IF(OR(G9="",H9=""),"",(IF(G9="S",5,IF(G9="A",4,IF(G9="B",3,IF(G9="C",2,IF(G9="D",1,0))))) * '02_의사결정·종합결과'!$B$7 + IF(H9="S",5,IF(H9="A",4,IF(H9="B",3,IF(H9="C",2,IF(H9="D",1,0))))) * '02_의사결정·종합결과'!$B$8))</f>
        <v>1</v>
      </c>
      <c r="J9" s="13" t="str">
        <f>'05_공통역량평가'!I9</f>
        <v>D</v>
      </c>
      <c r="K9" s="13" t="str">
        <f>'05_공통역량평가'!I49</f>
        <v>D</v>
      </c>
      <c r="L9" s="39">
        <f>IF(OR(J9="",K9=""),"",IF(J9="S",5,IF(J9="A",4,IF(J9="B",3,IF(J9="C",2,IF(J9="D",1,0))))) * '02_의사결정·종합결과'!$B$7 + IF(K9="S",5,IF(K9="A",4,IF(K9="B",3,IF(K9="C",2,IF(K9="D",1,0))))) * '02_의사결정·종합결과'!$B$8)</f>
        <v>1</v>
      </c>
      <c r="M9" s="13" t="str">
        <f>'06_직무역량평가'!J9</f>
        <v>D</v>
      </c>
      <c r="N9" s="13" t="str">
        <f>'06_직무역량평가'!J49</f>
        <v>D</v>
      </c>
      <c r="O9" s="39">
        <f>IF(OR(M9="",N9=""),"",IF(M9="S",5,IF(M9="A",4,IF(M9="B",3,IF(M9="C",2,IF(M9="D",1,0))))) * '02_의사결정·종합결과'!$B$7 + IF(N9="S",5,IF(N9="A",4,IF(N9="B",3,IF(N9="C",2,IF(N9="D",1,0))))) * '02_의사결정·종합결과'!$B$8)</f>
        <v>1</v>
      </c>
      <c r="P9" s="22">
        <f>IFERROR(VLOOKUP(F9,'02_의사결정·종합결과'!$A$16:$D$22,2,FALSE),"")</f>
        <v>0.4</v>
      </c>
      <c r="Q9" s="22">
        <f>IFERROR(VLOOKUP(F9,'02_의사결정·종합결과'!$A$16:$D$22,3,FALSE),"")</f>
        <v>0.25</v>
      </c>
      <c r="R9" s="22">
        <f>IFERROR(VLOOKUP(F9,'02_의사결정·종합결과'!$A$16:$D$22,4,FALSE),"")</f>
        <v>0.35</v>
      </c>
      <c r="S9" s="43">
        <f t="shared" si="0"/>
        <v>1</v>
      </c>
      <c r="T9" s="40" t="str">
        <f t="shared" si="1"/>
        <v>D</v>
      </c>
      <c r="U9" s="44" t="str">
        <f>IF('02_의사결정·종합결과'!$B$6="절대평가",T9,T9)</f>
        <v>D</v>
      </c>
      <c r="V9" s="1"/>
    </row>
    <row r="10" spans="1:22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13" t="str">
        <f>'04_역할평가'!I10</f>
        <v>D</v>
      </c>
      <c r="H10" s="13" t="str">
        <f>'04_역할평가'!I50</f>
        <v>D</v>
      </c>
      <c r="I10" s="39">
        <f>IF(OR(G10="",H10=""),"",(IF(G10="S",5,IF(G10="A",4,IF(G10="B",3,IF(G10="C",2,IF(G10="D",1,0))))) * '02_의사결정·종합결과'!$B$7 + IF(H10="S",5,IF(H10="A",4,IF(H10="B",3,IF(H10="C",2,IF(H10="D",1,0))))) * '02_의사결정·종합결과'!$B$8))</f>
        <v>1</v>
      </c>
      <c r="J10" s="13" t="str">
        <f>'05_공통역량평가'!I10</f>
        <v>D</v>
      </c>
      <c r="K10" s="13" t="str">
        <f>'05_공통역량평가'!I50</f>
        <v>D</v>
      </c>
      <c r="L10" s="39">
        <f>IF(OR(J10="",K10=""),"",IF(J10="S",5,IF(J10="A",4,IF(J10="B",3,IF(J10="C",2,IF(J10="D",1,0))))) * '02_의사결정·종합결과'!$B$7 + IF(K10="S",5,IF(K10="A",4,IF(K10="B",3,IF(K10="C",2,IF(K10="D",1,0))))) * '02_의사결정·종합결과'!$B$8)</f>
        <v>1</v>
      </c>
      <c r="M10" s="13" t="str">
        <f>'06_직무역량평가'!J10</f>
        <v>D</v>
      </c>
      <c r="N10" s="13" t="str">
        <f>'06_직무역량평가'!J50</f>
        <v>D</v>
      </c>
      <c r="O10" s="39">
        <f>IF(OR(M10="",N10=""),"",IF(M10="S",5,IF(M10="A",4,IF(M10="B",3,IF(M10="C",2,IF(M10="D",1,0))))) * '02_의사결정·종합결과'!$B$7 + IF(N10="S",5,IF(N10="A",4,IF(N10="B",3,IF(N10="C",2,IF(N10="D",1,0))))) * '02_의사결정·종합결과'!$B$8)</f>
        <v>1</v>
      </c>
      <c r="P10" s="22">
        <f>IFERROR(VLOOKUP(F10,'02_의사결정·종합결과'!$A$16:$D$22,2,FALSE),"")</f>
        <v>0.4</v>
      </c>
      <c r="Q10" s="22">
        <f>IFERROR(VLOOKUP(F10,'02_의사결정·종합결과'!$A$16:$D$22,3,FALSE),"")</f>
        <v>0.25</v>
      </c>
      <c r="R10" s="22">
        <f>IFERROR(VLOOKUP(F10,'02_의사결정·종합결과'!$A$16:$D$22,4,FALSE),"")</f>
        <v>0.35</v>
      </c>
      <c r="S10" s="43">
        <f t="shared" si="0"/>
        <v>1</v>
      </c>
      <c r="T10" s="40" t="str">
        <f t="shared" si="1"/>
        <v>D</v>
      </c>
      <c r="U10" s="44" t="str">
        <f>IF('02_의사결정·종합결과'!$B$6="절대평가",T10,T10)</f>
        <v>D</v>
      </c>
      <c r="V10" s="1"/>
    </row>
    <row r="11" spans="1:22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13" t="str">
        <f>'04_역할평가'!I11</f>
        <v>D</v>
      </c>
      <c r="H11" s="13" t="str">
        <f>'04_역할평가'!I51</f>
        <v>D</v>
      </c>
      <c r="I11" s="39">
        <f>IF(OR(G11="",H11=""),"",(IF(G11="S",5,IF(G11="A",4,IF(G11="B",3,IF(G11="C",2,IF(G11="D",1,0))))) * '02_의사결정·종합결과'!$B$7 + IF(H11="S",5,IF(H11="A",4,IF(H11="B",3,IF(H11="C",2,IF(H11="D",1,0))))) * '02_의사결정·종합결과'!$B$8))</f>
        <v>1</v>
      </c>
      <c r="J11" s="13" t="str">
        <f>'05_공통역량평가'!I11</f>
        <v>D</v>
      </c>
      <c r="K11" s="13" t="str">
        <f>'05_공통역량평가'!I51</f>
        <v>D</v>
      </c>
      <c r="L11" s="39">
        <f>IF(OR(J11="",K11=""),"",IF(J11="S",5,IF(J11="A",4,IF(J11="B",3,IF(J11="C",2,IF(J11="D",1,0))))) * '02_의사결정·종합결과'!$B$7 + IF(K11="S",5,IF(K11="A",4,IF(K11="B",3,IF(K11="C",2,IF(K11="D",1,0))))) * '02_의사결정·종합결과'!$B$8)</f>
        <v>1</v>
      </c>
      <c r="M11" s="13" t="str">
        <f>'06_직무역량평가'!J11</f>
        <v>D</v>
      </c>
      <c r="N11" s="13" t="str">
        <f>'06_직무역량평가'!J51</f>
        <v>D</v>
      </c>
      <c r="O11" s="39">
        <f>IF(OR(M11="",N11=""),"",IF(M11="S",5,IF(M11="A",4,IF(M11="B",3,IF(M11="C",2,IF(M11="D",1,0))))) * '02_의사결정·종합결과'!$B$7 + IF(N11="S",5,IF(N11="A",4,IF(N11="B",3,IF(N11="C",2,IF(N11="D",1,0))))) * '02_의사결정·종합결과'!$B$8)</f>
        <v>1</v>
      </c>
      <c r="P11" s="22">
        <f>IFERROR(VLOOKUP(F11,'02_의사결정·종합결과'!$A$16:$D$22,2,FALSE),"")</f>
        <v>0.4</v>
      </c>
      <c r="Q11" s="22">
        <f>IFERROR(VLOOKUP(F11,'02_의사결정·종합결과'!$A$16:$D$22,3,FALSE),"")</f>
        <v>0.25</v>
      </c>
      <c r="R11" s="22">
        <f>IFERROR(VLOOKUP(F11,'02_의사결정·종합결과'!$A$16:$D$22,4,FALSE),"")</f>
        <v>0.35</v>
      </c>
      <c r="S11" s="43">
        <f t="shared" si="0"/>
        <v>1</v>
      </c>
      <c r="T11" s="40" t="str">
        <f t="shared" si="1"/>
        <v>D</v>
      </c>
      <c r="U11" s="44" t="str">
        <f>IF('02_의사결정·종합결과'!$B$6="절대평가",T11,T11)</f>
        <v>D</v>
      </c>
      <c r="V11" s="1"/>
    </row>
    <row r="12" spans="1:22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13" t="str">
        <f>'04_역할평가'!I12</f>
        <v>D</v>
      </c>
      <c r="H12" s="13" t="str">
        <f>'04_역할평가'!I52</f>
        <v>D</v>
      </c>
      <c r="I12" s="39">
        <f>IF(OR(G12="",H12=""),"",(IF(G12="S",5,IF(G12="A",4,IF(G12="B",3,IF(G12="C",2,IF(G12="D",1,0))))) * '02_의사결정·종합결과'!$B$7 + IF(H12="S",5,IF(H12="A",4,IF(H12="B",3,IF(H12="C",2,IF(H12="D",1,0))))) * '02_의사결정·종합결과'!$B$8))</f>
        <v>1</v>
      </c>
      <c r="J12" s="13" t="str">
        <f>'05_공통역량평가'!I12</f>
        <v>D</v>
      </c>
      <c r="K12" s="13" t="str">
        <f>'05_공통역량평가'!I52</f>
        <v>D</v>
      </c>
      <c r="L12" s="39">
        <f>IF(OR(J12="",K12=""),"",IF(J12="S",5,IF(J12="A",4,IF(J12="B",3,IF(J12="C",2,IF(J12="D",1,0))))) * '02_의사결정·종합결과'!$B$7 + IF(K12="S",5,IF(K12="A",4,IF(K12="B",3,IF(K12="C",2,IF(K12="D",1,0))))) * '02_의사결정·종합결과'!$B$8)</f>
        <v>1</v>
      </c>
      <c r="M12" s="13" t="str">
        <f>'06_직무역량평가'!J12</f>
        <v>D</v>
      </c>
      <c r="N12" s="13" t="str">
        <f>'06_직무역량평가'!J52</f>
        <v>D</v>
      </c>
      <c r="O12" s="39">
        <f>IF(OR(M12="",N12=""),"",IF(M12="S",5,IF(M12="A",4,IF(M12="B",3,IF(M12="C",2,IF(M12="D",1,0))))) * '02_의사결정·종합결과'!$B$7 + IF(N12="S",5,IF(N12="A",4,IF(N12="B",3,IF(N12="C",2,IF(N12="D",1,0))))) * '02_의사결정·종합결과'!$B$8)</f>
        <v>1</v>
      </c>
      <c r="P12" s="22">
        <f>IFERROR(VLOOKUP(F12,'02_의사결정·종합결과'!$A$16:$D$22,2,FALSE),"")</f>
        <v>0.35</v>
      </c>
      <c r="Q12" s="22">
        <f>IFERROR(VLOOKUP(F12,'02_의사결정·종합결과'!$A$16:$D$22,3,FALSE),"")</f>
        <v>0.3</v>
      </c>
      <c r="R12" s="22">
        <f>IFERROR(VLOOKUP(F12,'02_의사결정·종합결과'!$A$16:$D$22,4,FALSE),"")</f>
        <v>0.35</v>
      </c>
      <c r="S12" s="43">
        <f t="shared" si="0"/>
        <v>0.99999999999999989</v>
      </c>
      <c r="T12" s="40" t="str">
        <f t="shared" si="1"/>
        <v>D</v>
      </c>
      <c r="U12" s="44" t="str">
        <f>IF('02_의사결정·종합결과'!$B$6="절대평가",T12,T12)</f>
        <v>D</v>
      </c>
      <c r="V12" s="1"/>
    </row>
    <row r="13" spans="1:22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13" t="str">
        <f>'04_역할평가'!I13</f>
        <v>D</v>
      </c>
      <c r="H13" s="13" t="str">
        <f>'04_역할평가'!I53</f>
        <v>D</v>
      </c>
      <c r="I13" s="39">
        <f>IF(OR(G13="",H13=""),"",(IF(G13="S",5,IF(G13="A",4,IF(G13="B",3,IF(G13="C",2,IF(G13="D",1,0))))) * '02_의사결정·종합결과'!$B$7 + IF(H13="S",5,IF(H13="A",4,IF(H13="B",3,IF(H13="C",2,IF(H13="D",1,0))))) * '02_의사결정·종합결과'!$B$8))</f>
        <v>1</v>
      </c>
      <c r="J13" s="13" t="str">
        <f>'05_공통역량평가'!I13</f>
        <v>D</v>
      </c>
      <c r="K13" s="13" t="str">
        <f>'05_공통역량평가'!I53</f>
        <v>D</v>
      </c>
      <c r="L13" s="39">
        <f>IF(OR(J13="",K13=""),"",IF(J13="S",5,IF(J13="A",4,IF(J13="B",3,IF(J13="C",2,IF(J13="D",1,0))))) * '02_의사결정·종합결과'!$B$7 + IF(K13="S",5,IF(K13="A",4,IF(K13="B",3,IF(K13="C",2,IF(K13="D",1,0))))) * '02_의사결정·종합결과'!$B$8)</f>
        <v>1</v>
      </c>
      <c r="M13" s="13" t="str">
        <f>'06_직무역량평가'!J13</f>
        <v>D</v>
      </c>
      <c r="N13" s="13" t="str">
        <f>'06_직무역량평가'!J53</f>
        <v>D</v>
      </c>
      <c r="O13" s="39">
        <f>IF(OR(M13="",N13=""),"",IF(M13="S",5,IF(M13="A",4,IF(M13="B",3,IF(M13="C",2,IF(M13="D",1,0))))) * '02_의사결정·종합결과'!$B$7 + IF(N13="S",5,IF(N13="A",4,IF(N13="B",3,IF(N13="C",2,IF(N13="D",1,0))))) * '02_의사결정·종합결과'!$B$8)</f>
        <v>1</v>
      </c>
      <c r="P13" s="22">
        <f>IFERROR(VLOOKUP(F13,'02_의사결정·종합결과'!$A$16:$D$22,2,FALSE),"")</f>
        <v>0.35</v>
      </c>
      <c r="Q13" s="22">
        <f>IFERROR(VLOOKUP(F13,'02_의사결정·종합결과'!$A$16:$D$22,3,FALSE),"")</f>
        <v>0.3</v>
      </c>
      <c r="R13" s="22">
        <f>IFERROR(VLOOKUP(F13,'02_의사결정·종합결과'!$A$16:$D$22,4,FALSE),"")</f>
        <v>0.35</v>
      </c>
      <c r="S13" s="43">
        <f t="shared" si="0"/>
        <v>0.99999999999999989</v>
      </c>
      <c r="T13" s="40" t="str">
        <f t="shared" si="1"/>
        <v>D</v>
      </c>
      <c r="U13" s="44" t="str">
        <f>IF('02_의사결정·종합결과'!$B$6="절대평가",T13,T13)</f>
        <v>D</v>
      </c>
      <c r="V13" s="1"/>
    </row>
    <row r="14" spans="1:22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13" t="str">
        <f>'04_역할평가'!I14</f>
        <v>D</v>
      </c>
      <c r="H14" s="13" t="str">
        <f>'04_역할평가'!I54</f>
        <v>D</v>
      </c>
      <c r="I14" s="39">
        <f>IF(OR(G14="",H14=""),"",(IF(G14="S",5,IF(G14="A",4,IF(G14="B",3,IF(G14="C",2,IF(G14="D",1,0))))) * '02_의사결정·종합결과'!$B$7 + IF(H14="S",5,IF(H14="A",4,IF(H14="B",3,IF(H14="C",2,IF(H14="D",1,0))))) * '02_의사결정·종합결과'!$B$8))</f>
        <v>1</v>
      </c>
      <c r="J14" s="13" t="str">
        <f>'05_공통역량평가'!I14</f>
        <v>D</v>
      </c>
      <c r="K14" s="13" t="str">
        <f>'05_공통역량평가'!I54</f>
        <v>D</v>
      </c>
      <c r="L14" s="39">
        <f>IF(OR(J14="",K14=""),"",IF(J14="S",5,IF(J14="A",4,IF(J14="B",3,IF(J14="C",2,IF(J14="D",1,0))))) * '02_의사결정·종합결과'!$B$7 + IF(K14="S",5,IF(K14="A",4,IF(K14="B",3,IF(K14="C",2,IF(K14="D",1,0))))) * '02_의사결정·종합결과'!$B$8)</f>
        <v>1</v>
      </c>
      <c r="M14" s="13" t="str">
        <f>'06_직무역량평가'!J14</f>
        <v>D</v>
      </c>
      <c r="N14" s="13" t="str">
        <f>'06_직무역량평가'!J54</f>
        <v>D</v>
      </c>
      <c r="O14" s="39">
        <f>IF(OR(M14="",N14=""),"",IF(M14="S",5,IF(M14="A",4,IF(M14="B",3,IF(M14="C",2,IF(M14="D",1,0))))) * '02_의사결정·종합결과'!$B$7 + IF(N14="S",5,IF(N14="A",4,IF(N14="B",3,IF(N14="C",2,IF(N14="D",1,0))))) * '02_의사결정·종합결과'!$B$8)</f>
        <v>1</v>
      </c>
      <c r="P14" s="22">
        <f>IFERROR(VLOOKUP(F14,'02_의사결정·종합결과'!$A$16:$D$22,2,FALSE),"")</f>
        <v>0.35</v>
      </c>
      <c r="Q14" s="22">
        <f>IFERROR(VLOOKUP(F14,'02_의사결정·종합결과'!$A$16:$D$22,3,FALSE),"")</f>
        <v>0.3</v>
      </c>
      <c r="R14" s="22">
        <f>IFERROR(VLOOKUP(F14,'02_의사결정·종합결과'!$A$16:$D$22,4,FALSE),"")</f>
        <v>0.35</v>
      </c>
      <c r="S14" s="43">
        <f t="shared" si="0"/>
        <v>0.99999999999999989</v>
      </c>
      <c r="T14" s="40" t="str">
        <f t="shared" si="1"/>
        <v>D</v>
      </c>
      <c r="U14" s="44" t="str">
        <f>IF('02_의사결정·종합결과'!$B$6="절대평가",T14,T14)</f>
        <v>D</v>
      </c>
      <c r="V14" s="1"/>
    </row>
    <row r="15" spans="1:22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13" t="str">
        <f>'04_역할평가'!I15</f>
        <v>D</v>
      </c>
      <c r="H15" s="13" t="str">
        <f>'04_역할평가'!I55</f>
        <v>D</v>
      </c>
      <c r="I15" s="39">
        <f>IF(OR(G15="",H15=""),"",(IF(G15="S",5,IF(G15="A",4,IF(G15="B",3,IF(G15="C",2,IF(G15="D",1,0))))) * '02_의사결정·종합결과'!$B$7 + IF(H15="S",5,IF(H15="A",4,IF(H15="B",3,IF(H15="C",2,IF(H15="D",1,0))))) * '02_의사결정·종합결과'!$B$8))</f>
        <v>1</v>
      </c>
      <c r="J15" s="13" t="str">
        <f>'05_공통역량평가'!I15</f>
        <v>D</v>
      </c>
      <c r="K15" s="13" t="str">
        <f>'05_공통역량평가'!I55</f>
        <v>D</v>
      </c>
      <c r="L15" s="39">
        <f>IF(OR(J15="",K15=""),"",IF(J15="S",5,IF(J15="A",4,IF(J15="B",3,IF(J15="C",2,IF(J15="D",1,0))))) * '02_의사결정·종합결과'!$B$7 + IF(K15="S",5,IF(K15="A",4,IF(K15="B",3,IF(K15="C",2,IF(K15="D",1,0))))) * '02_의사결정·종합결과'!$B$8)</f>
        <v>1</v>
      </c>
      <c r="M15" s="13" t="str">
        <f>'06_직무역량평가'!J15</f>
        <v>D</v>
      </c>
      <c r="N15" s="13" t="str">
        <f>'06_직무역량평가'!J55</f>
        <v>D</v>
      </c>
      <c r="O15" s="39">
        <f>IF(OR(M15="",N15=""),"",IF(M15="S",5,IF(M15="A",4,IF(M15="B",3,IF(M15="C",2,IF(M15="D",1,0))))) * '02_의사결정·종합결과'!$B$7 + IF(N15="S",5,IF(N15="A",4,IF(N15="B",3,IF(N15="C",2,IF(N15="D",1,0))))) * '02_의사결정·종합결과'!$B$8)</f>
        <v>1</v>
      </c>
      <c r="P15" s="22">
        <f>IFERROR(VLOOKUP(F15,'02_의사결정·종합결과'!$A$16:$D$22,2,FALSE),"")</f>
        <v>0.3</v>
      </c>
      <c r="Q15" s="22">
        <f>IFERROR(VLOOKUP(F15,'02_의사결정·종합결과'!$A$16:$D$22,3,FALSE),"")</f>
        <v>0.3</v>
      </c>
      <c r="R15" s="22">
        <f>IFERROR(VLOOKUP(F15,'02_의사결정·종합결과'!$A$16:$D$22,4,FALSE),"")</f>
        <v>0.4</v>
      </c>
      <c r="S15" s="43">
        <f t="shared" si="0"/>
        <v>1</v>
      </c>
      <c r="T15" s="40" t="str">
        <f t="shared" si="1"/>
        <v>D</v>
      </c>
      <c r="U15" s="44" t="str">
        <f>IF('02_의사결정·종합결과'!$B$6="절대평가",T15,T15)</f>
        <v>D</v>
      </c>
      <c r="V15" s="1"/>
    </row>
    <row r="16" spans="1:22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13" t="str">
        <f>'04_역할평가'!I16</f>
        <v>D</v>
      </c>
      <c r="H16" s="13" t="str">
        <f>'04_역할평가'!I56</f>
        <v>D</v>
      </c>
      <c r="I16" s="39">
        <f>IF(OR(G16="",H16=""),"",(IF(G16="S",5,IF(G16="A",4,IF(G16="B",3,IF(G16="C",2,IF(G16="D",1,0))))) * '02_의사결정·종합결과'!$B$7 + IF(H16="S",5,IF(H16="A",4,IF(H16="B",3,IF(H16="C",2,IF(H16="D",1,0))))) * '02_의사결정·종합결과'!$B$8))</f>
        <v>1</v>
      </c>
      <c r="J16" s="13" t="str">
        <f>'05_공통역량평가'!I16</f>
        <v>D</v>
      </c>
      <c r="K16" s="13" t="str">
        <f>'05_공통역량평가'!I56</f>
        <v>D</v>
      </c>
      <c r="L16" s="39">
        <f>IF(OR(J16="",K16=""),"",IF(J16="S",5,IF(J16="A",4,IF(J16="B",3,IF(J16="C",2,IF(J16="D",1,0))))) * '02_의사결정·종합결과'!$B$7 + IF(K16="S",5,IF(K16="A",4,IF(K16="B",3,IF(K16="C",2,IF(K16="D",1,0))))) * '02_의사결정·종합결과'!$B$8)</f>
        <v>1</v>
      </c>
      <c r="M16" s="13" t="str">
        <f>'06_직무역량평가'!J16</f>
        <v>D</v>
      </c>
      <c r="N16" s="13" t="str">
        <f>'06_직무역량평가'!J56</f>
        <v>D</v>
      </c>
      <c r="O16" s="39">
        <f>IF(OR(M16="",N16=""),"",IF(M16="S",5,IF(M16="A",4,IF(M16="B",3,IF(M16="C",2,IF(M16="D",1,0))))) * '02_의사결정·종합결과'!$B$7 + IF(N16="S",5,IF(N16="A",4,IF(N16="B",3,IF(N16="C",2,IF(N16="D",1,0))))) * '02_의사결정·종합결과'!$B$8)</f>
        <v>1</v>
      </c>
      <c r="P16" s="22">
        <f>IFERROR(VLOOKUP(F16,'02_의사결정·종합결과'!$A$16:$D$22,2,FALSE),"")</f>
        <v>0.3</v>
      </c>
      <c r="Q16" s="22">
        <f>IFERROR(VLOOKUP(F16,'02_의사결정·종합결과'!$A$16:$D$22,3,FALSE),"")</f>
        <v>0.3</v>
      </c>
      <c r="R16" s="22">
        <f>IFERROR(VLOOKUP(F16,'02_의사결정·종합결과'!$A$16:$D$22,4,FALSE),"")</f>
        <v>0.4</v>
      </c>
      <c r="S16" s="43">
        <f t="shared" si="0"/>
        <v>1</v>
      </c>
      <c r="T16" s="40" t="str">
        <f t="shared" si="1"/>
        <v>D</v>
      </c>
      <c r="U16" s="44" t="str">
        <f>IF('02_의사결정·종합결과'!$B$6="절대평가",T16,T16)</f>
        <v>D</v>
      </c>
      <c r="V16" s="1"/>
    </row>
    <row r="17" spans="1:22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13" t="str">
        <f>'04_역할평가'!I17</f>
        <v>D</v>
      </c>
      <c r="H17" s="13" t="str">
        <f>'04_역할평가'!I57</f>
        <v>D</v>
      </c>
      <c r="I17" s="39">
        <f>IF(OR(G17="",H17=""),"",(IF(G17="S",5,IF(G17="A",4,IF(G17="B",3,IF(G17="C",2,IF(G17="D",1,0))))) * '02_의사결정·종합결과'!$B$7 + IF(H17="S",5,IF(H17="A",4,IF(H17="B",3,IF(H17="C",2,IF(H17="D",1,0))))) * '02_의사결정·종합결과'!$B$8))</f>
        <v>1</v>
      </c>
      <c r="J17" s="13" t="str">
        <f>'05_공통역량평가'!I17</f>
        <v>D</v>
      </c>
      <c r="K17" s="13" t="str">
        <f>'05_공통역량평가'!I57</f>
        <v>D</v>
      </c>
      <c r="L17" s="39">
        <f>IF(OR(J17="",K17=""),"",IF(J17="S",5,IF(J17="A",4,IF(J17="B",3,IF(J17="C",2,IF(J17="D",1,0))))) * '02_의사결정·종합결과'!$B$7 + IF(K17="S",5,IF(K17="A",4,IF(K17="B",3,IF(K17="C",2,IF(K17="D",1,0))))) * '02_의사결정·종합결과'!$B$8)</f>
        <v>1</v>
      </c>
      <c r="M17" s="13" t="str">
        <f>'06_직무역량평가'!J17</f>
        <v>D</v>
      </c>
      <c r="N17" s="13" t="str">
        <f>'06_직무역량평가'!J57</f>
        <v>D</v>
      </c>
      <c r="O17" s="39">
        <f>IF(OR(M17="",N17=""),"",IF(M17="S",5,IF(M17="A",4,IF(M17="B",3,IF(M17="C",2,IF(M17="D",1,0))))) * '02_의사결정·종합결과'!$B$7 + IF(N17="S",5,IF(N17="A",4,IF(N17="B",3,IF(N17="C",2,IF(N17="D",1,0))))) * '02_의사결정·종합결과'!$B$8)</f>
        <v>1</v>
      </c>
      <c r="P17" s="22">
        <f>IFERROR(VLOOKUP(F17,'02_의사결정·종합결과'!$A$16:$D$22,2,FALSE),"")</f>
        <v>0.35</v>
      </c>
      <c r="Q17" s="22">
        <f>IFERROR(VLOOKUP(F17,'02_의사결정·종합결과'!$A$16:$D$22,3,FALSE),"")</f>
        <v>0.3</v>
      </c>
      <c r="R17" s="22">
        <f>IFERROR(VLOOKUP(F17,'02_의사결정·종합결과'!$A$16:$D$22,4,FALSE),"")</f>
        <v>0.35</v>
      </c>
      <c r="S17" s="43">
        <f t="shared" si="0"/>
        <v>0.99999999999999989</v>
      </c>
      <c r="T17" s="40" t="str">
        <f t="shared" si="1"/>
        <v>D</v>
      </c>
      <c r="U17" s="44" t="str">
        <f>IF('02_의사결정·종합결과'!$B$6="절대평가",T17,T17)</f>
        <v>D</v>
      </c>
      <c r="V17" s="1"/>
    </row>
    <row r="18" spans="1:22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13" t="str">
        <f>'04_역할평가'!I18</f>
        <v>D</v>
      </c>
      <c r="H18" s="13" t="str">
        <f>'04_역할평가'!I58</f>
        <v>D</v>
      </c>
      <c r="I18" s="39">
        <f>IF(OR(G18="",H18=""),"",(IF(G18="S",5,IF(G18="A",4,IF(G18="B",3,IF(G18="C",2,IF(G18="D",1,0))))) * '02_의사결정·종합결과'!$B$7 + IF(H18="S",5,IF(H18="A",4,IF(H18="B",3,IF(H18="C",2,IF(H18="D",1,0))))) * '02_의사결정·종합결과'!$B$8))</f>
        <v>1</v>
      </c>
      <c r="J18" s="13" t="str">
        <f>'05_공통역량평가'!I18</f>
        <v>D</v>
      </c>
      <c r="K18" s="13" t="str">
        <f>'05_공통역량평가'!I58</f>
        <v>D</v>
      </c>
      <c r="L18" s="39">
        <f>IF(OR(J18="",K18=""),"",IF(J18="S",5,IF(J18="A",4,IF(J18="B",3,IF(J18="C",2,IF(J18="D",1,0))))) * '02_의사결정·종합결과'!$B$7 + IF(K18="S",5,IF(K18="A",4,IF(K18="B",3,IF(K18="C",2,IF(K18="D",1,0))))) * '02_의사결정·종합결과'!$B$8)</f>
        <v>1</v>
      </c>
      <c r="M18" s="13" t="str">
        <f>'06_직무역량평가'!J18</f>
        <v>D</v>
      </c>
      <c r="N18" s="13" t="str">
        <f>'06_직무역량평가'!J58</f>
        <v>D</v>
      </c>
      <c r="O18" s="39">
        <f>IF(OR(M18="",N18=""),"",IF(M18="S",5,IF(M18="A",4,IF(M18="B",3,IF(M18="C",2,IF(M18="D",1,0))))) * '02_의사결정·종합결과'!$B$7 + IF(N18="S",5,IF(N18="A",4,IF(N18="B",3,IF(N18="C",2,IF(N18="D",1,0))))) * '02_의사결정·종합결과'!$B$8)</f>
        <v>1</v>
      </c>
      <c r="P18" s="22">
        <f>IFERROR(VLOOKUP(F18,'02_의사결정·종합결과'!$A$16:$D$22,2,FALSE),"")</f>
        <v>0.3</v>
      </c>
      <c r="Q18" s="22">
        <f>IFERROR(VLOOKUP(F18,'02_의사결정·종합결과'!$A$16:$D$22,3,FALSE),"")</f>
        <v>0.3</v>
      </c>
      <c r="R18" s="22">
        <f>IFERROR(VLOOKUP(F18,'02_의사결정·종합결과'!$A$16:$D$22,4,FALSE),"")</f>
        <v>0.4</v>
      </c>
      <c r="S18" s="43">
        <f t="shared" si="0"/>
        <v>1</v>
      </c>
      <c r="T18" s="40" t="str">
        <f t="shared" si="1"/>
        <v>D</v>
      </c>
      <c r="U18" s="44" t="str">
        <f>IF('02_의사결정·종합결과'!$B$6="절대평가",T18,T18)</f>
        <v>D</v>
      </c>
      <c r="V18" s="1"/>
    </row>
    <row r="19" spans="1:22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13" t="str">
        <f>'04_역할평가'!I19</f>
        <v>D</v>
      </c>
      <c r="H19" s="13" t="str">
        <f>'04_역할평가'!I59</f>
        <v>D</v>
      </c>
      <c r="I19" s="39">
        <f>IF(OR(G19="",H19=""),"",(IF(G19="S",5,IF(G19="A",4,IF(G19="B",3,IF(G19="C",2,IF(G19="D",1,0))))) * '02_의사결정·종합결과'!$B$7 + IF(H19="S",5,IF(H19="A",4,IF(H19="B",3,IF(H19="C",2,IF(H19="D",1,0))))) * '02_의사결정·종합결과'!$B$8))</f>
        <v>1</v>
      </c>
      <c r="J19" s="13" t="str">
        <f>'05_공통역량평가'!I19</f>
        <v>D</v>
      </c>
      <c r="K19" s="13" t="str">
        <f>'05_공통역량평가'!I59</f>
        <v>D</v>
      </c>
      <c r="L19" s="39">
        <f>IF(OR(J19="",K19=""),"",IF(J19="S",5,IF(J19="A",4,IF(J19="B",3,IF(J19="C",2,IF(J19="D",1,0))))) * '02_의사결정·종합결과'!$B$7 + IF(K19="S",5,IF(K19="A",4,IF(K19="B",3,IF(K19="C",2,IF(K19="D",1,0))))) * '02_의사결정·종합결과'!$B$8)</f>
        <v>1</v>
      </c>
      <c r="M19" s="13" t="str">
        <f>'06_직무역량평가'!J19</f>
        <v>D</v>
      </c>
      <c r="N19" s="13" t="str">
        <f>'06_직무역량평가'!J59</f>
        <v>D</v>
      </c>
      <c r="O19" s="39">
        <f>IF(OR(M19="",N19=""),"",IF(M19="S",5,IF(M19="A",4,IF(M19="B",3,IF(M19="C",2,IF(M19="D",1,0))))) * '02_의사결정·종합결과'!$B$7 + IF(N19="S",5,IF(N19="A",4,IF(N19="B",3,IF(N19="C",2,IF(N19="D",1,0))))) * '02_의사결정·종합결과'!$B$8)</f>
        <v>1</v>
      </c>
      <c r="P19" s="22">
        <f>IFERROR(VLOOKUP(F19,'02_의사결정·종합결과'!$A$16:$D$22,2,FALSE),"")</f>
        <v>0.3</v>
      </c>
      <c r="Q19" s="22">
        <f>IFERROR(VLOOKUP(F19,'02_의사결정·종합결과'!$A$16:$D$22,3,FALSE),"")</f>
        <v>0.3</v>
      </c>
      <c r="R19" s="22">
        <f>IFERROR(VLOOKUP(F19,'02_의사결정·종합결과'!$A$16:$D$22,4,FALSE),"")</f>
        <v>0.4</v>
      </c>
      <c r="S19" s="43">
        <f t="shared" si="0"/>
        <v>1</v>
      </c>
      <c r="T19" s="40" t="str">
        <f t="shared" si="1"/>
        <v>D</v>
      </c>
      <c r="U19" s="44" t="str">
        <f>IF('02_의사결정·종합결과'!$B$6="절대평가",T19,T19)</f>
        <v>D</v>
      </c>
      <c r="V19" s="1"/>
    </row>
    <row r="20" spans="1:22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13" t="str">
        <f>'04_역할평가'!I20</f>
        <v>D</v>
      </c>
      <c r="H20" s="13" t="str">
        <f>'04_역할평가'!I60</f>
        <v>D</v>
      </c>
      <c r="I20" s="39">
        <f>IF(OR(G20="",H20=""),"",(IF(G20="S",5,IF(G20="A",4,IF(G20="B",3,IF(G20="C",2,IF(G20="D",1,0))))) * '02_의사결정·종합결과'!$B$7 + IF(H20="S",5,IF(H20="A",4,IF(H20="B",3,IF(H20="C",2,IF(H20="D",1,0))))) * '02_의사결정·종합결과'!$B$8))</f>
        <v>1</v>
      </c>
      <c r="J20" s="13" t="str">
        <f>'05_공통역량평가'!I20</f>
        <v>D</v>
      </c>
      <c r="K20" s="13" t="str">
        <f>'05_공통역량평가'!I60</f>
        <v>D</v>
      </c>
      <c r="L20" s="39">
        <f>IF(OR(J20="",K20=""),"",IF(J20="S",5,IF(J20="A",4,IF(J20="B",3,IF(J20="C",2,IF(J20="D",1,0))))) * '02_의사결정·종합결과'!$B$7 + IF(K20="S",5,IF(K20="A",4,IF(K20="B",3,IF(K20="C",2,IF(K20="D",1,0))))) * '02_의사결정·종합결과'!$B$8)</f>
        <v>1</v>
      </c>
      <c r="M20" s="13" t="str">
        <f>'06_직무역량평가'!J20</f>
        <v>D</v>
      </c>
      <c r="N20" s="13" t="str">
        <f>'06_직무역량평가'!J60</f>
        <v>D</v>
      </c>
      <c r="O20" s="39">
        <f>IF(OR(M20="",N20=""),"",IF(M20="S",5,IF(M20="A",4,IF(M20="B",3,IF(M20="C",2,IF(M20="D",1,0))))) * '02_의사결정·종합결과'!$B$7 + IF(N20="S",5,IF(N20="A",4,IF(N20="B",3,IF(N20="C",2,IF(N20="D",1,0))))) * '02_의사결정·종합결과'!$B$8)</f>
        <v>1</v>
      </c>
      <c r="P20" s="22">
        <f>IFERROR(VLOOKUP(F20,'02_의사결정·종합결과'!$A$16:$D$22,2,FALSE),"")</f>
        <v>0.3</v>
      </c>
      <c r="Q20" s="22">
        <f>IFERROR(VLOOKUP(F20,'02_의사결정·종합결과'!$A$16:$D$22,3,FALSE),"")</f>
        <v>0.3</v>
      </c>
      <c r="R20" s="22">
        <f>IFERROR(VLOOKUP(F20,'02_의사결정·종합결과'!$A$16:$D$22,4,FALSE),"")</f>
        <v>0.4</v>
      </c>
      <c r="S20" s="43">
        <f t="shared" si="0"/>
        <v>1</v>
      </c>
      <c r="T20" s="40" t="str">
        <f t="shared" si="1"/>
        <v>D</v>
      </c>
      <c r="U20" s="44" t="str">
        <f>IF('02_의사결정·종합결과'!$B$6="절대평가",T20,T20)</f>
        <v>D</v>
      </c>
      <c r="V20" s="1"/>
    </row>
    <row r="21" spans="1:22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13" t="str">
        <f>'04_역할평가'!I21</f>
        <v>D</v>
      </c>
      <c r="H21" s="13" t="str">
        <f>'04_역할평가'!I61</f>
        <v>D</v>
      </c>
      <c r="I21" s="39">
        <f>IF(OR(G21="",H21=""),"",(IF(G21="S",5,IF(G21="A",4,IF(G21="B",3,IF(G21="C",2,IF(G21="D",1,0))))) * '02_의사결정·종합결과'!$B$7 + IF(H21="S",5,IF(H21="A",4,IF(H21="B",3,IF(H21="C",2,IF(H21="D",1,0))))) * '02_의사결정·종합결과'!$B$8))</f>
        <v>1</v>
      </c>
      <c r="J21" s="13" t="str">
        <f>'05_공통역량평가'!I21</f>
        <v>D</v>
      </c>
      <c r="K21" s="13" t="str">
        <f>'05_공통역량평가'!I61</f>
        <v>D</v>
      </c>
      <c r="L21" s="39">
        <f>IF(OR(J21="",K21=""),"",IF(J21="S",5,IF(J21="A",4,IF(J21="B",3,IF(J21="C",2,IF(J21="D",1,0))))) * '02_의사결정·종합결과'!$B$7 + IF(K21="S",5,IF(K21="A",4,IF(K21="B",3,IF(K21="C",2,IF(K21="D",1,0))))) * '02_의사결정·종합결과'!$B$8)</f>
        <v>1</v>
      </c>
      <c r="M21" s="13" t="str">
        <f>'06_직무역량평가'!J21</f>
        <v>D</v>
      </c>
      <c r="N21" s="13" t="str">
        <f>'06_직무역량평가'!J61</f>
        <v>D</v>
      </c>
      <c r="O21" s="39">
        <f>IF(OR(M21="",N21=""),"",IF(M21="S",5,IF(M21="A",4,IF(M21="B",3,IF(M21="C",2,IF(M21="D",1,0))))) * '02_의사결정·종합결과'!$B$7 + IF(N21="S",5,IF(N21="A",4,IF(N21="B",3,IF(N21="C",2,IF(N21="D",1,0))))) * '02_의사결정·종합결과'!$B$8)</f>
        <v>1</v>
      </c>
      <c r="P21" s="22">
        <f>IFERROR(VLOOKUP(F21,'02_의사결정·종합결과'!$A$16:$D$22,2,FALSE),"")</f>
        <v>0.3</v>
      </c>
      <c r="Q21" s="22">
        <f>IFERROR(VLOOKUP(F21,'02_의사결정·종합결과'!$A$16:$D$22,3,FALSE),"")</f>
        <v>0.3</v>
      </c>
      <c r="R21" s="22">
        <f>IFERROR(VLOOKUP(F21,'02_의사결정·종합결과'!$A$16:$D$22,4,FALSE),"")</f>
        <v>0.4</v>
      </c>
      <c r="S21" s="43">
        <f t="shared" si="0"/>
        <v>1</v>
      </c>
      <c r="T21" s="40" t="str">
        <f t="shared" si="1"/>
        <v>D</v>
      </c>
      <c r="U21" s="44" t="str">
        <f>IF('02_의사결정·종합결과'!$B$6="절대평가",T21,T21)</f>
        <v>D</v>
      </c>
      <c r="V21" s="1"/>
    </row>
    <row r="22" spans="1:22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13" t="str">
        <f>'04_역할평가'!I22</f>
        <v>D</v>
      </c>
      <c r="H22" s="13" t="str">
        <f>'04_역할평가'!I62</f>
        <v>D</v>
      </c>
      <c r="I22" s="39">
        <f>IF(OR(G22="",H22=""),"",(IF(G22="S",5,IF(G22="A",4,IF(G22="B",3,IF(G22="C",2,IF(G22="D",1,0))))) * '02_의사결정·종합결과'!$B$7 + IF(H22="S",5,IF(H22="A",4,IF(H22="B",3,IF(H22="C",2,IF(H22="D",1,0))))) * '02_의사결정·종합결과'!$B$8))</f>
        <v>1</v>
      </c>
      <c r="J22" s="13" t="str">
        <f>'05_공통역량평가'!I22</f>
        <v>D</v>
      </c>
      <c r="K22" s="13" t="str">
        <f>'05_공통역량평가'!I62</f>
        <v>D</v>
      </c>
      <c r="L22" s="39">
        <f>IF(OR(J22="",K22=""),"",IF(J22="S",5,IF(J22="A",4,IF(J22="B",3,IF(J22="C",2,IF(J22="D",1,0))))) * '02_의사결정·종합결과'!$B$7 + IF(K22="S",5,IF(K22="A",4,IF(K22="B",3,IF(K22="C",2,IF(K22="D",1,0))))) * '02_의사결정·종합결과'!$B$8)</f>
        <v>1</v>
      </c>
      <c r="M22" s="13" t="str">
        <f>'06_직무역량평가'!J22</f>
        <v>D</v>
      </c>
      <c r="N22" s="13" t="str">
        <f>'06_직무역량평가'!J62</f>
        <v>D</v>
      </c>
      <c r="O22" s="39">
        <f>IF(OR(M22="",N22=""),"",IF(M22="S",5,IF(M22="A",4,IF(M22="B",3,IF(M22="C",2,IF(M22="D",1,0))))) * '02_의사결정·종합결과'!$B$7 + IF(N22="S",5,IF(N22="A",4,IF(N22="B",3,IF(N22="C",2,IF(N22="D",1,0))))) * '02_의사결정·종합결과'!$B$8)</f>
        <v>1</v>
      </c>
      <c r="P22" s="22">
        <f>IFERROR(VLOOKUP(F22,'02_의사결정·종합결과'!$A$16:$D$22,2,FALSE),"")</f>
        <v>0.3</v>
      </c>
      <c r="Q22" s="22">
        <f>IFERROR(VLOOKUP(F22,'02_의사결정·종합결과'!$A$16:$D$22,3,FALSE),"")</f>
        <v>0.3</v>
      </c>
      <c r="R22" s="22">
        <f>IFERROR(VLOOKUP(F22,'02_의사결정·종합결과'!$A$16:$D$22,4,FALSE),"")</f>
        <v>0.4</v>
      </c>
      <c r="S22" s="43">
        <f t="shared" si="0"/>
        <v>1</v>
      </c>
      <c r="T22" s="40" t="str">
        <f t="shared" si="1"/>
        <v>D</v>
      </c>
      <c r="U22" s="44" t="str">
        <f>IF('02_의사결정·종합결과'!$B$6="절대평가",T22,T22)</f>
        <v>D</v>
      </c>
      <c r="V22" s="1"/>
    </row>
    <row r="23" spans="1:22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13" t="str">
        <f>'04_역할평가'!I23</f>
        <v>D</v>
      </c>
      <c r="H23" s="13" t="str">
        <f>'04_역할평가'!I63</f>
        <v>D</v>
      </c>
      <c r="I23" s="39">
        <f>IF(OR(G23="",H23=""),"",(IF(G23="S",5,IF(G23="A",4,IF(G23="B",3,IF(G23="C",2,IF(G23="D",1,0))))) * '02_의사결정·종합결과'!$B$7 + IF(H23="S",5,IF(H23="A",4,IF(H23="B",3,IF(H23="C",2,IF(H23="D",1,0))))) * '02_의사결정·종합결과'!$B$8))</f>
        <v>1</v>
      </c>
      <c r="J23" s="13" t="str">
        <f>'05_공통역량평가'!I23</f>
        <v>D</v>
      </c>
      <c r="K23" s="13" t="str">
        <f>'05_공통역량평가'!I63</f>
        <v>D</v>
      </c>
      <c r="L23" s="39">
        <f>IF(OR(J23="",K23=""),"",IF(J23="S",5,IF(J23="A",4,IF(J23="B",3,IF(J23="C",2,IF(J23="D",1,0))))) * '02_의사결정·종합결과'!$B$7 + IF(K23="S",5,IF(K23="A",4,IF(K23="B",3,IF(K23="C",2,IF(K23="D",1,0))))) * '02_의사결정·종합결과'!$B$8)</f>
        <v>1</v>
      </c>
      <c r="M23" s="13" t="str">
        <f>'06_직무역량평가'!J23</f>
        <v>D</v>
      </c>
      <c r="N23" s="13" t="str">
        <f>'06_직무역량평가'!J63</f>
        <v>D</v>
      </c>
      <c r="O23" s="39">
        <f>IF(OR(M23="",N23=""),"",IF(M23="S",5,IF(M23="A",4,IF(M23="B",3,IF(M23="C",2,IF(M23="D",1,0))))) * '02_의사결정·종합결과'!$B$7 + IF(N23="S",5,IF(N23="A",4,IF(N23="B",3,IF(N23="C",2,IF(N23="D",1,0))))) * '02_의사결정·종합결과'!$B$8)</f>
        <v>1</v>
      </c>
      <c r="P23" s="22">
        <f>IFERROR(VLOOKUP(F23,'02_의사결정·종합결과'!$A$16:$D$22,2,FALSE),"")</f>
        <v>0.3</v>
      </c>
      <c r="Q23" s="22">
        <f>IFERROR(VLOOKUP(F23,'02_의사결정·종합결과'!$A$16:$D$22,3,FALSE),"")</f>
        <v>0.3</v>
      </c>
      <c r="R23" s="22">
        <f>IFERROR(VLOOKUP(F23,'02_의사결정·종합결과'!$A$16:$D$22,4,FALSE),"")</f>
        <v>0.4</v>
      </c>
      <c r="S23" s="43">
        <f t="shared" si="0"/>
        <v>1</v>
      </c>
      <c r="T23" s="40" t="str">
        <f t="shared" si="1"/>
        <v>D</v>
      </c>
      <c r="U23" s="44" t="str">
        <f>IF('02_의사결정·종합결과'!$B$6="절대평가",T23,T23)</f>
        <v>D</v>
      </c>
      <c r="V23" s="1"/>
    </row>
    <row r="24" spans="1:22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13" t="str">
        <f>'04_역할평가'!I24</f>
        <v>D</v>
      </c>
      <c r="H24" s="13" t="str">
        <f>'04_역할평가'!I64</f>
        <v>D</v>
      </c>
      <c r="I24" s="39">
        <f>IF(OR(G24="",H24=""),"",(IF(G24="S",5,IF(G24="A",4,IF(G24="B",3,IF(G24="C",2,IF(G24="D",1,0))))) * '02_의사결정·종합결과'!$B$7 + IF(H24="S",5,IF(H24="A",4,IF(H24="B",3,IF(H24="C",2,IF(H24="D",1,0))))) * '02_의사결정·종합결과'!$B$8))</f>
        <v>1</v>
      </c>
      <c r="J24" s="13" t="str">
        <f>'05_공통역량평가'!I24</f>
        <v>D</v>
      </c>
      <c r="K24" s="13" t="str">
        <f>'05_공통역량평가'!I64</f>
        <v>D</v>
      </c>
      <c r="L24" s="39">
        <f>IF(OR(J24="",K24=""),"",IF(J24="S",5,IF(J24="A",4,IF(J24="B",3,IF(J24="C",2,IF(J24="D",1,0))))) * '02_의사결정·종합결과'!$B$7 + IF(K24="S",5,IF(K24="A",4,IF(K24="B",3,IF(K24="C",2,IF(K24="D",1,0))))) * '02_의사결정·종합결과'!$B$8)</f>
        <v>1</v>
      </c>
      <c r="M24" s="13" t="str">
        <f>'06_직무역량평가'!J24</f>
        <v>D</v>
      </c>
      <c r="N24" s="13" t="str">
        <f>'06_직무역량평가'!J64</f>
        <v>D</v>
      </c>
      <c r="O24" s="39">
        <f>IF(OR(M24="",N24=""),"",IF(M24="S",5,IF(M24="A",4,IF(M24="B",3,IF(M24="C",2,IF(M24="D",1,0))))) * '02_의사결정·종합결과'!$B$7 + IF(N24="S",5,IF(N24="A",4,IF(N24="B",3,IF(N24="C",2,IF(N24="D",1,0))))) * '02_의사결정·종합결과'!$B$8)</f>
        <v>1</v>
      </c>
      <c r="P24" s="22">
        <f>IFERROR(VLOOKUP(F24,'02_의사결정·종합결과'!$A$16:$D$22,2,FALSE),"")</f>
        <v>0.25</v>
      </c>
      <c r="Q24" s="22">
        <f>IFERROR(VLOOKUP(F24,'02_의사결정·종합결과'!$A$16:$D$22,3,FALSE),"")</f>
        <v>0.3</v>
      </c>
      <c r="R24" s="22">
        <f>IFERROR(VLOOKUP(F24,'02_의사결정·종합결과'!$A$16:$D$22,4,FALSE),"")</f>
        <v>0.45</v>
      </c>
      <c r="S24" s="43">
        <f t="shared" si="0"/>
        <v>1</v>
      </c>
      <c r="T24" s="40" t="str">
        <f t="shared" si="1"/>
        <v>D</v>
      </c>
      <c r="U24" s="44" t="str">
        <f>IF('02_의사결정·종합결과'!$B$6="절대평가",T24,T24)</f>
        <v>D</v>
      </c>
      <c r="V24" s="1"/>
    </row>
    <row r="25" spans="1:22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13" t="str">
        <f>'04_역할평가'!I25</f>
        <v>D</v>
      </c>
      <c r="H25" s="13" t="str">
        <f>'04_역할평가'!I65</f>
        <v>D</v>
      </c>
      <c r="I25" s="39">
        <f>IF(OR(G25="",H25=""),"",(IF(G25="S",5,IF(G25="A",4,IF(G25="B",3,IF(G25="C",2,IF(G25="D",1,0))))) * '02_의사결정·종합결과'!$B$7 + IF(H25="S",5,IF(H25="A",4,IF(H25="B",3,IF(H25="C",2,IF(H25="D",1,0))))) * '02_의사결정·종합결과'!$B$8))</f>
        <v>1</v>
      </c>
      <c r="J25" s="13" t="str">
        <f>'05_공통역량평가'!I25</f>
        <v>D</v>
      </c>
      <c r="K25" s="13" t="str">
        <f>'05_공통역량평가'!I65</f>
        <v>D</v>
      </c>
      <c r="L25" s="39">
        <f>IF(OR(J25="",K25=""),"",IF(J25="S",5,IF(J25="A",4,IF(J25="B",3,IF(J25="C",2,IF(J25="D",1,0))))) * '02_의사결정·종합결과'!$B$7 + IF(K25="S",5,IF(K25="A",4,IF(K25="B",3,IF(K25="C",2,IF(K25="D",1,0))))) * '02_의사결정·종합결과'!$B$8)</f>
        <v>1</v>
      </c>
      <c r="M25" s="13" t="str">
        <f>'06_직무역량평가'!J25</f>
        <v>D</v>
      </c>
      <c r="N25" s="13" t="str">
        <f>'06_직무역량평가'!J65</f>
        <v>D</v>
      </c>
      <c r="O25" s="39">
        <f>IF(OR(M25="",N25=""),"",IF(M25="S",5,IF(M25="A",4,IF(M25="B",3,IF(M25="C",2,IF(M25="D",1,0))))) * '02_의사결정·종합결과'!$B$7 + IF(N25="S",5,IF(N25="A",4,IF(N25="B",3,IF(N25="C",2,IF(N25="D",1,0))))) * '02_의사결정·종합결과'!$B$8)</f>
        <v>1</v>
      </c>
      <c r="P25" s="22">
        <f>IFERROR(VLOOKUP(F25,'02_의사결정·종합결과'!$A$16:$D$22,2,FALSE),"")</f>
        <v>0.25</v>
      </c>
      <c r="Q25" s="22">
        <f>IFERROR(VLOOKUP(F25,'02_의사결정·종합결과'!$A$16:$D$22,3,FALSE),"")</f>
        <v>0.3</v>
      </c>
      <c r="R25" s="22">
        <f>IFERROR(VLOOKUP(F25,'02_의사결정·종합결과'!$A$16:$D$22,4,FALSE),"")</f>
        <v>0.45</v>
      </c>
      <c r="S25" s="43">
        <f t="shared" si="0"/>
        <v>1</v>
      </c>
      <c r="T25" s="40" t="str">
        <f t="shared" si="1"/>
        <v>D</v>
      </c>
      <c r="U25" s="44" t="str">
        <f>IF('02_의사결정·종합결과'!$B$6="절대평가",T25,T25)</f>
        <v>D</v>
      </c>
      <c r="V25" s="1"/>
    </row>
    <row r="26" spans="1:22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13" t="str">
        <f>'04_역할평가'!I26</f>
        <v>D</v>
      </c>
      <c r="H26" s="13" t="str">
        <f>'04_역할평가'!I66</f>
        <v>D</v>
      </c>
      <c r="I26" s="39">
        <f>IF(OR(G26="",H26=""),"",(IF(G26="S",5,IF(G26="A",4,IF(G26="B",3,IF(G26="C",2,IF(G26="D",1,0))))) * '02_의사결정·종합결과'!$B$7 + IF(H26="S",5,IF(H26="A",4,IF(H26="B",3,IF(H26="C",2,IF(H26="D",1,0))))) * '02_의사결정·종합결과'!$B$8))</f>
        <v>1</v>
      </c>
      <c r="J26" s="13" t="str">
        <f>'05_공통역량평가'!I26</f>
        <v>D</v>
      </c>
      <c r="K26" s="13" t="str">
        <f>'05_공통역량평가'!I66</f>
        <v>D</v>
      </c>
      <c r="L26" s="39">
        <f>IF(OR(J26="",K26=""),"",IF(J26="S",5,IF(J26="A",4,IF(J26="B",3,IF(J26="C",2,IF(J26="D",1,0))))) * '02_의사결정·종합결과'!$B$7 + IF(K26="S",5,IF(K26="A",4,IF(K26="B",3,IF(K26="C",2,IF(K26="D",1,0))))) * '02_의사결정·종합결과'!$B$8)</f>
        <v>1</v>
      </c>
      <c r="M26" s="13" t="str">
        <f>'06_직무역량평가'!J26</f>
        <v>D</v>
      </c>
      <c r="N26" s="13" t="str">
        <f>'06_직무역량평가'!J66</f>
        <v>D</v>
      </c>
      <c r="O26" s="39">
        <f>IF(OR(M26="",N26=""),"",IF(M26="S",5,IF(M26="A",4,IF(M26="B",3,IF(M26="C",2,IF(M26="D",1,0))))) * '02_의사결정·종합결과'!$B$7 + IF(N26="S",5,IF(N26="A",4,IF(N26="B",3,IF(N26="C",2,IF(N26="D",1,0))))) * '02_의사결정·종합결과'!$B$8)</f>
        <v>1</v>
      </c>
      <c r="P26" s="22">
        <f>IFERROR(VLOOKUP(F26,'02_의사결정·종합결과'!$A$16:$D$22,2,FALSE),"")</f>
        <v>0.2</v>
      </c>
      <c r="Q26" s="22">
        <f>IFERROR(VLOOKUP(F26,'02_의사결정·종합결과'!$A$16:$D$22,3,FALSE),"")</f>
        <v>0.35</v>
      </c>
      <c r="R26" s="22">
        <f>IFERROR(VLOOKUP(F26,'02_의사결정·종합결과'!$A$16:$D$22,4,FALSE),"")</f>
        <v>0.45</v>
      </c>
      <c r="S26" s="43">
        <f t="shared" si="0"/>
        <v>1</v>
      </c>
      <c r="T26" s="40" t="str">
        <f t="shared" si="1"/>
        <v>D</v>
      </c>
      <c r="U26" s="44" t="str">
        <f>IF('02_의사결정·종합결과'!$B$6="절대평가",T26,T26)</f>
        <v>D</v>
      </c>
      <c r="V26" s="1"/>
    </row>
    <row r="27" spans="1:22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13" t="str">
        <f>'04_역할평가'!I27</f>
        <v>D</v>
      </c>
      <c r="H27" s="13" t="str">
        <f>'04_역할평가'!I67</f>
        <v>D</v>
      </c>
      <c r="I27" s="39">
        <f>IF(OR(G27="",H27=""),"",(IF(G27="S",5,IF(G27="A",4,IF(G27="B",3,IF(G27="C",2,IF(G27="D",1,0))))) * '02_의사결정·종합결과'!$B$7 + IF(H27="S",5,IF(H27="A",4,IF(H27="B",3,IF(H27="C",2,IF(H27="D",1,0))))) * '02_의사결정·종합결과'!$B$8))</f>
        <v>1</v>
      </c>
      <c r="J27" s="13" t="str">
        <f>'05_공통역량평가'!I27</f>
        <v>D</v>
      </c>
      <c r="K27" s="13" t="str">
        <f>'05_공통역량평가'!I67</f>
        <v>D</v>
      </c>
      <c r="L27" s="39">
        <f>IF(OR(J27="",K27=""),"",IF(J27="S",5,IF(J27="A",4,IF(J27="B",3,IF(J27="C",2,IF(J27="D",1,0))))) * '02_의사결정·종합결과'!$B$7 + IF(K27="S",5,IF(K27="A",4,IF(K27="B",3,IF(K27="C",2,IF(K27="D",1,0))))) * '02_의사결정·종합결과'!$B$8)</f>
        <v>1</v>
      </c>
      <c r="M27" s="13" t="str">
        <f>'06_직무역량평가'!J27</f>
        <v>D</v>
      </c>
      <c r="N27" s="13" t="str">
        <f>'06_직무역량평가'!J67</f>
        <v>D</v>
      </c>
      <c r="O27" s="39">
        <f>IF(OR(M27="",N27=""),"",IF(M27="S",5,IF(M27="A",4,IF(M27="B",3,IF(M27="C",2,IF(M27="D",1,0))))) * '02_의사결정·종합결과'!$B$7 + IF(N27="S",5,IF(N27="A",4,IF(N27="B",3,IF(N27="C",2,IF(N27="D",1,0))))) * '02_의사결정·종합결과'!$B$8)</f>
        <v>1</v>
      </c>
      <c r="P27" s="22">
        <f>IFERROR(VLOOKUP(F27,'02_의사결정·종합결과'!$A$16:$D$22,2,FALSE),"")</f>
        <v>0.2</v>
      </c>
      <c r="Q27" s="22">
        <f>IFERROR(VLOOKUP(F27,'02_의사결정·종합결과'!$A$16:$D$22,3,FALSE),"")</f>
        <v>0.35</v>
      </c>
      <c r="R27" s="22">
        <f>IFERROR(VLOOKUP(F27,'02_의사결정·종합결과'!$A$16:$D$22,4,FALSE),"")</f>
        <v>0.45</v>
      </c>
      <c r="S27" s="43">
        <f t="shared" si="0"/>
        <v>1</v>
      </c>
      <c r="T27" s="40" t="str">
        <f t="shared" si="1"/>
        <v>D</v>
      </c>
      <c r="U27" s="44" t="str">
        <f>IF('02_의사결정·종합결과'!$B$6="절대평가",T27,T27)</f>
        <v>D</v>
      </c>
      <c r="V27" s="1"/>
    </row>
    <row r="28" spans="1:22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13" t="str">
        <f>'04_역할평가'!I28</f>
        <v>D</v>
      </c>
      <c r="H28" s="13" t="str">
        <f>'04_역할평가'!I68</f>
        <v>D</v>
      </c>
      <c r="I28" s="39">
        <f>IF(OR(G28="",H28=""),"",(IF(G28="S",5,IF(G28="A",4,IF(G28="B",3,IF(G28="C",2,IF(G28="D",1,0))))) * '02_의사결정·종합결과'!$B$7 + IF(H28="S",5,IF(H28="A",4,IF(H28="B",3,IF(H28="C",2,IF(H28="D",1,0))))) * '02_의사결정·종합결과'!$B$8))</f>
        <v>1</v>
      </c>
      <c r="J28" s="13" t="str">
        <f>'05_공통역량평가'!I28</f>
        <v>D</v>
      </c>
      <c r="K28" s="13" t="str">
        <f>'05_공통역량평가'!I68</f>
        <v>D</v>
      </c>
      <c r="L28" s="39">
        <f>IF(OR(J28="",K28=""),"",IF(J28="S",5,IF(J28="A",4,IF(J28="B",3,IF(J28="C",2,IF(J28="D",1,0))))) * '02_의사결정·종합결과'!$B$7 + IF(K28="S",5,IF(K28="A",4,IF(K28="B",3,IF(K28="C",2,IF(K28="D",1,0))))) * '02_의사결정·종합결과'!$B$8)</f>
        <v>1</v>
      </c>
      <c r="M28" s="13" t="str">
        <f>'06_직무역량평가'!J28</f>
        <v>D</v>
      </c>
      <c r="N28" s="13" t="str">
        <f>'06_직무역량평가'!J68</f>
        <v>D</v>
      </c>
      <c r="O28" s="39">
        <f>IF(OR(M28="",N28=""),"",IF(M28="S",5,IF(M28="A",4,IF(M28="B",3,IF(M28="C",2,IF(M28="D",1,0))))) * '02_의사결정·종합결과'!$B$7 + IF(N28="S",5,IF(N28="A",4,IF(N28="B",3,IF(N28="C",2,IF(N28="D",1,0))))) * '02_의사결정·종합결과'!$B$8)</f>
        <v>1</v>
      </c>
      <c r="P28" s="22">
        <f>IFERROR(VLOOKUP(F28,'02_의사결정·종합결과'!$A$16:$D$22,2,FALSE),"")</f>
        <v>0.2</v>
      </c>
      <c r="Q28" s="22">
        <f>IFERROR(VLOOKUP(F28,'02_의사결정·종합결과'!$A$16:$D$22,3,FALSE),"")</f>
        <v>0.35</v>
      </c>
      <c r="R28" s="22">
        <f>IFERROR(VLOOKUP(F28,'02_의사결정·종합결과'!$A$16:$D$22,4,FALSE),"")</f>
        <v>0.45</v>
      </c>
      <c r="S28" s="43">
        <f t="shared" si="0"/>
        <v>1</v>
      </c>
      <c r="T28" s="40" t="str">
        <f t="shared" si="1"/>
        <v>D</v>
      </c>
      <c r="U28" s="44" t="str">
        <f>IF('02_의사결정·종합결과'!$B$6="절대평가",T28,T28)</f>
        <v>D</v>
      </c>
      <c r="V28" s="1"/>
    </row>
    <row r="29" spans="1:22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13" t="str">
        <f>'04_역할평가'!I29</f>
        <v>D</v>
      </c>
      <c r="H29" s="13" t="str">
        <f>'04_역할평가'!I69</f>
        <v>D</v>
      </c>
      <c r="I29" s="39">
        <f>IF(OR(G29="",H29=""),"",(IF(G29="S",5,IF(G29="A",4,IF(G29="B",3,IF(G29="C",2,IF(G29="D",1,0))))) * '02_의사결정·종합결과'!$B$7 + IF(H29="S",5,IF(H29="A",4,IF(H29="B",3,IF(H29="C",2,IF(H29="D",1,0))))) * '02_의사결정·종합결과'!$B$8))</f>
        <v>1</v>
      </c>
      <c r="J29" s="13" t="str">
        <f>'05_공통역량평가'!I29</f>
        <v>D</v>
      </c>
      <c r="K29" s="13" t="str">
        <f>'05_공통역량평가'!I69</f>
        <v>D</v>
      </c>
      <c r="L29" s="39">
        <f>IF(OR(J29="",K29=""),"",IF(J29="S",5,IF(J29="A",4,IF(J29="B",3,IF(J29="C",2,IF(J29="D",1,0))))) * '02_의사결정·종합결과'!$B$7 + IF(K29="S",5,IF(K29="A",4,IF(K29="B",3,IF(K29="C",2,IF(K29="D",1,0))))) * '02_의사결정·종합결과'!$B$8)</f>
        <v>1</v>
      </c>
      <c r="M29" s="13" t="str">
        <f>'06_직무역량평가'!J29</f>
        <v>D</v>
      </c>
      <c r="N29" s="13" t="str">
        <f>'06_직무역량평가'!J69</f>
        <v>D</v>
      </c>
      <c r="O29" s="39">
        <f>IF(OR(M29="",N29=""),"",IF(M29="S",5,IF(M29="A",4,IF(M29="B",3,IF(M29="C",2,IF(M29="D",1,0))))) * '02_의사결정·종합결과'!$B$7 + IF(N29="S",5,IF(N29="A",4,IF(N29="B",3,IF(N29="C",2,IF(N29="D",1,0))))) * '02_의사결정·종합결과'!$B$8)</f>
        <v>1</v>
      </c>
      <c r="P29" s="22">
        <f>IFERROR(VLOOKUP(F29,'02_의사결정·종합결과'!$A$16:$D$22,2,FALSE),"")</f>
        <v>0.2</v>
      </c>
      <c r="Q29" s="22">
        <f>IFERROR(VLOOKUP(F29,'02_의사결정·종합결과'!$A$16:$D$22,3,FALSE),"")</f>
        <v>0.35</v>
      </c>
      <c r="R29" s="22">
        <f>IFERROR(VLOOKUP(F29,'02_의사결정·종합결과'!$A$16:$D$22,4,FALSE),"")</f>
        <v>0.45</v>
      </c>
      <c r="S29" s="43">
        <f t="shared" si="0"/>
        <v>1</v>
      </c>
      <c r="T29" s="40" t="str">
        <f t="shared" si="1"/>
        <v>D</v>
      </c>
      <c r="U29" s="44" t="str">
        <f>IF('02_의사결정·종합결과'!$B$6="절대평가",T29,T29)</f>
        <v>D</v>
      </c>
      <c r="V29" s="1"/>
    </row>
    <row r="30" spans="1:22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13" t="str">
        <f>'04_역할평가'!I30</f>
        <v>D</v>
      </c>
      <c r="H30" s="13" t="str">
        <f>'04_역할평가'!I70</f>
        <v>D</v>
      </c>
      <c r="I30" s="39">
        <f>IF(OR(G30="",H30=""),"",(IF(G30="S",5,IF(G30="A",4,IF(G30="B",3,IF(G30="C",2,IF(G30="D",1,0))))) * '02_의사결정·종합결과'!$B$7 + IF(H30="S",5,IF(H30="A",4,IF(H30="B",3,IF(H30="C",2,IF(H30="D",1,0))))) * '02_의사결정·종합결과'!$B$8))</f>
        <v>1</v>
      </c>
      <c r="J30" s="13" t="str">
        <f>'05_공통역량평가'!I30</f>
        <v>D</v>
      </c>
      <c r="K30" s="13" t="str">
        <f>'05_공통역량평가'!I70</f>
        <v>D</v>
      </c>
      <c r="L30" s="39">
        <f>IF(OR(J30="",K30=""),"",IF(J30="S",5,IF(J30="A",4,IF(J30="B",3,IF(J30="C",2,IF(J30="D",1,0))))) * '02_의사결정·종합결과'!$B$7 + IF(K30="S",5,IF(K30="A",4,IF(K30="B",3,IF(K30="C",2,IF(K30="D",1,0))))) * '02_의사결정·종합결과'!$B$8)</f>
        <v>1</v>
      </c>
      <c r="M30" s="13" t="str">
        <f>'06_직무역량평가'!J30</f>
        <v>D</v>
      </c>
      <c r="N30" s="13" t="str">
        <f>'06_직무역량평가'!J70</f>
        <v>D</v>
      </c>
      <c r="O30" s="39">
        <f>IF(OR(M30="",N30=""),"",IF(M30="S",5,IF(M30="A",4,IF(M30="B",3,IF(M30="C",2,IF(M30="D",1,0))))) * '02_의사결정·종합결과'!$B$7 + IF(N30="S",5,IF(N30="A",4,IF(N30="B",3,IF(N30="C",2,IF(N30="D",1,0))))) * '02_의사결정·종합결과'!$B$8)</f>
        <v>1</v>
      </c>
      <c r="P30" s="22">
        <f>IFERROR(VLOOKUP(F30,'02_의사결정·종합결과'!$A$16:$D$22,2,FALSE),"")</f>
        <v>0.2</v>
      </c>
      <c r="Q30" s="22">
        <f>IFERROR(VLOOKUP(F30,'02_의사결정·종합결과'!$A$16:$D$22,3,FALSE),"")</f>
        <v>0.35</v>
      </c>
      <c r="R30" s="22">
        <f>IFERROR(VLOOKUP(F30,'02_의사결정·종합결과'!$A$16:$D$22,4,FALSE),"")</f>
        <v>0.45</v>
      </c>
      <c r="S30" s="43">
        <f t="shared" si="0"/>
        <v>1</v>
      </c>
      <c r="T30" s="40" t="str">
        <f t="shared" si="1"/>
        <v>D</v>
      </c>
      <c r="U30" s="44" t="str">
        <f>IF('02_의사결정·종합결과'!$B$6="절대평가",T30,T30)</f>
        <v>D</v>
      </c>
      <c r="V30" s="1"/>
    </row>
    <row r="31" spans="1:22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13" t="str">
        <f>'04_역할평가'!I31</f>
        <v>D</v>
      </c>
      <c r="H31" s="13" t="str">
        <f>'04_역할평가'!I71</f>
        <v>D</v>
      </c>
      <c r="I31" s="39">
        <f>IF(OR(G31="",H31=""),"",(IF(G31="S",5,IF(G31="A",4,IF(G31="B",3,IF(G31="C",2,IF(G31="D",1,0))))) * '02_의사결정·종합결과'!$B$7 + IF(H31="S",5,IF(H31="A",4,IF(H31="B",3,IF(H31="C",2,IF(H31="D",1,0))))) * '02_의사결정·종합결과'!$B$8))</f>
        <v>1</v>
      </c>
      <c r="J31" s="13" t="str">
        <f>'05_공통역량평가'!I31</f>
        <v>D</v>
      </c>
      <c r="K31" s="13" t="str">
        <f>'05_공통역량평가'!I71</f>
        <v>D</v>
      </c>
      <c r="L31" s="39">
        <f>IF(OR(J31="",K31=""),"",IF(J31="S",5,IF(J31="A",4,IF(J31="B",3,IF(J31="C",2,IF(J31="D",1,0))))) * '02_의사결정·종합결과'!$B$7 + IF(K31="S",5,IF(K31="A",4,IF(K31="B",3,IF(K31="C",2,IF(K31="D",1,0))))) * '02_의사결정·종합결과'!$B$8)</f>
        <v>1</v>
      </c>
      <c r="M31" s="13" t="str">
        <f>'06_직무역량평가'!J31</f>
        <v>D</v>
      </c>
      <c r="N31" s="13" t="str">
        <f>'06_직무역량평가'!J71</f>
        <v>D</v>
      </c>
      <c r="O31" s="39">
        <f>IF(OR(M31="",N31=""),"",IF(M31="S",5,IF(M31="A",4,IF(M31="B",3,IF(M31="C",2,IF(M31="D",1,0))))) * '02_의사결정·종합결과'!$B$7 + IF(N31="S",5,IF(N31="A",4,IF(N31="B",3,IF(N31="C",2,IF(N31="D",1,0))))) * '02_의사결정·종합결과'!$B$8)</f>
        <v>1</v>
      </c>
      <c r="P31" s="22">
        <f>IFERROR(VLOOKUP(F31,'02_의사결정·종합결과'!$A$16:$D$22,2,FALSE),"")</f>
        <v>0.15</v>
      </c>
      <c r="Q31" s="22">
        <f>IFERROR(VLOOKUP(F31,'02_의사결정·종합결과'!$A$16:$D$22,3,FALSE),"")</f>
        <v>0.35</v>
      </c>
      <c r="R31" s="22">
        <f>IFERROR(VLOOKUP(F31,'02_의사결정·종합결과'!$A$16:$D$22,4,FALSE),"")</f>
        <v>0.5</v>
      </c>
      <c r="S31" s="43">
        <f t="shared" si="0"/>
        <v>1</v>
      </c>
      <c r="T31" s="40" t="str">
        <f t="shared" si="1"/>
        <v>D</v>
      </c>
      <c r="U31" s="44" t="str">
        <f>IF('02_의사결정·종합결과'!$B$6="절대평가",T31,T31)</f>
        <v>D</v>
      </c>
      <c r="V31" s="1"/>
    </row>
    <row r="32" spans="1:22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13" t="str">
        <f>'04_역할평가'!I32</f>
        <v>D</v>
      </c>
      <c r="H32" s="13" t="str">
        <f>'04_역할평가'!I72</f>
        <v>D</v>
      </c>
      <c r="I32" s="39">
        <f>IF(OR(G32="",H32=""),"",(IF(G32="S",5,IF(G32="A",4,IF(G32="B",3,IF(G32="C",2,IF(G32="D",1,0))))) * '02_의사결정·종합결과'!$B$7 + IF(H32="S",5,IF(H32="A",4,IF(H32="B",3,IF(H32="C",2,IF(H32="D",1,0))))) * '02_의사결정·종합결과'!$B$8))</f>
        <v>1</v>
      </c>
      <c r="J32" s="13" t="str">
        <f>'05_공통역량평가'!I32</f>
        <v>D</v>
      </c>
      <c r="K32" s="13" t="str">
        <f>'05_공통역량평가'!I72</f>
        <v>D</v>
      </c>
      <c r="L32" s="39">
        <f>IF(OR(J32="",K32=""),"",IF(J32="S",5,IF(J32="A",4,IF(J32="B",3,IF(J32="C",2,IF(J32="D",1,0))))) * '02_의사결정·종합결과'!$B$7 + IF(K32="S",5,IF(K32="A",4,IF(K32="B",3,IF(K32="C",2,IF(K32="D",1,0))))) * '02_의사결정·종합결과'!$B$8)</f>
        <v>1</v>
      </c>
      <c r="M32" s="13" t="str">
        <f>'06_직무역량평가'!J32</f>
        <v>D</v>
      </c>
      <c r="N32" s="13" t="str">
        <f>'06_직무역량평가'!J72</f>
        <v>D</v>
      </c>
      <c r="O32" s="39">
        <f>IF(OR(M32="",N32=""),"",IF(M32="S",5,IF(M32="A",4,IF(M32="B",3,IF(M32="C",2,IF(M32="D",1,0))))) * '02_의사결정·종합결과'!$B$7 + IF(N32="S",5,IF(N32="A",4,IF(N32="B",3,IF(N32="C",2,IF(N32="D",1,0))))) * '02_의사결정·종합결과'!$B$8)</f>
        <v>1</v>
      </c>
      <c r="P32" s="22">
        <f>IFERROR(VLOOKUP(F32,'02_의사결정·종합결과'!$A$16:$D$22,2,FALSE),"")</f>
        <v>0.2</v>
      </c>
      <c r="Q32" s="22">
        <f>IFERROR(VLOOKUP(F32,'02_의사결정·종합결과'!$A$16:$D$22,3,FALSE),"")</f>
        <v>0.35</v>
      </c>
      <c r="R32" s="22">
        <f>IFERROR(VLOOKUP(F32,'02_의사결정·종합결과'!$A$16:$D$22,4,FALSE),"")</f>
        <v>0.45</v>
      </c>
      <c r="S32" s="43">
        <f t="shared" si="0"/>
        <v>1</v>
      </c>
      <c r="T32" s="40" t="str">
        <f t="shared" si="1"/>
        <v>D</v>
      </c>
      <c r="U32" s="44" t="str">
        <f>IF('02_의사결정·종합결과'!$B$6="절대평가",T32,T32)</f>
        <v>D</v>
      </c>
      <c r="V32" s="1"/>
    </row>
    <row r="33" spans="1:22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13" t="str">
        <f>'04_역할평가'!I33</f>
        <v>D</v>
      </c>
      <c r="H33" s="13" t="str">
        <f>'04_역할평가'!I73</f>
        <v>D</v>
      </c>
      <c r="I33" s="39">
        <f>IF(OR(G33="",H33=""),"",(IF(G33="S",5,IF(G33="A",4,IF(G33="B",3,IF(G33="C",2,IF(G33="D",1,0))))) * '02_의사결정·종합결과'!$B$7 + IF(H33="S",5,IF(H33="A",4,IF(H33="B",3,IF(H33="C",2,IF(H33="D",1,0))))) * '02_의사결정·종합결과'!$B$8))</f>
        <v>1</v>
      </c>
      <c r="J33" s="13" t="str">
        <f>'05_공통역량평가'!I33</f>
        <v>D</v>
      </c>
      <c r="K33" s="13" t="str">
        <f>'05_공통역량평가'!I73</f>
        <v>D</v>
      </c>
      <c r="L33" s="39">
        <f>IF(OR(J33="",K33=""),"",IF(J33="S",5,IF(J33="A",4,IF(J33="B",3,IF(J33="C",2,IF(J33="D",1,0))))) * '02_의사결정·종합결과'!$B$7 + IF(K33="S",5,IF(K33="A",4,IF(K33="B",3,IF(K33="C",2,IF(K33="D",1,0))))) * '02_의사결정·종합결과'!$B$8)</f>
        <v>1</v>
      </c>
      <c r="M33" s="13" t="str">
        <f>'06_직무역량평가'!J33</f>
        <v>D</v>
      </c>
      <c r="N33" s="13" t="str">
        <f>'06_직무역량평가'!J73</f>
        <v>D</v>
      </c>
      <c r="O33" s="39">
        <f>IF(OR(M33="",N33=""),"",IF(M33="S",5,IF(M33="A",4,IF(M33="B",3,IF(M33="C",2,IF(M33="D",1,0))))) * '02_의사결정·종합결과'!$B$7 + IF(N33="S",5,IF(N33="A",4,IF(N33="B",3,IF(N33="C",2,IF(N33="D",1,0))))) * '02_의사결정·종합결과'!$B$8)</f>
        <v>1</v>
      </c>
      <c r="P33" s="22">
        <f>IFERROR(VLOOKUP(F33,'02_의사결정·종합결과'!$A$16:$D$22,2,FALSE),"")</f>
        <v>0.15</v>
      </c>
      <c r="Q33" s="22">
        <f>IFERROR(VLOOKUP(F33,'02_의사결정·종합결과'!$A$16:$D$22,3,FALSE),"")</f>
        <v>0.35</v>
      </c>
      <c r="R33" s="22">
        <f>IFERROR(VLOOKUP(F33,'02_의사결정·종합결과'!$A$16:$D$22,4,FALSE),"")</f>
        <v>0.5</v>
      </c>
      <c r="S33" s="43">
        <f t="shared" si="0"/>
        <v>1</v>
      </c>
      <c r="T33" s="40" t="str">
        <f t="shared" si="1"/>
        <v>D</v>
      </c>
      <c r="U33" s="44" t="str">
        <f>IF('02_의사결정·종합결과'!$B$6="절대평가",T33,T33)</f>
        <v>D</v>
      </c>
      <c r="V33" s="1"/>
    </row>
    <row r="34" spans="1:22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13" t="str">
        <f>'04_역할평가'!I34</f>
        <v>D</v>
      </c>
      <c r="H34" s="13" t="str">
        <f>'04_역할평가'!I74</f>
        <v>D</v>
      </c>
      <c r="I34" s="39">
        <f>IF(OR(G34="",H34=""),"",(IF(G34="S",5,IF(G34="A",4,IF(G34="B",3,IF(G34="C",2,IF(G34="D",1,0))))) * '02_의사결정·종합결과'!$B$7 + IF(H34="S",5,IF(H34="A",4,IF(H34="B",3,IF(H34="C",2,IF(H34="D",1,0))))) * '02_의사결정·종합결과'!$B$8))</f>
        <v>1</v>
      </c>
      <c r="J34" s="13" t="str">
        <f>'05_공통역량평가'!I34</f>
        <v>D</v>
      </c>
      <c r="K34" s="13" t="str">
        <f>'05_공통역량평가'!I74</f>
        <v>D</v>
      </c>
      <c r="L34" s="39">
        <f>IF(OR(J34="",K34=""),"",IF(J34="S",5,IF(J34="A",4,IF(J34="B",3,IF(J34="C",2,IF(J34="D",1,0))))) * '02_의사결정·종합결과'!$B$7 + IF(K34="S",5,IF(K34="A",4,IF(K34="B",3,IF(K34="C",2,IF(K34="D",1,0))))) * '02_의사결정·종합결과'!$B$8)</f>
        <v>1</v>
      </c>
      <c r="M34" s="13" t="str">
        <f>'06_직무역량평가'!J34</f>
        <v>D</v>
      </c>
      <c r="N34" s="13" t="str">
        <f>'06_직무역량평가'!J74</f>
        <v>D</v>
      </c>
      <c r="O34" s="39">
        <f>IF(OR(M34="",N34=""),"",IF(M34="S",5,IF(M34="A",4,IF(M34="B",3,IF(M34="C",2,IF(M34="D",1,0))))) * '02_의사결정·종합결과'!$B$7 + IF(N34="S",5,IF(N34="A",4,IF(N34="B",3,IF(N34="C",2,IF(N34="D",1,0))))) * '02_의사결정·종합결과'!$B$8)</f>
        <v>1</v>
      </c>
      <c r="P34" s="22">
        <f>IFERROR(VLOOKUP(F34,'02_의사결정·종합결과'!$A$16:$D$22,2,FALSE),"")</f>
        <v>0.15</v>
      </c>
      <c r="Q34" s="22">
        <f>IFERROR(VLOOKUP(F34,'02_의사결정·종합결과'!$A$16:$D$22,3,FALSE),"")</f>
        <v>0.35</v>
      </c>
      <c r="R34" s="22">
        <f>IFERROR(VLOOKUP(F34,'02_의사결정·종합결과'!$A$16:$D$22,4,FALSE),"")</f>
        <v>0.5</v>
      </c>
      <c r="S34" s="43">
        <f t="shared" si="0"/>
        <v>1</v>
      </c>
      <c r="T34" s="40" t="str">
        <f t="shared" si="1"/>
        <v>D</v>
      </c>
      <c r="U34" s="44" t="str">
        <f>IF('02_의사결정·종합결과'!$B$6="절대평가",T34,T34)</f>
        <v>D</v>
      </c>
      <c r="V34" s="1"/>
    </row>
    <row r="35" spans="1:22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13" t="str">
        <f>'04_역할평가'!I35</f>
        <v>D</v>
      </c>
      <c r="H35" s="13" t="str">
        <f>'04_역할평가'!I75</f>
        <v>D</v>
      </c>
      <c r="I35" s="39">
        <f>IF(OR(G35="",H35=""),"",(IF(G35="S",5,IF(G35="A",4,IF(G35="B",3,IF(G35="C",2,IF(G35="D",1,0))))) * '02_의사결정·종합결과'!$B$7 + IF(H35="S",5,IF(H35="A",4,IF(H35="B",3,IF(H35="C",2,IF(H35="D",1,0))))) * '02_의사결정·종합결과'!$B$8))</f>
        <v>1</v>
      </c>
      <c r="J35" s="13" t="str">
        <f>'05_공통역량평가'!I35</f>
        <v>D</v>
      </c>
      <c r="K35" s="13" t="str">
        <f>'05_공통역량평가'!I75</f>
        <v>D</v>
      </c>
      <c r="L35" s="39">
        <f>IF(OR(J35="",K35=""),"",IF(J35="S",5,IF(J35="A",4,IF(J35="B",3,IF(J35="C",2,IF(J35="D",1,0))))) * '02_의사결정·종합결과'!$B$7 + IF(K35="S",5,IF(K35="A",4,IF(K35="B",3,IF(K35="C",2,IF(K35="D",1,0))))) * '02_의사결정·종합결과'!$B$8)</f>
        <v>1</v>
      </c>
      <c r="M35" s="13" t="str">
        <f>'06_직무역량평가'!J35</f>
        <v>D</v>
      </c>
      <c r="N35" s="13" t="str">
        <f>'06_직무역량평가'!J75</f>
        <v>D</v>
      </c>
      <c r="O35" s="39">
        <f>IF(OR(M35="",N35=""),"",IF(M35="S",5,IF(M35="A",4,IF(M35="B",3,IF(M35="C",2,IF(M35="D",1,0))))) * '02_의사결정·종합결과'!$B$7 + IF(N35="S",5,IF(N35="A",4,IF(N35="B",3,IF(N35="C",2,IF(N35="D",1,0))))) * '02_의사결정·종합결과'!$B$8)</f>
        <v>1</v>
      </c>
      <c r="P35" s="22">
        <f>IFERROR(VLOOKUP(F35,'02_의사결정·종합결과'!$A$16:$D$22,2,FALSE),"")</f>
        <v>0.15</v>
      </c>
      <c r="Q35" s="22">
        <f>IFERROR(VLOOKUP(F35,'02_의사결정·종합결과'!$A$16:$D$22,3,FALSE),"")</f>
        <v>0.35</v>
      </c>
      <c r="R35" s="22">
        <f>IFERROR(VLOOKUP(F35,'02_의사결정·종합결과'!$A$16:$D$22,4,FALSE),"")</f>
        <v>0.5</v>
      </c>
      <c r="S35" s="43">
        <f t="shared" si="0"/>
        <v>1</v>
      </c>
      <c r="T35" s="40" t="str">
        <f t="shared" si="1"/>
        <v>D</v>
      </c>
      <c r="U35" s="44" t="str">
        <f>IF('02_의사결정·종합결과'!$B$6="절대평가",T35,T35)</f>
        <v>D</v>
      </c>
      <c r="V35" s="1"/>
    </row>
    <row r="36" spans="1:22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13" t="str">
        <f>'04_역할평가'!I36</f>
        <v>D</v>
      </c>
      <c r="H36" s="13" t="str">
        <f>'04_역할평가'!I76</f>
        <v>D</v>
      </c>
      <c r="I36" s="39">
        <f>IF(OR(G36="",H36=""),"",(IF(G36="S",5,IF(G36="A",4,IF(G36="B",3,IF(G36="C",2,IF(G36="D",1,0))))) * '02_의사결정·종합결과'!$B$7 + IF(H36="S",5,IF(H36="A",4,IF(H36="B",3,IF(H36="C",2,IF(H36="D",1,0))))) * '02_의사결정·종합결과'!$B$8))</f>
        <v>1</v>
      </c>
      <c r="J36" s="13" t="str">
        <f>'05_공통역량평가'!I36</f>
        <v>D</v>
      </c>
      <c r="K36" s="13" t="str">
        <f>'05_공통역량평가'!I76</f>
        <v>D</v>
      </c>
      <c r="L36" s="39">
        <f>IF(OR(J36="",K36=""),"",IF(J36="S",5,IF(J36="A",4,IF(J36="B",3,IF(J36="C",2,IF(J36="D",1,0))))) * '02_의사결정·종합결과'!$B$7 + IF(K36="S",5,IF(K36="A",4,IF(K36="B",3,IF(K36="C",2,IF(K36="D",1,0))))) * '02_의사결정·종합결과'!$B$8)</f>
        <v>1</v>
      </c>
      <c r="M36" s="13" t="str">
        <f>'06_직무역량평가'!J36</f>
        <v>D</v>
      </c>
      <c r="N36" s="13" t="str">
        <f>'06_직무역량평가'!J76</f>
        <v>D</v>
      </c>
      <c r="O36" s="39">
        <f>IF(OR(M36="",N36=""),"",IF(M36="S",5,IF(M36="A",4,IF(M36="B",3,IF(M36="C",2,IF(M36="D",1,0))))) * '02_의사결정·종합결과'!$B$7 + IF(N36="S",5,IF(N36="A",4,IF(N36="B",3,IF(N36="C",2,IF(N36="D",1,0))))) * '02_의사결정·종합결과'!$B$8)</f>
        <v>1</v>
      </c>
      <c r="P36" s="22">
        <f>IFERROR(VLOOKUP(F36,'02_의사결정·종합결과'!$A$16:$D$22,2,FALSE),"")</f>
        <v>0.15</v>
      </c>
      <c r="Q36" s="22">
        <f>IFERROR(VLOOKUP(F36,'02_의사결정·종합결과'!$A$16:$D$22,3,FALSE),"")</f>
        <v>0.35</v>
      </c>
      <c r="R36" s="22">
        <f>IFERROR(VLOOKUP(F36,'02_의사결정·종합결과'!$A$16:$D$22,4,FALSE),"")</f>
        <v>0.5</v>
      </c>
      <c r="S36" s="43">
        <f t="shared" si="0"/>
        <v>1</v>
      </c>
      <c r="T36" s="40" t="str">
        <f t="shared" si="1"/>
        <v>D</v>
      </c>
      <c r="U36" s="44" t="str">
        <f>IF('02_의사결정·종합결과'!$B$6="절대평가",T36,T36)</f>
        <v>D</v>
      </c>
      <c r="V36" s="1"/>
    </row>
    <row r="37" spans="1:22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13" t="str">
        <f>'04_역할평가'!I37</f>
        <v>D</v>
      </c>
      <c r="H37" s="13" t="str">
        <f>'04_역할평가'!I77</f>
        <v>D</v>
      </c>
      <c r="I37" s="39">
        <f>IF(OR(G37="",H37=""),"",(IF(G37="S",5,IF(G37="A",4,IF(G37="B",3,IF(G37="C",2,IF(G37="D",1,0))))) * '02_의사결정·종합결과'!$B$7 + IF(H37="S",5,IF(H37="A",4,IF(H37="B",3,IF(H37="C",2,IF(H37="D",1,0))))) * '02_의사결정·종합결과'!$B$8))</f>
        <v>1</v>
      </c>
      <c r="J37" s="13" t="str">
        <f>'05_공통역량평가'!I37</f>
        <v>D</v>
      </c>
      <c r="K37" s="13" t="str">
        <f>'05_공통역량평가'!I77</f>
        <v>D</v>
      </c>
      <c r="L37" s="39">
        <f>IF(OR(J37="",K37=""),"",IF(J37="S",5,IF(J37="A",4,IF(J37="B",3,IF(J37="C",2,IF(J37="D",1,0))))) * '02_의사결정·종합결과'!$B$7 + IF(K37="S",5,IF(K37="A",4,IF(K37="B",3,IF(K37="C",2,IF(K37="D",1,0))))) * '02_의사결정·종합결과'!$B$8)</f>
        <v>1</v>
      </c>
      <c r="M37" s="13" t="str">
        <f>'06_직무역량평가'!J37</f>
        <v>D</v>
      </c>
      <c r="N37" s="13" t="str">
        <f>'06_직무역량평가'!J77</f>
        <v>D</v>
      </c>
      <c r="O37" s="39">
        <f>IF(OR(M37="",N37=""),"",IF(M37="S",5,IF(M37="A",4,IF(M37="B",3,IF(M37="C",2,IF(M37="D",1,0))))) * '02_의사결정·종합결과'!$B$7 + IF(N37="S",5,IF(N37="A",4,IF(N37="B",3,IF(N37="C",2,IF(N37="D",1,0))))) * '02_의사결정·종합결과'!$B$8)</f>
        <v>1</v>
      </c>
      <c r="P37" s="22">
        <f>IFERROR(VLOOKUP(F37,'02_의사결정·종합결과'!$A$16:$D$22,2,FALSE),"")</f>
        <v>0.15</v>
      </c>
      <c r="Q37" s="22">
        <f>IFERROR(VLOOKUP(F37,'02_의사결정·종합결과'!$A$16:$D$22,3,FALSE),"")</f>
        <v>0.35</v>
      </c>
      <c r="R37" s="22">
        <f>IFERROR(VLOOKUP(F37,'02_의사결정·종합결과'!$A$16:$D$22,4,FALSE),"")</f>
        <v>0.5</v>
      </c>
      <c r="S37" s="43">
        <f t="shared" si="0"/>
        <v>1</v>
      </c>
      <c r="T37" s="40" t="str">
        <f t="shared" si="1"/>
        <v>D</v>
      </c>
      <c r="U37" s="44" t="str">
        <f>IF('02_의사결정·종합결과'!$B$6="절대평가",T37,T37)</f>
        <v>D</v>
      </c>
      <c r="V37" s="1"/>
    </row>
    <row r="38" spans="1:22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13" t="str">
        <f>'04_역할평가'!I38</f>
        <v>D</v>
      </c>
      <c r="H38" s="13" t="str">
        <f>'04_역할평가'!I78</f>
        <v>D</v>
      </c>
      <c r="I38" s="39">
        <f>IF(OR(G38="",H38=""),"",(IF(G38="S",5,IF(G38="A",4,IF(G38="B",3,IF(G38="C",2,IF(G38="D",1,0))))) * '02_의사결정·종합결과'!$B$7 + IF(H38="S",5,IF(H38="A",4,IF(H38="B",3,IF(H38="C",2,IF(H38="D",1,0))))) * '02_의사결정·종합결과'!$B$8))</f>
        <v>1</v>
      </c>
      <c r="J38" s="13" t="str">
        <f>'05_공통역량평가'!I38</f>
        <v>D</v>
      </c>
      <c r="K38" s="13" t="str">
        <f>'05_공통역량평가'!I78</f>
        <v>D</v>
      </c>
      <c r="L38" s="39">
        <f>IF(OR(J38="",K38=""),"",IF(J38="S",5,IF(J38="A",4,IF(J38="B",3,IF(J38="C",2,IF(J38="D",1,0))))) * '02_의사결정·종합결과'!$B$7 + IF(K38="S",5,IF(K38="A",4,IF(K38="B",3,IF(K38="C",2,IF(K38="D",1,0))))) * '02_의사결정·종합결과'!$B$8)</f>
        <v>1</v>
      </c>
      <c r="M38" s="13" t="str">
        <f>'06_직무역량평가'!J38</f>
        <v>D</v>
      </c>
      <c r="N38" s="13" t="str">
        <f>'06_직무역량평가'!J78</f>
        <v>D</v>
      </c>
      <c r="O38" s="39">
        <f>IF(OR(M38="",N38=""),"",IF(M38="S",5,IF(M38="A",4,IF(M38="B",3,IF(M38="C",2,IF(M38="D",1,0))))) * '02_의사결정·종합결과'!$B$7 + IF(N38="S",5,IF(N38="A",4,IF(N38="B",3,IF(N38="C",2,IF(N38="D",1,0))))) * '02_의사결정·종합결과'!$B$8)</f>
        <v>1</v>
      </c>
      <c r="P38" s="22">
        <f>IFERROR(VLOOKUP(F38,'02_의사결정·종합결과'!$A$16:$D$22,2,FALSE),"")</f>
        <v>0.15</v>
      </c>
      <c r="Q38" s="22">
        <f>IFERROR(VLOOKUP(F38,'02_의사결정·종합결과'!$A$16:$D$22,3,FALSE),"")</f>
        <v>0.35</v>
      </c>
      <c r="R38" s="22">
        <f>IFERROR(VLOOKUP(F38,'02_의사결정·종합결과'!$A$16:$D$22,4,FALSE),"")</f>
        <v>0.5</v>
      </c>
      <c r="S38" s="43">
        <f t="shared" si="0"/>
        <v>1</v>
      </c>
      <c r="T38" s="40" t="str">
        <f t="shared" si="1"/>
        <v>D</v>
      </c>
      <c r="U38" s="44" t="str">
        <f>IF('02_의사결정·종합결과'!$B$6="절대평가",T38,T38)</f>
        <v>D</v>
      </c>
      <c r="V38" s="1"/>
    </row>
    <row r="39" spans="1:22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13" t="str">
        <f>'04_역할평가'!I39</f>
        <v>D</v>
      </c>
      <c r="H39" s="13" t="str">
        <f>'04_역할평가'!I79</f>
        <v>D</v>
      </c>
      <c r="I39" s="39">
        <f>IF(OR(G39="",H39=""),"",(IF(G39="S",5,IF(G39="A",4,IF(G39="B",3,IF(G39="C",2,IF(G39="D",1,0))))) * '02_의사결정·종합결과'!$B$7 + IF(H39="S",5,IF(H39="A",4,IF(H39="B",3,IF(H39="C",2,IF(H39="D",1,0))))) * '02_의사결정·종합결과'!$B$8))</f>
        <v>1</v>
      </c>
      <c r="J39" s="13" t="str">
        <f>'05_공통역량평가'!I39</f>
        <v>D</v>
      </c>
      <c r="K39" s="13" t="str">
        <f>'05_공통역량평가'!I79</f>
        <v>D</v>
      </c>
      <c r="L39" s="39">
        <f>IF(OR(J39="",K39=""),"",IF(J39="S",5,IF(J39="A",4,IF(J39="B",3,IF(J39="C",2,IF(J39="D",1,0))))) * '02_의사결정·종합결과'!$B$7 + IF(K39="S",5,IF(K39="A",4,IF(K39="B",3,IF(K39="C",2,IF(K39="D",1,0))))) * '02_의사결정·종합결과'!$B$8)</f>
        <v>1</v>
      </c>
      <c r="M39" s="13" t="str">
        <f>'06_직무역량평가'!J39</f>
        <v>D</v>
      </c>
      <c r="N39" s="13" t="str">
        <f>'06_직무역량평가'!J79</f>
        <v>D</v>
      </c>
      <c r="O39" s="39">
        <f>IF(OR(M39="",N39=""),"",IF(M39="S",5,IF(M39="A",4,IF(M39="B",3,IF(M39="C",2,IF(M39="D",1,0))))) * '02_의사결정·종합결과'!$B$7 + IF(N39="S",5,IF(N39="A",4,IF(N39="B",3,IF(N39="C",2,IF(N39="D",1,0))))) * '02_의사결정·종합결과'!$B$8)</f>
        <v>1</v>
      </c>
      <c r="P39" s="22">
        <f>IFERROR(VLOOKUP(F39,'02_의사결정·종합결과'!$A$16:$D$22,2,FALSE),"")</f>
        <v>0.15</v>
      </c>
      <c r="Q39" s="22">
        <f>IFERROR(VLOOKUP(F39,'02_의사결정·종합결과'!$A$16:$D$22,3,FALSE),"")</f>
        <v>0.35</v>
      </c>
      <c r="R39" s="22">
        <f>IFERROR(VLOOKUP(F39,'02_의사결정·종합결과'!$A$16:$D$22,4,FALSE),"")</f>
        <v>0.5</v>
      </c>
      <c r="S39" s="43">
        <f t="shared" si="0"/>
        <v>1</v>
      </c>
      <c r="T39" s="40" t="str">
        <f t="shared" si="1"/>
        <v>D</v>
      </c>
      <c r="U39" s="44" t="str">
        <f>IF('02_의사결정·종합결과'!$B$6="절대평가",T39,T39)</f>
        <v>D</v>
      </c>
      <c r="V39" s="1"/>
    </row>
  </sheetData>
  <mergeCells count="2">
    <mergeCell ref="A2:V2"/>
    <mergeCell ref="A1:V1"/>
  </mergeCells>
  <phoneticPr fontId="16" type="noConversion"/>
  <conditionalFormatting sqref="G6:U39">
    <cfRule type="cellIs" dxfId="17" priority="1" operator="equal">
      <formula>"S"</formula>
    </cfRule>
    <cfRule type="cellIs" dxfId="16" priority="2" operator="equal">
      <formula>"A"</formula>
    </cfRule>
    <cfRule type="cellIs" dxfId="15" priority="3" operator="equal">
      <formula>"C"</formula>
    </cfRule>
    <cfRule type="cellIs" dxfId="14" priority="4" operator="equal">
      <formula>"D"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Q4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5" width="11" customWidth="1"/>
    <col min="6" max="6" width="7" customWidth="1"/>
    <col min="7" max="7" width="12" customWidth="1"/>
    <col min="8" max="8" width="8" customWidth="1"/>
    <col min="9" max="9" width="9" customWidth="1"/>
    <col min="10" max="10" width="8" customWidth="1"/>
    <col min="11" max="12" width="9" customWidth="1"/>
    <col min="13" max="14" width="12" customWidth="1"/>
    <col min="15" max="16" width="13" customWidth="1"/>
    <col min="17" max="17" width="11" customWidth="1"/>
  </cols>
  <sheetData>
    <row r="1" spans="1:17" ht="28.05" customHeight="1" x14ac:dyDescent="0.6">
      <c r="A1" s="82" t="s">
        <v>452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1:17" x14ac:dyDescent="0.6">
      <c r="A2" s="80" t="s">
        <v>453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5" spans="1:17" ht="32" customHeight="1" x14ac:dyDescent="0.6">
      <c r="A5" s="28" t="s">
        <v>144</v>
      </c>
      <c r="B5" s="28" t="s">
        <v>145</v>
      </c>
      <c r="C5" s="28" t="s">
        <v>146</v>
      </c>
      <c r="D5" s="28" t="s">
        <v>147</v>
      </c>
      <c r="E5" s="28" t="s">
        <v>149</v>
      </c>
      <c r="F5" s="28" t="s">
        <v>151</v>
      </c>
      <c r="G5" s="28" t="s">
        <v>454</v>
      </c>
      <c r="H5" s="28" t="s">
        <v>450</v>
      </c>
      <c r="I5" s="28" t="s">
        <v>455</v>
      </c>
      <c r="J5" s="28" t="s">
        <v>456</v>
      </c>
      <c r="K5" s="28" t="s">
        <v>457</v>
      </c>
      <c r="L5" s="28" t="s">
        <v>458</v>
      </c>
      <c r="M5" s="28" t="s">
        <v>459</v>
      </c>
      <c r="N5" s="28" t="s">
        <v>460</v>
      </c>
      <c r="O5" s="28" t="s">
        <v>461</v>
      </c>
      <c r="P5" s="28" t="s">
        <v>462</v>
      </c>
      <c r="Q5" s="28" t="s">
        <v>463</v>
      </c>
    </row>
    <row r="6" spans="1:17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'01_인적정보'!F6</f>
        <v>스마트사업부</v>
      </c>
      <c r="F6" s="11" t="str">
        <f>'01_인적정보'!H6</f>
        <v>G6</v>
      </c>
      <c r="G6" s="45">
        <f>'01_인적정보'!K6</f>
        <v>72500000</v>
      </c>
      <c r="H6" s="40" t="str">
        <f>'08_종합평가'!U6</f>
        <v>D</v>
      </c>
      <c r="I6" s="24">
        <f>IF(H6="","",IF(H6="S",'02_의사결정·종합결과'!$B$26,IF(H6="A",'02_의사결정·종합결과'!$C$26,IF(H6="B",'02_의사결정·종합결과'!$D$26,IF(H6="C",'02_의사결정·종합결과'!$E$26,'02_의사결정·종합결과'!$F$26)))))</f>
        <v>0.02</v>
      </c>
      <c r="J6" s="16" t="s">
        <v>464</v>
      </c>
      <c r="K6" s="24">
        <f>IF(J6="Y",'02_의사결정·종합결과'!$B$28,0)</f>
        <v>0</v>
      </c>
      <c r="L6" s="46">
        <f t="shared" ref="L6:L39" si="0">IF(I6="","",I6+K6)</f>
        <v>0.02</v>
      </c>
      <c r="M6" s="47">
        <f>IFERROR(VLOOKUP(F6,'02_의사결정·종합결과'!$A$32:$D$38,2,FALSE),"")</f>
        <v>58000000</v>
      </c>
      <c r="N6" s="47">
        <f>IFERROR(VLOOKUP(F6,'02_의사결정·종합결과'!$A$32:$D$38,4,FALSE),"")</f>
        <v>80000000</v>
      </c>
      <c r="O6" s="47">
        <f t="shared" ref="O6:O39" si="1">IF(L6="","",ROUND(G6*(1+L6),-4))</f>
        <v>73950000</v>
      </c>
      <c r="P6" s="48">
        <f t="shared" ref="P6:P39" si="2">O6</f>
        <v>73950000</v>
      </c>
      <c r="Q6" s="47">
        <f t="shared" ref="Q6:Q39" si="3">IF(P6="","",P6-G6)</f>
        <v>1450000</v>
      </c>
    </row>
    <row r="7" spans="1:17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'01_인적정보'!F7</f>
        <v>R&amp;D본부</v>
      </c>
      <c r="F7" s="11" t="str">
        <f>'01_인적정보'!H7</f>
        <v>G6</v>
      </c>
      <c r="G7" s="45">
        <f>'01_인적정보'!K7</f>
        <v>68870000</v>
      </c>
      <c r="H7" s="40" t="str">
        <f>'08_종합평가'!U7</f>
        <v>D</v>
      </c>
      <c r="I7" s="24">
        <f>IF(H7="","",IF(H7="S",'02_의사결정·종합결과'!$B$26,IF(H7="A",'02_의사결정·종합결과'!$C$26,IF(H7="B",'02_의사결정·종합결과'!$D$26,IF(H7="C",'02_의사결정·종합결과'!$E$26,'02_의사결정·종합결과'!$F$26)))))</f>
        <v>0.02</v>
      </c>
      <c r="J7" s="16" t="s">
        <v>464</v>
      </c>
      <c r="K7" s="24">
        <f>IF(J7="Y",'02_의사결정·종합결과'!$B$28,0)</f>
        <v>0</v>
      </c>
      <c r="L7" s="46">
        <f t="shared" si="0"/>
        <v>0.02</v>
      </c>
      <c r="M7" s="47">
        <f>IFERROR(VLOOKUP(F7,'02_의사결정·종합결과'!$A$32:$D$38,2,FALSE),"")</f>
        <v>58000000</v>
      </c>
      <c r="N7" s="47">
        <f>IFERROR(VLOOKUP(F7,'02_의사결정·종합결과'!$A$32:$D$38,4,FALSE),"")</f>
        <v>80000000</v>
      </c>
      <c r="O7" s="47">
        <f t="shared" si="1"/>
        <v>70250000</v>
      </c>
      <c r="P7" s="48">
        <f t="shared" si="2"/>
        <v>70250000</v>
      </c>
      <c r="Q7" s="47">
        <f t="shared" si="3"/>
        <v>1380000</v>
      </c>
    </row>
    <row r="8" spans="1:17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'01_인적정보'!F8</f>
        <v>컨설팅본부</v>
      </c>
      <c r="F8" s="11" t="str">
        <f>'01_인적정보'!H8</f>
        <v>G6</v>
      </c>
      <c r="G8" s="45">
        <f>'01_인적정보'!K8</f>
        <v>67500000</v>
      </c>
      <c r="H8" s="40" t="str">
        <f>'08_종합평가'!U8</f>
        <v>D</v>
      </c>
      <c r="I8" s="24">
        <f>IF(H8="","",IF(H8="S",'02_의사결정·종합결과'!$B$26,IF(H8="A",'02_의사결정·종합결과'!$C$26,IF(H8="B",'02_의사결정·종합결과'!$D$26,IF(H8="C",'02_의사결정·종합결과'!$E$26,'02_의사결정·종합결과'!$F$26)))))</f>
        <v>0.02</v>
      </c>
      <c r="J8" s="16" t="s">
        <v>464</v>
      </c>
      <c r="K8" s="24">
        <f>IF(J8="Y",'02_의사결정·종합결과'!$B$28,0)</f>
        <v>0</v>
      </c>
      <c r="L8" s="46">
        <f t="shared" si="0"/>
        <v>0.02</v>
      </c>
      <c r="M8" s="47">
        <f>IFERROR(VLOOKUP(F8,'02_의사결정·종합결과'!$A$32:$D$38,2,FALSE),"")</f>
        <v>58000000</v>
      </c>
      <c r="N8" s="47">
        <f>IFERROR(VLOOKUP(F8,'02_의사결정·종합결과'!$A$32:$D$38,4,FALSE),"")</f>
        <v>80000000</v>
      </c>
      <c r="O8" s="47">
        <f t="shared" si="1"/>
        <v>68850000</v>
      </c>
      <c r="P8" s="48">
        <f t="shared" si="2"/>
        <v>68850000</v>
      </c>
      <c r="Q8" s="47">
        <f t="shared" si="3"/>
        <v>1350000</v>
      </c>
    </row>
    <row r="9" spans="1:17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'01_인적정보'!F9</f>
        <v>경영전략실</v>
      </c>
      <c r="F9" s="11" t="str">
        <f>'01_인적정보'!H9</f>
        <v>G6</v>
      </c>
      <c r="G9" s="45">
        <f>'01_인적정보'!K9</f>
        <v>64530000</v>
      </c>
      <c r="H9" s="40" t="str">
        <f>'08_종합평가'!U9</f>
        <v>D</v>
      </c>
      <c r="I9" s="24">
        <f>IF(H9="","",IF(H9="S",'02_의사결정·종합결과'!$B$26,IF(H9="A",'02_의사결정·종합결과'!$C$26,IF(H9="B",'02_의사결정·종합결과'!$D$26,IF(H9="C",'02_의사결정·종합결과'!$E$26,'02_의사결정·종합결과'!$F$26)))))</f>
        <v>0.02</v>
      </c>
      <c r="J9" s="16" t="s">
        <v>464</v>
      </c>
      <c r="K9" s="24">
        <f>IF(J9="Y",'02_의사결정·종합결과'!$B$28,0)</f>
        <v>0</v>
      </c>
      <c r="L9" s="46">
        <f t="shared" si="0"/>
        <v>0.02</v>
      </c>
      <c r="M9" s="47">
        <f>IFERROR(VLOOKUP(F9,'02_의사결정·종합결과'!$A$32:$D$38,2,FALSE),"")</f>
        <v>58000000</v>
      </c>
      <c r="N9" s="47">
        <f>IFERROR(VLOOKUP(F9,'02_의사결정·종합결과'!$A$32:$D$38,4,FALSE),"")</f>
        <v>80000000</v>
      </c>
      <c r="O9" s="47">
        <f t="shared" si="1"/>
        <v>65820000</v>
      </c>
      <c r="P9" s="48">
        <f t="shared" si="2"/>
        <v>65820000</v>
      </c>
      <c r="Q9" s="47">
        <f t="shared" si="3"/>
        <v>1290000</v>
      </c>
    </row>
    <row r="10" spans="1:17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'01_인적정보'!F10</f>
        <v>경영전략실</v>
      </c>
      <c r="F10" s="11" t="str">
        <f>'01_인적정보'!H10</f>
        <v>G6</v>
      </c>
      <c r="G10" s="45">
        <f>'01_인적정보'!K10</f>
        <v>65180000</v>
      </c>
      <c r="H10" s="40" t="str">
        <f>'08_종합평가'!U10</f>
        <v>D</v>
      </c>
      <c r="I10" s="24">
        <f>IF(H10="","",IF(H10="S",'02_의사결정·종합결과'!$B$26,IF(H10="A",'02_의사결정·종합결과'!$C$26,IF(H10="B",'02_의사결정·종합결과'!$D$26,IF(H10="C",'02_의사결정·종합결과'!$E$26,'02_의사결정·종합결과'!$F$26)))))</f>
        <v>0.02</v>
      </c>
      <c r="J10" s="16" t="s">
        <v>464</v>
      </c>
      <c r="K10" s="24">
        <f>IF(J10="Y",'02_의사결정·종합결과'!$B$28,0)</f>
        <v>0</v>
      </c>
      <c r="L10" s="46">
        <f t="shared" si="0"/>
        <v>0.02</v>
      </c>
      <c r="M10" s="47">
        <f>IFERROR(VLOOKUP(F10,'02_의사결정·종합결과'!$A$32:$D$38,2,FALSE),"")</f>
        <v>58000000</v>
      </c>
      <c r="N10" s="47">
        <f>IFERROR(VLOOKUP(F10,'02_의사결정·종합결과'!$A$32:$D$38,4,FALSE),"")</f>
        <v>80000000</v>
      </c>
      <c r="O10" s="47">
        <f t="shared" si="1"/>
        <v>66480000</v>
      </c>
      <c r="P10" s="48">
        <f t="shared" si="2"/>
        <v>66480000</v>
      </c>
      <c r="Q10" s="47">
        <f t="shared" si="3"/>
        <v>1300000</v>
      </c>
    </row>
    <row r="11" spans="1:17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'01_인적정보'!F11</f>
        <v>경영전략실</v>
      </c>
      <c r="F11" s="11" t="str">
        <f>'01_인적정보'!H11</f>
        <v>G6</v>
      </c>
      <c r="G11" s="45">
        <f>'01_인적정보'!K11</f>
        <v>62000000</v>
      </c>
      <c r="H11" s="40" t="str">
        <f>'08_종합평가'!U11</f>
        <v>D</v>
      </c>
      <c r="I11" s="24">
        <f>IF(H11="","",IF(H11="S",'02_의사결정·종합결과'!$B$26,IF(H11="A",'02_의사결정·종합결과'!$C$26,IF(H11="B",'02_의사결정·종합결과'!$D$26,IF(H11="C",'02_의사결정·종합결과'!$E$26,'02_의사결정·종합결과'!$F$26)))))</f>
        <v>0.02</v>
      </c>
      <c r="J11" s="16" t="s">
        <v>464</v>
      </c>
      <c r="K11" s="24">
        <f>IF(J11="Y",'02_의사결정·종합결과'!$B$28,0)</f>
        <v>0</v>
      </c>
      <c r="L11" s="46">
        <f t="shared" si="0"/>
        <v>0.02</v>
      </c>
      <c r="M11" s="47">
        <f>IFERROR(VLOOKUP(F11,'02_의사결정·종합결과'!$A$32:$D$38,2,FALSE),"")</f>
        <v>58000000</v>
      </c>
      <c r="N11" s="47">
        <f>IFERROR(VLOOKUP(F11,'02_의사결정·종합결과'!$A$32:$D$38,4,FALSE),"")</f>
        <v>80000000</v>
      </c>
      <c r="O11" s="47">
        <f t="shared" si="1"/>
        <v>63240000</v>
      </c>
      <c r="P11" s="48">
        <f t="shared" si="2"/>
        <v>63240000</v>
      </c>
      <c r="Q11" s="47">
        <f t="shared" si="3"/>
        <v>1240000</v>
      </c>
    </row>
    <row r="12" spans="1:17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'01_인적정보'!F12</f>
        <v>솔루션본부</v>
      </c>
      <c r="F12" s="11" t="str">
        <f>'01_인적정보'!H12</f>
        <v>G5-M</v>
      </c>
      <c r="G12" s="45">
        <f>'01_인적정보'!K12</f>
        <v>59700000</v>
      </c>
      <c r="H12" s="40" t="str">
        <f>'08_종합평가'!U12</f>
        <v>D</v>
      </c>
      <c r="I12" s="24">
        <f>IF(H12="","",IF(H12="S",'02_의사결정·종합결과'!$B$26,IF(H12="A",'02_의사결정·종합결과'!$C$26,IF(H12="B",'02_의사결정·종합결과'!$D$26,IF(H12="C",'02_의사결정·종합결과'!$E$26,'02_의사결정·종합결과'!$F$26)))))</f>
        <v>0.02</v>
      </c>
      <c r="J12" s="16" t="s">
        <v>464</v>
      </c>
      <c r="K12" s="24">
        <f>IF(J12="Y",'02_의사결정·종합결과'!$B$28,0)</f>
        <v>0</v>
      </c>
      <c r="L12" s="46">
        <f t="shared" si="0"/>
        <v>0.02</v>
      </c>
      <c r="M12" s="47">
        <f>IFERROR(VLOOKUP(F12,'02_의사결정·종합결과'!$A$32:$D$38,2,FALSE),"")</f>
        <v>53000000</v>
      </c>
      <c r="N12" s="47">
        <f>IFERROR(VLOOKUP(F12,'02_의사결정·종합결과'!$A$32:$D$38,4,FALSE),"")</f>
        <v>73000000</v>
      </c>
      <c r="O12" s="47">
        <f t="shared" si="1"/>
        <v>60890000</v>
      </c>
      <c r="P12" s="48">
        <f t="shared" si="2"/>
        <v>60890000</v>
      </c>
      <c r="Q12" s="47">
        <f t="shared" si="3"/>
        <v>1190000</v>
      </c>
    </row>
    <row r="13" spans="1:17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'01_인적정보'!F13</f>
        <v>솔루션본부</v>
      </c>
      <c r="F13" s="11" t="str">
        <f>'01_인적정보'!H13</f>
        <v>G5-M</v>
      </c>
      <c r="G13" s="45">
        <f>'01_인적정보'!K13</f>
        <v>59050000</v>
      </c>
      <c r="H13" s="40" t="str">
        <f>'08_종합평가'!U13</f>
        <v>D</v>
      </c>
      <c r="I13" s="24">
        <f>IF(H13="","",IF(H13="S",'02_의사결정·종합결과'!$B$26,IF(H13="A",'02_의사결정·종합결과'!$C$26,IF(H13="B",'02_의사결정·종합결과'!$D$26,IF(H13="C",'02_의사결정·종합결과'!$E$26,'02_의사결정·종합결과'!$F$26)))))</f>
        <v>0.02</v>
      </c>
      <c r="J13" s="16" t="s">
        <v>464</v>
      </c>
      <c r="K13" s="24">
        <f>IF(J13="Y",'02_의사결정·종합결과'!$B$28,0)</f>
        <v>0</v>
      </c>
      <c r="L13" s="46">
        <f t="shared" si="0"/>
        <v>0.02</v>
      </c>
      <c r="M13" s="47">
        <f>IFERROR(VLOOKUP(F13,'02_의사결정·종합결과'!$A$32:$D$38,2,FALSE),"")</f>
        <v>53000000</v>
      </c>
      <c r="N13" s="47">
        <f>IFERROR(VLOOKUP(F13,'02_의사결정·종합결과'!$A$32:$D$38,4,FALSE),"")</f>
        <v>73000000</v>
      </c>
      <c r="O13" s="47">
        <f t="shared" si="1"/>
        <v>60230000</v>
      </c>
      <c r="P13" s="48">
        <f t="shared" si="2"/>
        <v>60230000</v>
      </c>
      <c r="Q13" s="47">
        <f t="shared" si="3"/>
        <v>1180000</v>
      </c>
    </row>
    <row r="14" spans="1:17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'01_인적정보'!F14</f>
        <v>컨설팅본부</v>
      </c>
      <c r="F14" s="11" t="str">
        <f>'01_인적정보'!H14</f>
        <v>G5-M</v>
      </c>
      <c r="G14" s="45">
        <f>'01_인적정보'!K14</f>
        <v>59050000</v>
      </c>
      <c r="H14" s="40" t="str">
        <f>'08_종합평가'!U14</f>
        <v>D</v>
      </c>
      <c r="I14" s="24">
        <f>IF(H14="","",IF(H14="S",'02_의사결정·종합결과'!$B$26,IF(H14="A",'02_의사결정·종합결과'!$C$26,IF(H14="B",'02_의사결정·종합결과'!$D$26,IF(H14="C",'02_의사결정·종합결과'!$E$26,'02_의사결정·종합결과'!$F$26)))))</f>
        <v>0.02</v>
      </c>
      <c r="J14" s="16" t="s">
        <v>464</v>
      </c>
      <c r="K14" s="24">
        <f>IF(J14="Y",'02_의사결정·종합결과'!$B$28,0)</f>
        <v>0</v>
      </c>
      <c r="L14" s="46">
        <f t="shared" si="0"/>
        <v>0.02</v>
      </c>
      <c r="M14" s="47">
        <f>IFERROR(VLOOKUP(F14,'02_의사결정·종합결과'!$A$32:$D$38,2,FALSE),"")</f>
        <v>53000000</v>
      </c>
      <c r="N14" s="47">
        <f>IFERROR(VLOOKUP(F14,'02_의사결정·종합결과'!$A$32:$D$38,4,FALSE),"")</f>
        <v>73000000</v>
      </c>
      <c r="O14" s="47">
        <f t="shared" si="1"/>
        <v>60230000</v>
      </c>
      <c r="P14" s="48">
        <f t="shared" si="2"/>
        <v>60230000</v>
      </c>
      <c r="Q14" s="47">
        <f t="shared" si="3"/>
        <v>1180000</v>
      </c>
    </row>
    <row r="15" spans="1:17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'01_인적정보'!F15</f>
        <v>컨설팅본부</v>
      </c>
      <c r="F15" s="11" t="str">
        <f>'01_인적정보'!H15</f>
        <v>G5-S</v>
      </c>
      <c r="G15" s="45">
        <f>'01_인적정보'!K15</f>
        <v>59050000</v>
      </c>
      <c r="H15" s="40" t="str">
        <f>'08_종합평가'!U15</f>
        <v>D</v>
      </c>
      <c r="I15" s="24">
        <f>IF(H15="","",IF(H15="S",'02_의사결정·종합결과'!$B$26,IF(H15="A",'02_의사결정·종합결과'!$C$26,IF(H15="B",'02_의사결정·종합결과'!$D$26,IF(H15="C",'02_의사결정·종합결과'!$E$26,'02_의사결정·종합결과'!$F$26)))))</f>
        <v>0.02</v>
      </c>
      <c r="J15" s="16" t="s">
        <v>464</v>
      </c>
      <c r="K15" s="24">
        <f>IF(J15="Y",'02_의사결정·종합결과'!$B$28,0)</f>
        <v>0</v>
      </c>
      <c r="L15" s="46">
        <f t="shared" si="0"/>
        <v>0.02</v>
      </c>
      <c r="M15" s="47">
        <f>IFERROR(VLOOKUP(F15,'02_의사결정·종합결과'!$A$32:$D$38,2,FALSE),"")</f>
        <v>53000000</v>
      </c>
      <c r="N15" s="47">
        <f>IFERROR(VLOOKUP(F15,'02_의사결정·종합결과'!$A$32:$D$38,4,FALSE),"")</f>
        <v>73000000</v>
      </c>
      <c r="O15" s="47">
        <f t="shared" si="1"/>
        <v>60230000</v>
      </c>
      <c r="P15" s="48">
        <f t="shared" si="2"/>
        <v>60230000</v>
      </c>
      <c r="Q15" s="47">
        <f t="shared" si="3"/>
        <v>1180000</v>
      </c>
    </row>
    <row r="16" spans="1:17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'01_인적정보'!F16</f>
        <v>컨설팅본부</v>
      </c>
      <c r="F16" s="11" t="str">
        <f>'01_인적정보'!H16</f>
        <v>G5-S</v>
      </c>
      <c r="G16" s="45">
        <f>'01_인적정보'!K16</f>
        <v>57760000</v>
      </c>
      <c r="H16" s="40" t="str">
        <f>'08_종합평가'!U16</f>
        <v>D</v>
      </c>
      <c r="I16" s="24">
        <f>IF(H16="","",IF(H16="S",'02_의사결정·종합결과'!$B$26,IF(H16="A",'02_의사결정·종합결과'!$C$26,IF(H16="B",'02_의사결정·종합결과'!$D$26,IF(H16="C",'02_의사결정·종합결과'!$E$26,'02_의사결정·종합결과'!$F$26)))))</f>
        <v>0.02</v>
      </c>
      <c r="J16" s="16" t="s">
        <v>464</v>
      </c>
      <c r="K16" s="24">
        <f>IF(J16="Y",'02_의사결정·종합결과'!$B$28,0)</f>
        <v>0</v>
      </c>
      <c r="L16" s="46">
        <f t="shared" si="0"/>
        <v>0.02</v>
      </c>
      <c r="M16" s="47">
        <f>IFERROR(VLOOKUP(F16,'02_의사결정·종합결과'!$A$32:$D$38,2,FALSE),"")</f>
        <v>53000000</v>
      </c>
      <c r="N16" s="47">
        <f>IFERROR(VLOOKUP(F16,'02_의사결정·종합결과'!$A$32:$D$38,4,FALSE),"")</f>
        <v>73000000</v>
      </c>
      <c r="O16" s="47">
        <f t="shared" si="1"/>
        <v>58920000</v>
      </c>
      <c r="P16" s="48">
        <f t="shared" si="2"/>
        <v>58920000</v>
      </c>
      <c r="Q16" s="47">
        <f t="shared" si="3"/>
        <v>1160000</v>
      </c>
    </row>
    <row r="17" spans="1:17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'01_인적정보'!F17</f>
        <v>마케팅팀</v>
      </c>
      <c r="F17" s="11" t="str">
        <f>'01_인적정보'!H17</f>
        <v>G5-M</v>
      </c>
      <c r="G17" s="45">
        <f>'01_인적정보'!K17</f>
        <v>57760000</v>
      </c>
      <c r="H17" s="40" t="str">
        <f>'08_종합평가'!U17</f>
        <v>D</v>
      </c>
      <c r="I17" s="24">
        <f>IF(H17="","",IF(H17="S",'02_의사결정·종합결과'!$B$26,IF(H17="A",'02_의사결정·종합결과'!$C$26,IF(H17="B",'02_의사결정·종합결과'!$D$26,IF(H17="C",'02_의사결정·종합결과'!$E$26,'02_의사결정·종합결과'!$F$26)))))</f>
        <v>0.02</v>
      </c>
      <c r="J17" s="16" t="s">
        <v>464</v>
      </c>
      <c r="K17" s="24">
        <f>IF(J17="Y",'02_의사결정·종합결과'!$B$28,0)</f>
        <v>0</v>
      </c>
      <c r="L17" s="46">
        <f t="shared" si="0"/>
        <v>0.02</v>
      </c>
      <c r="M17" s="47">
        <f>IFERROR(VLOOKUP(F17,'02_의사결정·종합결과'!$A$32:$D$38,2,FALSE),"")</f>
        <v>53000000</v>
      </c>
      <c r="N17" s="47">
        <f>IFERROR(VLOOKUP(F17,'02_의사결정·종합결과'!$A$32:$D$38,4,FALSE),"")</f>
        <v>73000000</v>
      </c>
      <c r="O17" s="47">
        <f t="shared" si="1"/>
        <v>58920000</v>
      </c>
      <c r="P17" s="48">
        <f t="shared" si="2"/>
        <v>58920000</v>
      </c>
      <c r="Q17" s="47">
        <f t="shared" si="3"/>
        <v>1160000</v>
      </c>
    </row>
    <row r="18" spans="1:17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'01_인적정보'!F18</f>
        <v>컨설팅본부</v>
      </c>
      <c r="F18" s="11" t="str">
        <f>'01_인적정보'!H18</f>
        <v>G5-S</v>
      </c>
      <c r="G18" s="45">
        <f>'01_인적정보'!K18</f>
        <v>58400000</v>
      </c>
      <c r="H18" s="40" t="str">
        <f>'08_종합평가'!U18</f>
        <v>D</v>
      </c>
      <c r="I18" s="24">
        <f>IF(H18="","",IF(H18="S",'02_의사결정·종합결과'!$B$26,IF(H18="A",'02_의사결정·종합결과'!$C$26,IF(H18="B",'02_의사결정·종합결과'!$D$26,IF(H18="C",'02_의사결정·종합결과'!$E$26,'02_의사결정·종합결과'!$F$26)))))</f>
        <v>0.02</v>
      </c>
      <c r="J18" s="16" t="s">
        <v>464</v>
      </c>
      <c r="K18" s="24">
        <f>IF(J18="Y",'02_의사결정·종합결과'!$B$28,0)</f>
        <v>0</v>
      </c>
      <c r="L18" s="46">
        <f t="shared" si="0"/>
        <v>0.02</v>
      </c>
      <c r="M18" s="47">
        <f>IFERROR(VLOOKUP(F18,'02_의사결정·종합결과'!$A$32:$D$38,2,FALSE),"")</f>
        <v>53000000</v>
      </c>
      <c r="N18" s="47">
        <f>IFERROR(VLOOKUP(F18,'02_의사결정·종합결과'!$A$32:$D$38,4,FALSE),"")</f>
        <v>73000000</v>
      </c>
      <c r="O18" s="47">
        <f t="shared" si="1"/>
        <v>59570000</v>
      </c>
      <c r="P18" s="48">
        <f t="shared" si="2"/>
        <v>59570000</v>
      </c>
      <c r="Q18" s="47">
        <f t="shared" si="3"/>
        <v>1170000</v>
      </c>
    </row>
    <row r="19" spans="1:17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'01_인적정보'!F19</f>
        <v>컨설팅본부</v>
      </c>
      <c r="F19" s="11" t="str">
        <f>'01_인적정보'!H19</f>
        <v>G5-S</v>
      </c>
      <c r="G19" s="45">
        <f>'01_인적정보'!K19</f>
        <v>56500000</v>
      </c>
      <c r="H19" s="40" t="str">
        <f>'08_종합평가'!U19</f>
        <v>D</v>
      </c>
      <c r="I19" s="24">
        <f>IF(H19="","",IF(H19="S",'02_의사결정·종합결과'!$B$26,IF(H19="A",'02_의사결정·종합결과'!$C$26,IF(H19="B",'02_의사결정·종합결과'!$D$26,IF(H19="C",'02_의사결정·종합결과'!$E$26,'02_의사결정·종합결과'!$F$26)))))</f>
        <v>0.02</v>
      </c>
      <c r="J19" s="16" t="s">
        <v>464</v>
      </c>
      <c r="K19" s="24">
        <f>IF(J19="Y",'02_의사결정·종합결과'!$B$28,0)</f>
        <v>0</v>
      </c>
      <c r="L19" s="46">
        <f t="shared" si="0"/>
        <v>0.02</v>
      </c>
      <c r="M19" s="47">
        <f>IFERROR(VLOOKUP(F19,'02_의사결정·종합결과'!$A$32:$D$38,2,FALSE),"")</f>
        <v>53000000</v>
      </c>
      <c r="N19" s="47">
        <f>IFERROR(VLOOKUP(F19,'02_의사결정·종합결과'!$A$32:$D$38,4,FALSE),"")</f>
        <v>73000000</v>
      </c>
      <c r="O19" s="47">
        <f t="shared" si="1"/>
        <v>57630000</v>
      </c>
      <c r="P19" s="48">
        <f t="shared" si="2"/>
        <v>57630000</v>
      </c>
      <c r="Q19" s="47">
        <f t="shared" si="3"/>
        <v>1130000</v>
      </c>
    </row>
    <row r="20" spans="1:17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'01_인적정보'!F20</f>
        <v>컨설팅본부</v>
      </c>
      <c r="F20" s="11" t="str">
        <f>'01_인적정보'!H20</f>
        <v>G5-S</v>
      </c>
      <c r="G20" s="45">
        <f>'01_인적정보'!K20</f>
        <v>53160000</v>
      </c>
      <c r="H20" s="40" t="str">
        <f>'08_종합평가'!U20</f>
        <v>D</v>
      </c>
      <c r="I20" s="24">
        <f>IF(H20="","",IF(H20="S",'02_의사결정·종합결과'!$B$26,IF(H20="A",'02_의사결정·종합결과'!$C$26,IF(H20="B",'02_의사결정·종합결과'!$D$26,IF(H20="C",'02_의사결정·종합결과'!$E$26,'02_의사결정·종합결과'!$F$26)))))</f>
        <v>0.02</v>
      </c>
      <c r="J20" s="16" t="s">
        <v>464</v>
      </c>
      <c r="K20" s="24">
        <f>IF(J20="Y",'02_의사결정·종합결과'!$B$28,0)</f>
        <v>0</v>
      </c>
      <c r="L20" s="46">
        <f t="shared" si="0"/>
        <v>0.02</v>
      </c>
      <c r="M20" s="47">
        <f>IFERROR(VLOOKUP(F20,'02_의사결정·종합결과'!$A$32:$D$38,2,FALSE),"")</f>
        <v>53000000</v>
      </c>
      <c r="N20" s="47">
        <f>IFERROR(VLOOKUP(F20,'02_의사결정·종합결과'!$A$32:$D$38,4,FALSE),"")</f>
        <v>73000000</v>
      </c>
      <c r="O20" s="47">
        <f t="shared" si="1"/>
        <v>54220000</v>
      </c>
      <c r="P20" s="48">
        <f t="shared" si="2"/>
        <v>54220000</v>
      </c>
      <c r="Q20" s="47">
        <f t="shared" si="3"/>
        <v>1060000</v>
      </c>
    </row>
    <row r="21" spans="1:17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'01_인적정보'!F21</f>
        <v>컨설팅본부</v>
      </c>
      <c r="F21" s="11" t="str">
        <f>'01_인적정보'!H21</f>
        <v>G5-S</v>
      </c>
      <c r="G21" s="45">
        <f>'01_인적정보'!K21</f>
        <v>53750000</v>
      </c>
      <c r="H21" s="40" t="str">
        <f>'08_종합평가'!U21</f>
        <v>D</v>
      </c>
      <c r="I21" s="24">
        <f>IF(H21="","",IF(H21="S",'02_의사결정·종합결과'!$B$26,IF(H21="A",'02_의사결정·종합결과'!$C$26,IF(H21="B",'02_의사결정·종합결과'!$D$26,IF(H21="C",'02_의사결정·종합결과'!$E$26,'02_의사결정·종합결과'!$F$26)))))</f>
        <v>0.02</v>
      </c>
      <c r="J21" s="16" t="s">
        <v>464</v>
      </c>
      <c r="K21" s="24">
        <f>IF(J21="Y",'02_의사결정·종합결과'!$B$28,0)</f>
        <v>0</v>
      </c>
      <c r="L21" s="46">
        <f t="shared" si="0"/>
        <v>0.02</v>
      </c>
      <c r="M21" s="47">
        <f>IFERROR(VLOOKUP(F21,'02_의사결정·종합결과'!$A$32:$D$38,2,FALSE),"")</f>
        <v>53000000</v>
      </c>
      <c r="N21" s="47">
        <f>IFERROR(VLOOKUP(F21,'02_의사결정·종합결과'!$A$32:$D$38,4,FALSE),"")</f>
        <v>73000000</v>
      </c>
      <c r="O21" s="47">
        <f t="shared" si="1"/>
        <v>54830000</v>
      </c>
      <c r="P21" s="48">
        <f t="shared" si="2"/>
        <v>54830000</v>
      </c>
      <c r="Q21" s="47">
        <f t="shared" si="3"/>
        <v>1080000</v>
      </c>
    </row>
    <row r="22" spans="1:17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'01_인적정보'!F22</f>
        <v>솔루션본부</v>
      </c>
      <c r="F22" s="11" t="str">
        <f>'01_인적정보'!H22</f>
        <v>G4</v>
      </c>
      <c r="G22" s="45">
        <f>'01_인적정보'!K22</f>
        <v>49240000</v>
      </c>
      <c r="H22" s="40" t="str">
        <f>'08_종합평가'!U22</f>
        <v>D</v>
      </c>
      <c r="I22" s="24">
        <f>IF(H22="","",IF(H22="S",'02_의사결정·종합결과'!$B$26,IF(H22="A",'02_의사결정·종합결과'!$C$26,IF(H22="B",'02_의사결정·종합결과'!$D$26,IF(H22="C",'02_의사결정·종합결과'!$E$26,'02_의사결정·종합결과'!$F$26)))))</f>
        <v>0.02</v>
      </c>
      <c r="J22" s="16" t="s">
        <v>464</v>
      </c>
      <c r="K22" s="24">
        <f>IF(J22="Y",'02_의사결정·종합결과'!$B$28,0)</f>
        <v>0</v>
      </c>
      <c r="L22" s="46">
        <f t="shared" si="0"/>
        <v>0.02</v>
      </c>
      <c r="M22" s="47">
        <f>IFERROR(VLOOKUP(F22,'02_의사결정·종합결과'!$A$32:$D$38,2,FALSE),"")</f>
        <v>49000000</v>
      </c>
      <c r="N22" s="47">
        <f>IFERROR(VLOOKUP(F22,'02_의사결정·종합결과'!$A$32:$D$38,4,FALSE),"")</f>
        <v>66000000</v>
      </c>
      <c r="O22" s="47">
        <f t="shared" si="1"/>
        <v>50220000</v>
      </c>
      <c r="P22" s="48">
        <f t="shared" si="2"/>
        <v>50220000</v>
      </c>
      <c r="Q22" s="47">
        <f t="shared" si="3"/>
        <v>980000</v>
      </c>
    </row>
    <row r="23" spans="1:17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'01_인적정보'!F23</f>
        <v>컨설팅본부</v>
      </c>
      <c r="F23" s="11" t="str">
        <f>'01_인적정보'!H23</f>
        <v>G4</v>
      </c>
      <c r="G23" s="45">
        <f>'01_인적정보'!K23</f>
        <v>48650000</v>
      </c>
      <c r="H23" s="40" t="str">
        <f>'08_종합평가'!U23</f>
        <v>D</v>
      </c>
      <c r="I23" s="24">
        <f>IF(H23="","",IF(H23="S",'02_의사결정·종합결과'!$B$26,IF(H23="A",'02_의사결정·종합결과'!$C$26,IF(H23="B",'02_의사결정·종합결과'!$D$26,IF(H23="C",'02_의사결정·종합결과'!$E$26,'02_의사결정·종합결과'!$F$26)))))</f>
        <v>0.02</v>
      </c>
      <c r="J23" s="16" t="s">
        <v>464</v>
      </c>
      <c r="K23" s="24">
        <f>IF(J23="Y",'02_의사결정·종합결과'!$B$28,0)</f>
        <v>0</v>
      </c>
      <c r="L23" s="46">
        <f t="shared" si="0"/>
        <v>0.02</v>
      </c>
      <c r="M23" s="47">
        <f>IFERROR(VLOOKUP(F23,'02_의사결정·종합결과'!$A$32:$D$38,2,FALSE),"")</f>
        <v>49000000</v>
      </c>
      <c r="N23" s="47">
        <f>IFERROR(VLOOKUP(F23,'02_의사결정·종합결과'!$A$32:$D$38,4,FALSE),"")</f>
        <v>66000000</v>
      </c>
      <c r="O23" s="47">
        <f t="shared" si="1"/>
        <v>49620000</v>
      </c>
      <c r="P23" s="48">
        <f t="shared" si="2"/>
        <v>49620000</v>
      </c>
      <c r="Q23" s="47">
        <f t="shared" si="3"/>
        <v>970000</v>
      </c>
    </row>
    <row r="24" spans="1:17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'01_인적정보'!F24</f>
        <v>컨설팅본부</v>
      </c>
      <c r="F24" s="11" t="str">
        <f>'01_인적정보'!H24</f>
        <v>G3</v>
      </c>
      <c r="G24" s="45">
        <f>'01_인적정보'!K24</f>
        <v>47500000</v>
      </c>
      <c r="H24" s="40" t="str">
        <f>'08_종합평가'!U24</f>
        <v>D</v>
      </c>
      <c r="I24" s="24">
        <f>IF(H24="","",IF(H24="S",'02_의사결정·종합결과'!$B$26,IF(H24="A",'02_의사결정·종합결과'!$C$26,IF(H24="B",'02_의사결정·종합결과'!$D$26,IF(H24="C",'02_의사결정·종합결과'!$E$26,'02_의사결정·종합결과'!$F$26)))))</f>
        <v>0.02</v>
      </c>
      <c r="J24" s="16" t="s">
        <v>464</v>
      </c>
      <c r="K24" s="24">
        <f>IF(J24="Y",'02_의사결정·종합결과'!$B$28,0)</f>
        <v>0</v>
      </c>
      <c r="L24" s="46">
        <f t="shared" si="0"/>
        <v>0.02</v>
      </c>
      <c r="M24" s="47">
        <f>IFERROR(VLOOKUP(F24,'02_의사결정·종합결과'!$A$32:$D$38,2,FALSE),"")</f>
        <v>42000000</v>
      </c>
      <c r="N24" s="47">
        <f>IFERROR(VLOOKUP(F24,'02_의사결정·종합결과'!$A$32:$D$38,4,FALSE),"")</f>
        <v>57000000</v>
      </c>
      <c r="O24" s="47">
        <f t="shared" si="1"/>
        <v>48450000</v>
      </c>
      <c r="P24" s="48">
        <f t="shared" si="2"/>
        <v>48450000</v>
      </c>
      <c r="Q24" s="47">
        <f t="shared" si="3"/>
        <v>950000</v>
      </c>
    </row>
    <row r="25" spans="1:17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'01_인적정보'!F25</f>
        <v>솔루션본부</v>
      </c>
      <c r="F25" s="11" t="str">
        <f>'01_인적정보'!H25</f>
        <v>G3</v>
      </c>
      <c r="G25" s="45">
        <f>'01_인적정보'!K25</f>
        <v>43060000</v>
      </c>
      <c r="H25" s="40" t="str">
        <f>'08_종합평가'!U25</f>
        <v>D</v>
      </c>
      <c r="I25" s="24">
        <f>IF(H25="","",IF(H25="S",'02_의사결정·종합결과'!$B$26,IF(H25="A",'02_의사결정·종합결과'!$C$26,IF(H25="B",'02_의사결정·종합결과'!$D$26,IF(H25="C",'02_의사결정·종합결과'!$E$26,'02_의사결정·종합결과'!$F$26)))))</f>
        <v>0.02</v>
      </c>
      <c r="J25" s="16" t="s">
        <v>464</v>
      </c>
      <c r="K25" s="24">
        <f>IF(J25="Y",'02_의사결정·종합결과'!$B$28,0)</f>
        <v>0</v>
      </c>
      <c r="L25" s="46">
        <f t="shared" si="0"/>
        <v>0.02</v>
      </c>
      <c r="M25" s="47">
        <f>IFERROR(VLOOKUP(F25,'02_의사결정·종합결과'!$A$32:$D$38,2,FALSE),"")</f>
        <v>42000000</v>
      </c>
      <c r="N25" s="47">
        <f>IFERROR(VLOOKUP(F25,'02_의사결정·종합결과'!$A$32:$D$38,4,FALSE),"")</f>
        <v>57000000</v>
      </c>
      <c r="O25" s="47">
        <f t="shared" si="1"/>
        <v>43920000</v>
      </c>
      <c r="P25" s="48">
        <f t="shared" si="2"/>
        <v>43920000</v>
      </c>
      <c r="Q25" s="47">
        <f t="shared" si="3"/>
        <v>860000</v>
      </c>
    </row>
    <row r="26" spans="1:17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'01_인적정보'!F26</f>
        <v>컨설팅본부</v>
      </c>
      <c r="F26" s="11" t="str">
        <f>'01_인적정보'!H26</f>
        <v>G2</v>
      </c>
      <c r="G26" s="45">
        <f>'01_인적정보'!K26</f>
        <v>42500000</v>
      </c>
      <c r="H26" s="40" t="str">
        <f>'08_종합평가'!U26</f>
        <v>D</v>
      </c>
      <c r="I26" s="24">
        <f>IF(H26="","",IF(H26="S",'02_의사결정·종합결과'!$B$26,IF(H26="A",'02_의사결정·종합결과'!$C$26,IF(H26="B",'02_의사결정·종합결과'!$D$26,IF(H26="C",'02_의사결정·종합결과'!$E$26,'02_의사결정·종합결과'!$F$26)))))</f>
        <v>0.02</v>
      </c>
      <c r="J26" s="16" t="s">
        <v>464</v>
      </c>
      <c r="K26" s="24">
        <f>IF(J26="Y",'02_의사결정·종합결과'!$B$28,0)</f>
        <v>0</v>
      </c>
      <c r="L26" s="46">
        <f t="shared" si="0"/>
        <v>0.02</v>
      </c>
      <c r="M26" s="47">
        <f>IFERROR(VLOOKUP(F26,'02_의사결정·종합결과'!$A$32:$D$38,2,FALSE),"")</f>
        <v>36000000</v>
      </c>
      <c r="N26" s="47">
        <f>IFERROR(VLOOKUP(F26,'02_의사결정·종합결과'!$A$32:$D$38,4,FALSE),"")</f>
        <v>49000000</v>
      </c>
      <c r="O26" s="47">
        <f t="shared" si="1"/>
        <v>43350000</v>
      </c>
      <c r="P26" s="48">
        <f t="shared" si="2"/>
        <v>43350000</v>
      </c>
      <c r="Q26" s="47">
        <f t="shared" si="3"/>
        <v>850000</v>
      </c>
    </row>
    <row r="27" spans="1:17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'01_인적정보'!F27</f>
        <v>컨설팅본부</v>
      </c>
      <c r="F27" s="11" t="str">
        <f>'01_인적정보'!H27</f>
        <v>G2</v>
      </c>
      <c r="G27" s="45">
        <f>'01_인적정보'!K27</f>
        <v>42500000</v>
      </c>
      <c r="H27" s="40" t="str">
        <f>'08_종합평가'!U27</f>
        <v>D</v>
      </c>
      <c r="I27" s="24">
        <f>IF(H27="","",IF(H27="S",'02_의사결정·종합결과'!$B$26,IF(H27="A",'02_의사결정·종합결과'!$C$26,IF(H27="B",'02_의사결정·종합결과'!$D$26,IF(H27="C",'02_의사결정·종합결과'!$E$26,'02_의사결정·종합결과'!$F$26)))))</f>
        <v>0.02</v>
      </c>
      <c r="J27" s="16" t="s">
        <v>464</v>
      </c>
      <c r="K27" s="24">
        <f>IF(J27="Y",'02_의사결정·종합결과'!$B$28,0)</f>
        <v>0</v>
      </c>
      <c r="L27" s="46">
        <f t="shared" si="0"/>
        <v>0.02</v>
      </c>
      <c r="M27" s="47">
        <f>IFERROR(VLOOKUP(F27,'02_의사결정·종합결과'!$A$32:$D$38,2,FALSE),"")</f>
        <v>36000000</v>
      </c>
      <c r="N27" s="47">
        <f>IFERROR(VLOOKUP(F27,'02_의사결정·종합결과'!$A$32:$D$38,4,FALSE),"")</f>
        <v>49000000</v>
      </c>
      <c r="O27" s="47">
        <f t="shared" si="1"/>
        <v>43350000</v>
      </c>
      <c r="P27" s="48">
        <f t="shared" si="2"/>
        <v>43350000</v>
      </c>
      <c r="Q27" s="47">
        <f t="shared" si="3"/>
        <v>850000</v>
      </c>
    </row>
    <row r="28" spans="1:17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'01_인적정보'!F28</f>
        <v>컨설팅본부</v>
      </c>
      <c r="F28" s="11" t="str">
        <f>'01_인적정보'!H28</f>
        <v>G2</v>
      </c>
      <c r="G28" s="45">
        <f>'01_인적정보'!K28</f>
        <v>42500000</v>
      </c>
      <c r="H28" s="40" t="str">
        <f>'08_종합평가'!U28</f>
        <v>D</v>
      </c>
      <c r="I28" s="24">
        <f>IF(H28="","",IF(H28="S",'02_의사결정·종합결과'!$B$26,IF(H28="A",'02_의사결정·종합결과'!$C$26,IF(H28="B",'02_의사결정·종합결과'!$D$26,IF(H28="C",'02_의사결정·종합결과'!$E$26,'02_의사결정·종합결과'!$F$26)))))</f>
        <v>0.02</v>
      </c>
      <c r="J28" s="16" t="s">
        <v>464</v>
      </c>
      <c r="K28" s="24">
        <f>IF(J28="Y",'02_의사결정·종합결과'!$B$28,0)</f>
        <v>0</v>
      </c>
      <c r="L28" s="46">
        <f t="shared" si="0"/>
        <v>0.02</v>
      </c>
      <c r="M28" s="47">
        <f>IFERROR(VLOOKUP(F28,'02_의사결정·종합결과'!$A$32:$D$38,2,FALSE),"")</f>
        <v>36000000</v>
      </c>
      <c r="N28" s="47">
        <f>IFERROR(VLOOKUP(F28,'02_의사결정·종합결과'!$A$32:$D$38,4,FALSE),"")</f>
        <v>49000000</v>
      </c>
      <c r="O28" s="47">
        <f t="shared" si="1"/>
        <v>43350000</v>
      </c>
      <c r="P28" s="48">
        <f t="shared" si="2"/>
        <v>43350000</v>
      </c>
      <c r="Q28" s="47">
        <f t="shared" si="3"/>
        <v>850000</v>
      </c>
    </row>
    <row r="29" spans="1:17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'01_인적정보'!F29</f>
        <v>컨설팅본부</v>
      </c>
      <c r="F29" s="11" t="str">
        <f>'01_인적정보'!H29</f>
        <v>G2</v>
      </c>
      <c r="G29" s="45">
        <f>'01_인적정보'!K29</f>
        <v>42500000</v>
      </c>
      <c r="H29" s="40" t="str">
        <f>'08_종합평가'!U29</f>
        <v>D</v>
      </c>
      <c r="I29" s="24">
        <f>IF(H29="","",IF(H29="S",'02_의사결정·종합결과'!$B$26,IF(H29="A",'02_의사결정·종합결과'!$C$26,IF(H29="B",'02_의사결정·종합결과'!$D$26,IF(H29="C",'02_의사결정·종합결과'!$E$26,'02_의사결정·종합결과'!$F$26)))))</f>
        <v>0.02</v>
      </c>
      <c r="J29" s="16" t="s">
        <v>464</v>
      </c>
      <c r="K29" s="24">
        <f>IF(J29="Y",'02_의사결정·종합결과'!$B$28,0)</f>
        <v>0</v>
      </c>
      <c r="L29" s="46">
        <f t="shared" si="0"/>
        <v>0.02</v>
      </c>
      <c r="M29" s="47">
        <f>IFERROR(VLOOKUP(F29,'02_의사결정·종합결과'!$A$32:$D$38,2,FALSE),"")</f>
        <v>36000000</v>
      </c>
      <c r="N29" s="47">
        <f>IFERROR(VLOOKUP(F29,'02_의사결정·종합결과'!$A$32:$D$38,4,FALSE),"")</f>
        <v>49000000</v>
      </c>
      <c r="O29" s="47">
        <f t="shared" si="1"/>
        <v>43350000</v>
      </c>
      <c r="P29" s="48">
        <f t="shared" si="2"/>
        <v>43350000</v>
      </c>
      <c r="Q29" s="47">
        <f t="shared" si="3"/>
        <v>850000</v>
      </c>
    </row>
    <row r="30" spans="1:17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'01_인적정보'!F30</f>
        <v>컨설팅본부</v>
      </c>
      <c r="F30" s="11" t="str">
        <f>'01_인적정보'!H30</f>
        <v>G2</v>
      </c>
      <c r="G30" s="45">
        <f>'01_인적정보'!K30</f>
        <v>42500000</v>
      </c>
      <c r="H30" s="40" t="str">
        <f>'08_종합평가'!U30</f>
        <v>D</v>
      </c>
      <c r="I30" s="24">
        <f>IF(H30="","",IF(H30="S",'02_의사결정·종합결과'!$B$26,IF(H30="A",'02_의사결정·종합결과'!$C$26,IF(H30="B",'02_의사결정·종합결과'!$D$26,IF(H30="C",'02_의사결정·종합결과'!$E$26,'02_의사결정·종합결과'!$F$26)))))</f>
        <v>0.02</v>
      </c>
      <c r="J30" s="16" t="s">
        <v>464</v>
      </c>
      <c r="K30" s="24">
        <f>IF(J30="Y",'02_의사결정·종합결과'!$B$28,0)</f>
        <v>0</v>
      </c>
      <c r="L30" s="46">
        <f t="shared" si="0"/>
        <v>0.02</v>
      </c>
      <c r="M30" s="47">
        <f>IFERROR(VLOOKUP(F30,'02_의사결정·종합결과'!$A$32:$D$38,2,FALSE),"")</f>
        <v>36000000</v>
      </c>
      <c r="N30" s="47">
        <f>IFERROR(VLOOKUP(F30,'02_의사결정·종합결과'!$A$32:$D$38,4,FALSE),"")</f>
        <v>49000000</v>
      </c>
      <c r="O30" s="47">
        <f t="shared" si="1"/>
        <v>43350000</v>
      </c>
      <c r="P30" s="48">
        <f t="shared" si="2"/>
        <v>43350000</v>
      </c>
      <c r="Q30" s="47">
        <f t="shared" si="3"/>
        <v>850000</v>
      </c>
    </row>
    <row r="31" spans="1:17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'01_인적정보'!F31</f>
        <v>마케팅팀</v>
      </c>
      <c r="F31" s="11" t="str">
        <f>'01_인적정보'!H31</f>
        <v>G1</v>
      </c>
      <c r="G31" s="45">
        <f>'01_인적정보'!K31</f>
        <v>34935000</v>
      </c>
      <c r="H31" s="40" t="str">
        <f>'08_종합평가'!U31</f>
        <v>D</v>
      </c>
      <c r="I31" s="24">
        <f>IF(H31="","",IF(H31="S",'02_의사결정·종합결과'!$B$26,IF(H31="A",'02_의사결정·종합결과'!$C$26,IF(H31="B",'02_의사결정·종합결과'!$D$26,IF(H31="C",'02_의사결정·종합결과'!$E$26,'02_의사결정·종합결과'!$F$26)))))</f>
        <v>0.02</v>
      </c>
      <c r="J31" s="16" t="s">
        <v>464</v>
      </c>
      <c r="K31" s="24">
        <f>IF(J31="Y",'02_의사결정·종합결과'!$B$28,0)</f>
        <v>0</v>
      </c>
      <c r="L31" s="46">
        <f t="shared" si="0"/>
        <v>0.02</v>
      </c>
      <c r="M31" s="47">
        <f>IFERROR(VLOOKUP(F31,'02_의사결정·종합결과'!$A$32:$D$38,2,FALSE),"")</f>
        <v>33000000</v>
      </c>
      <c r="N31" s="47">
        <f>IFERROR(VLOOKUP(F31,'02_의사결정·종합결과'!$A$32:$D$38,4,FALSE),"")</f>
        <v>44000000</v>
      </c>
      <c r="O31" s="47">
        <f t="shared" si="1"/>
        <v>35630000</v>
      </c>
      <c r="P31" s="48">
        <f t="shared" si="2"/>
        <v>35630000</v>
      </c>
      <c r="Q31" s="47">
        <f t="shared" si="3"/>
        <v>695000</v>
      </c>
    </row>
    <row r="32" spans="1:17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'01_인적정보'!F32</f>
        <v>솔루션본부</v>
      </c>
      <c r="F32" s="11" t="str">
        <f>'01_인적정보'!H32</f>
        <v>G2</v>
      </c>
      <c r="G32" s="45">
        <f>'01_인적정보'!K32</f>
        <v>35000000</v>
      </c>
      <c r="H32" s="40" t="str">
        <f>'08_종합평가'!U32</f>
        <v>D</v>
      </c>
      <c r="I32" s="24">
        <f>IF(H32="","",IF(H32="S",'02_의사결정·종합결과'!$B$26,IF(H32="A",'02_의사결정·종합결과'!$C$26,IF(H32="B",'02_의사결정·종합결과'!$D$26,IF(H32="C",'02_의사결정·종합결과'!$E$26,'02_의사결정·종합결과'!$F$26)))))</f>
        <v>0.02</v>
      </c>
      <c r="J32" s="16" t="s">
        <v>464</v>
      </c>
      <c r="K32" s="24">
        <f>IF(J32="Y",'02_의사결정·종합결과'!$B$28,0)</f>
        <v>0</v>
      </c>
      <c r="L32" s="46">
        <f t="shared" si="0"/>
        <v>0.02</v>
      </c>
      <c r="M32" s="47">
        <f>IFERROR(VLOOKUP(F32,'02_의사결정·종합결과'!$A$32:$D$38,2,FALSE),"")</f>
        <v>36000000</v>
      </c>
      <c r="N32" s="47">
        <f>IFERROR(VLOOKUP(F32,'02_의사결정·종합결과'!$A$32:$D$38,4,FALSE),"")</f>
        <v>49000000</v>
      </c>
      <c r="O32" s="47">
        <f t="shared" si="1"/>
        <v>35700000</v>
      </c>
      <c r="P32" s="48">
        <f t="shared" si="2"/>
        <v>35700000</v>
      </c>
      <c r="Q32" s="47">
        <f t="shared" si="3"/>
        <v>700000</v>
      </c>
    </row>
    <row r="33" spans="1:17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'01_인적정보'!F33</f>
        <v>컨설팅본부</v>
      </c>
      <c r="F33" s="11" t="str">
        <f>'01_인적정보'!H33</f>
        <v>G1</v>
      </c>
      <c r="G33" s="45">
        <f>'01_인적정보'!K33</f>
        <v>36000000</v>
      </c>
      <c r="H33" s="40" t="str">
        <f>'08_종합평가'!U33</f>
        <v>D</v>
      </c>
      <c r="I33" s="24">
        <f>IF(H33="","",IF(H33="S",'02_의사결정·종합결과'!$B$26,IF(H33="A",'02_의사결정·종합결과'!$C$26,IF(H33="B",'02_의사결정·종합결과'!$D$26,IF(H33="C",'02_의사결정·종합결과'!$E$26,'02_의사결정·종합결과'!$F$26)))))</f>
        <v>0.02</v>
      </c>
      <c r="J33" s="16" t="s">
        <v>464</v>
      </c>
      <c r="K33" s="24">
        <f>IF(J33="Y",'02_의사결정·종합결과'!$B$28,0)</f>
        <v>0</v>
      </c>
      <c r="L33" s="46">
        <f t="shared" si="0"/>
        <v>0.02</v>
      </c>
      <c r="M33" s="47">
        <f>IFERROR(VLOOKUP(F33,'02_의사결정·종합결과'!$A$32:$D$38,2,FALSE),"")</f>
        <v>33000000</v>
      </c>
      <c r="N33" s="47">
        <f>IFERROR(VLOOKUP(F33,'02_의사결정·종합결과'!$A$32:$D$38,4,FALSE),"")</f>
        <v>44000000</v>
      </c>
      <c r="O33" s="47">
        <f t="shared" si="1"/>
        <v>36720000</v>
      </c>
      <c r="P33" s="48">
        <f t="shared" si="2"/>
        <v>36720000</v>
      </c>
      <c r="Q33" s="47">
        <f t="shared" si="3"/>
        <v>720000</v>
      </c>
    </row>
    <row r="34" spans="1:17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'01_인적정보'!F34</f>
        <v>컨설팅본부</v>
      </c>
      <c r="F34" s="11" t="str">
        <f>'01_인적정보'!H34</f>
        <v>G1</v>
      </c>
      <c r="G34" s="45">
        <f>'01_인적정보'!K34</f>
        <v>36000000</v>
      </c>
      <c r="H34" s="40" t="str">
        <f>'08_종합평가'!U34</f>
        <v>D</v>
      </c>
      <c r="I34" s="24">
        <f>IF(H34="","",IF(H34="S",'02_의사결정·종합결과'!$B$26,IF(H34="A",'02_의사결정·종합결과'!$C$26,IF(H34="B",'02_의사결정·종합결과'!$D$26,IF(H34="C",'02_의사결정·종합결과'!$E$26,'02_의사결정·종합결과'!$F$26)))))</f>
        <v>0.02</v>
      </c>
      <c r="J34" s="16" t="s">
        <v>464</v>
      </c>
      <c r="K34" s="24">
        <f>IF(J34="Y",'02_의사결정·종합결과'!$B$28,0)</f>
        <v>0</v>
      </c>
      <c r="L34" s="46">
        <f t="shared" si="0"/>
        <v>0.02</v>
      </c>
      <c r="M34" s="47">
        <f>IFERROR(VLOOKUP(F34,'02_의사결정·종합결과'!$A$32:$D$38,2,FALSE),"")</f>
        <v>33000000</v>
      </c>
      <c r="N34" s="47">
        <f>IFERROR(VLOOKUP(F34,'02_의사결정·종합결과'!$A$32:$D$38,4,FALSE),"")</f>
        <v>44000000</v>
      </c>
      <c r="O34" s="47">
        <f t="shared" si="1"/>
        <v>36720000</v>
      </c>
      <c r="P34" s="48">
        <f t="shared" si="2"/>
        <v>36720000</v>
      </c>
      <c r="Q34" s="47">
        <f t="shared" si="3"/>
        <v>720000</v>
      </c>
    </row>
    <row r="35" spans="1:17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'01_인적정보'!F35</f>
        <v>컨설팅본부</v>
      </c>
      <c r="F35" s="11" t="str">
        <f>'01_인적정보'!H35</f>
        <v>G1</v>
      </c>
      <c r="G35" s="45">
        <f>'01_인적정보'!K35</f>
        <v>36540000</v>
      </c>
      <c r="H35" s="40" t="str">
        <f>'08_종합평가'!U35</f>
        <v>D</v>
      </c>
      <c r="I35" s="24">
        <f>IF(H35="","",IF(H35="S",'02_의사결정·종합결과'!$B$26,IF(H35="A",'02_의사결정·종합결과'!$C$26,IF(H35="B",'02_의사결정·종합결과'!$D$26,IF(H35="C",'02_의사결정·종합결과'!$E$26,'02_의사결정·종합결과'!$F$26)))))</f>
        <v>0.02</v>
      </c>
      <c r="J35" s="16" t="s">
        <v>464</v>
      </c>
      <c r="K35" s="24">
        <f>IF(J35="Y",'02_의사결정·종합결과'!$B$28,0)</f>
        <v>0</v>
      </c>
      <c r="L35" s="46">
        <f t="shared" si="0"/>
        <v>0.02</v>
      </c>
      <c r="M35" s="47">
        <f>IFERROR(VLOOKUP(F35,'02_의사결정·종합결과'!$A$32:$D$38,2,FALSE),"")</f>
        <v>33000000</v>
      </c>
      <c r="N35" s="47">
        <f>IFERROR(VLOOKUP(F35,'02_의사결정·종합결과'!$A$32:$D$38,4,FALSE),"")</f>
        <v>44000000</v>
      </c>
      <c r="O35" s="47">
        <f t="shared" si="1"/>
        <v>37270000</v>
      </c>
      <c r="P35" s="48">
        <f t="shared" si="2"/>
        <v>37270000</v>
      </c>
      <c r="Q35" s="47">
        <f t="shared" si="3"/>
        <v>730000</v>
      </c>
    </row>
    <row r="36" spans="1:17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'01_인적정보'!F36</f>
        <v>컨설팅본부</v>
      </c>
      <c r="F36" s="11" t="str">
        <f>'01_인적정보'!H36</f>
        <v>G1</v>
      </c>
      <c r="G36" s="45">
        <f>'01_인적정보'!K36</f>
        <v>37090000</v>
      </c>
      <c r="H36" s="40" t="str">
        <f>'08_종합평가'!U36</f>
        <v>D</v>
      </c>
      <c r="I36" s="24">
        <f>IF(H36="","",IF(H36="S",'02_의사결정·종합결과'!$B$26,IF(H36="A",'02_의사결정·종합결과'!$C$26,IF(H36="B",'02_의사결정·종합결과'!$D$26,IF(H36="C",'02_의사결정·종합결과'!$E$26,'02_의사결정·종합결과'!$F$26)))))</f>
        <v>0.02</v>
      </c>
      <c r="J36" s="16" t="s">
        <v>464</v>
      </c>
      <c r="K36" s="24">
        <f>IF(J36="Y",'02_의사결정·종합결과'!$B$28,0)</f>
        <v>0</v>
      </c>
      <c r="L36" s="46">
        <f t="shared" si="0"/>
        <v>0.02</v>
      </c>
      <c r="M36" s="47">
        <f>IFERROR(VLOOKUP(F36,'02_의사결정·종합결과'!$A$32:$D$38,2,FALSE),"")</f>
        <v>33000000</v>
      </c>
      <c r="N36" s="47">
        <f>IFERROR(VLOOKUP(F36,'02_의사결정·종합결과'!$A$32:$D$38,4,FALSE),"")</f>
        <v>44000000</v>
      </c>
      <c r="O36" s="47">
        <f t="shared" si="1"/>
        <v>37830000</v>
      </c>
      <c r="P36" s="48">
        <f t="shared" si="2"/>
        <v>37830000</v>
      </c>
      <c r="Q36" s="47">
        <f t="shared" si="3"/>
        <v>740000</v>
      </c>
    </row>
    <row r="37" spans="1:17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'01_인적정보'!F37</f>
        <v>컨설팅본부</v>
      </c>
      <c r="F37" s="11" t="str">
        <f>'01_인적정보'!H37</f>
        <v>G1</v>
      </c>
      <c r="G37" s="45">
        <f>'01_인적정보'!K37</f>
        <v>32000000</v>
      </c>
      <c r="H37" s="40" t="str">
        <f>'08_종합평가'!U37</f>
        <v>D</v>
      </c>
      <c r="I37" s="24">
        <f>IF(H37="","",IF(H37="S",'02_의사결정·종합결과'!$B$26,IF(H37="A",'02_의사결정·종합결과'!$C$26,IF(H37="B",'02_의사결정·종합결과'!$D$26,IF(H37="C",'02_의사결정·종합결과'!$E$26,'02_의사결정·종합결과'!$F$26)))))</f>
        <v>0.02</v>
      </c>
      <c r="J37" s="16" t="s">
        <v>464</v>
      </c>
      <c r="K37" s="24">
        <f>IF(J37="Y",'02_의사결정·종합결과'!$B$28,0)</f>
        <v>0</v>
      </c>
      <c r="L37" s="46">
        <f t="shared" si="0"/>
        <v>0.02</v>
      </c>
      <c r="M37" s="47">
        <f>IFERROR(VLOOKUP(F37,'02_의사결정·종합결과'!$A$32:$D$38,2,FALSE),"")</f>
        <v>33000000</v>
      </c>
      <c r="N37" s="47">
        <f>IFERROR(VLOOKUP(F37,'02_의사결정·종합결과'!$A$32:$D$38,4,FALSE),"")</f>
        <v>44000000</v>
      </c>
      <c r="O37" s="47">
        <f t="shared" si="1"/>
        <v>32640000</v>
      </c>
      <c r="P37" s="48">
        <f t="shared" si="2"/>
        <v>32640000</v>
      </c>
      <c r="Q37" s="47">
        <f t="shared" si="3"/>
        <v>640000</v>
      </c>
    </row>
    <row r="38" spans="1:17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'01_인적정보'!F38</f>
        <v>컨설팅본부</v>
      </c>
      <c r="F38" s="11" t="str">
        <f>'01_인적정보'!H38</f>
        <v>G1</v>
      </c>
      <c r="G38" s="45">
        <f>'01_인적정보'!K38</f>
        <v>32000000</v>
      </c>
      <c r="H38" s="40" t="str">
        <f>'08_종합평가'!U38</f>
        <v>D</v>
      </c>
      <c r="I38" s="24">
        <f>IF(H38="","",IF(H38="S",'02_의사결정·종합결과'!$B$26,IF(H38="A",'02_의사결정·종합결과'!$C$26,IF(H38="B",'02_의사결정·종합결과'!$D$26,IF(H38="C",'02_의사결정·종합결과'!$E$26,'02_의사결정·종합결과'!$F$26)))))</f>
        <v>0.02</v>
      </c>
      <c r="J38" s="16" t="s">
        <v>464</v>
      </c>
      <c r="K38" s="24">
        <f>IF(J38="Y",'02_의사결정·종합결과'!$B$28,0)</f>
        <v>0</v>
      </c>
      <c r="L38" s="46">
        <f t="shared" si="0"/>
        <v>0.02</v>
      </c>
      <c r="M38" s="47">
        <f>IFERROR(VLOOKUP(F38,'02_의사결정·종합결과'!$A$32:$D$38,2,FALSE),"")</f>
        <v>33000000</v>
      </c>
      <c r="N38" s="47">
        <f>IFERROR(VLOOKUP(F38,'02_의사결정·종합결과'!$A$32:$D$38,4,FALSE),"")</f>
        <v>44000000</v>
      </c>
      <c r="O38" s="47">
        <f t="shared" si="1"/>
        <v>32640000</v>
      </c>
      <c r="P38" s="48">
        <f t="shared" si="2"/>
        <v>32640000</v>
      </c>
      <c r="Q38" s="47">
        <f t="shared" si="3"/>
        <v>640000</v>
      </c>
    </row>
    <row r="39" spans="1:17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'01_인적정보'!F39</f>
        <v>컨설팅본부</v>
      </c>
      <c r="F39" s="11" t="str">
        <f>'01_인적정보'!H39</f>
        <v>G1</v>
      </c>
      <c r="G39" s="45">
        <f>'01_인적정보'!K39</f>
        <v>32000000</v>
      </c>
      <c r="H39" s="40" t="str">
        <f>'08_종합평가'!U39</f>
        <v>D</v>
      </c>
      <c r="I39" s="24">
        <f>IF(H39="","",IF(H39="S",'02_의사결정·종합결과'!$B$26,IF(H39="A",'02_의사결정·종합결과'!$C$26,IF(H39="B",'02_의사결정·종합결과'!$D$26,IF(H39="C",'02_의사결정·종합결과'!$E$26,'02_의사결정·종합결과'!$F$26)))))</f>
        <v>0.02</v>
      </c>
      <c r="J39" s="16" t="s">
        <v>464</v>
      </c>
      <c r="K39" s="24">
        <f>IF(J39="Y",'02_의사결정·종합결과'!$B$28,0)</f>
        <v>0</v>
      </c>
      <c r="L39" s="46">
        <f t="shared" si="0"/>
        <v>0.02</v>
      </c>
      <c r="M39" s="47">
        <f>IFERROR(VLOOKUP(F39,'02_의사결정·종합결과'!$A$32:$D$38,2,FALSE),"")</f>
        <v>33000000</v>
      </c>
      <c r="N39" s="47">
        <f>IFERROR(VLOOKUP(F39,'02_의사결정·종합결과'!$A$32:$D$38,4,FALSE),"")</f>
        <v>44000000</v>
      </c>
      <c r="O39" s="47">
        <f t="shared" si="1"/>
        <v>32640000</v>
      </c>
      <c r="P39" s="48">
        <f t="shared" si="2"/>
        <v>32640000</v>
      </c>
      <c r="Q39" s="47">
        <f t="shared" si="3"/>
        <v>640000</v>
      </c>
    </row>
    <row r="41" spans="1:17" x14ac:dyDescent="0.6">
      <c r="F41" s="49" t="s">
        <v>313</v>
      </c>
      <c r="G41" s="50">
        <f>SUM(G6:G39)</f>
        <v>1687275000</v>
      </c>
      <c r="O41" s="50">
        <f>SUM(O6:O39)</f>
        <v>1721010000</v>
      </c>
      <c r="P41" s="50">
        <f>SUM(P6:P39)</f>
        <v>1721010000</v>
      </c>
      <c r="Q41" s="50">
        <f>SUM(Q6:Q39)</f>
        <v>33735000</v>
      </c>
    </row>
  </sheetData>
  <mergeCells count="2">
    <mergeCell ref="A2:Q2"/>
    <mergeCell ref="A1:Q1"/>
  </mergeCells>
  <phoneticPr fontId="16" type="noConversion"/>
  <conditionalFormatting sqref="P6:P39">
    <cfRule type="expression" dxfId="13" priority="1">
      <formula>AND(P6&lt;&gt;"",OR(P6&lt;M6,P6&gt;N6))</formula>
    </cfRule>
  </conditionalFormatting>
  <dataValidations count="1">
    <dataValidation type="list" sqref="J6:J39" xr:uid="{00000000-0002-0000-0B00-000000000000}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N44"/>
  <sheetViews>
    <sheetView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4" width="11" customWidth="1"/>
    <col min="5" max="5" width="7" customWidth="1"/>
    <col min="6" max="6" width="12" customWidth="1"/>
    <col min="7" max="7" width="8" customWidth="1"/>
    <col min="8" max="8" width="11" customWidth="1"/>
    <col min="9" max="9" width="9" customWidth="1"/>
    <col min="10" max="10" width="12" customWidth="1"/>
    <col min="11" max="11" width="8" customWidth="1"/>
    <col min="12" max="12" width="12" customWidth="1"/>
    <col min="13" max="13" width="15" customWidth="1"/>
  </cols>
  <sheetData>
    <row r="1" spans="1:14" ht="28.05" customHeight="1" x14ac:dyDescent="0.6">
      <c r="A1" s="82" t="s">
        <v>465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x14ac:dyDescent="0.6">
      <c r="A2" s="80" t="s">
        <v>466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7"/>
    </row>
    <row r="4" spans="1:14" x14ac:dyDescent="0.6">
      <c r="A4" s="83" t="s">
        <v>467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7"/>
    </row>
    <row r="5" spans="1:14" ht="118.15" x14ac:dyDescent="0.6">
      <c r="A5" s="2" t="s">
        <v>468</v>
      </c>
      <c r="B5" s="14" t="str">
        <f>'03_전사업적평가'!B11</f>
        <v/>
      </c>
      <c r="C5" s="2" t="s">
        <v>469</v>
      </c>
      <c r="D5" s="51" t="str">
        <f>IFERROR(IF(B5="","",IF(B5="S",1.2,IF(B5="A",1.1,IF(B5="B",1,IF(B5="C",0.9,IF(B5="D",0.8,1)))))),1)</f>
        <v/>
      </c>
      <c r="E5" s="2" t="s">
        <v>470</v>
      </c>
      <c r="F5" s="52">
        <v>1</v>
      </c>
      <c r="G5" s="85" t="s">
        <v>471</v>
      </c>
      <c r="H5" s="66"/>
      <c r="I5" s="66"/>
      <c r="J5" s="66"/>
      <c r="K5" s="66"/>
      <c r="L5" s="66"/>
      <c r="M5" s="66"/>
      <c r="N5" s="67"/>
    </row>
    <row r="7" spans="1:14" x14ac:dyDescent="0.6">
      <c r="A7" s="83" t="s">
        <v>472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7"/>
    </row>
    <row r="8" spans="1:14" ht="32" customHeight="1" x14ac:dyDescent="0.6">
      <c r="A8" s="28" t="s">
        <v>144</v>
      </c>
      <c r="B8" s="28" t="s">
        <v>145</v>
      </c>
      <c r="C8" s="28" t="s">
        <v>146</v>
      </c>
      <c r="D8" s="28" t="s">
        <v>149</v>
      </c>
      <c r="E8" s="28" t="s">
        <v>151</v>
      </c>
      <c r="F8" s="28" t="s">
        <v>473</v>
      </c>
      <c r="G8" s="28" t="s">
        <v>450</v>
      </c>
      <c r="H8" s="28" t="s">
        <v>474</v>
      </c>
      <c r="I8" s="28" t="s">
        <v>475</v>
      </c>
      <c r="J8" s="28" t="s">
        <v>476</v>
      </c>
      <c r="K8" s="28" t="s">
        <v>477</v>
      </c>
      <c r="L8" s="28" t="s">
        <v>478</v>
      </c>
      <c r="M8" s="28" t="s">
        <v>157</v>
      </c>
    </row>
    <row r="9" spans="1:14" ht="22.05" customHeight="1" x14ac:dyDescent="0.6">
      <c r="A9" s="25">
        <f>'01_인적정보'!A6</f>
        <v>1</v>
      </c>
      <c r="B9" s="25" t="str">
        <f>'01_인적정보'!B6</f>
        <v>BSS-001</v>
      </c>
      <c r="C9" s="5" t="str">
        <f>'01_인적정보'!C6</f>
        <v>이화형</v>
      </c>
      <c r="D9" s="5" t="str">
        <f>'01_인적정보'!F6</f>
        <v>스마트사업부</v>
      </c>
      <c r="E9" s="11" t="str">
        <f>'01_인적정보'!H6</f>
        <v>G6</v>
      </c>
      <c r="F9" s="45">
        <f>'01_인적정보'!K6</f>
        <v>72500000</v>
      </c>
      <c r="G9" s="14" t="str">
        <f>'08_종합평가'!U6</f>
        <v>D</v>
      </c>
      <c r="H9" s="47">
        <f t="shared" ref="H9:H42" si="0">ROUND(F9/12,-3)</f>
        <v>6042000</v>
      </c>
      <c r="I9" s="22">
        <f>IF(G9="","",IF(G9="S",'02_의사결정·종합결과'!$B$27,IF(G9="A",'02_의사결정·종합결과'!$C$27,IF(G9="B",'02_의사결정·종합결과'!$D$27,IF(G9="C",'02_의사결정·종합결과'!$E$27,'02_의사결정·종합결과'!$F$27)))))</f>
        <v>0</v>
      </c>
      <c r="J9" s="47">
        <f t="shared" ref="J9:J42" si="1">IF(I9="","",ROUND(H9*I9*12,-3))</f>
        <v>0</v>
      </c>
      <c r="K9" s="41">
        <f t="shared" ref="K9:K42" si="2">IF($F$5&lt;&gt;1,$F$5,IF($D$5="",1,$D$5))</f>
        <v>1</v>
      </c>
      <c r="L9" s="50">
        <f t="shared" ref="L9:L42" si="3">IF(J9="","",ROUND(J9*K9,-3))</f>
        <v>0</v>
      </c>
      <c r="M9" s="1"/>
    </row>
    <row r="10" spans="1:14" ht="22.05" customHeight="1" x14ac:dyDescent="0.6">
      <c r="A10" s="25">
        <f>'01_인적정보'!A7</f>
        <v>2</v>
      </c>
      <c r="B10" s="25" t="str">
        <f>'01_인적정보'!B7</f>
        <v>BSS-002</v>
      </c>
      <c r="C10" s="5" t="str">
        <f>'01_인적정보'!C7</f>
        <v>강전용</v>
      </c>
      <c r="D10" s="5" t="str">
        <f>'01_인적정보'!F7</f>
        <v>R&amp;D본부</v>
      </c>
      <c r="E10" s="11" t="str">
        <f>'01_인적정보'!H7</f>
        <v>G6</v>
      </c>
      <c r="F10" s="45">
        <f>'01_인적정보'!K7</f>
        <v>68870000</v>
      </c>
      <c r="G10" s="14" t="str">
        <f>'08_종합평가'!U7</f>
        <v>D</v>
      </c>
      <c r="H10" s="47">
        <f t="shared" si="0"/>
        <v>5739000</v>
      </c>
      <c r="I10" s="22">
        <f>IF(G10="","",IF(G10="S",'02_의사결정·종합결과'!$B$27,IF(G10="A",'02_의사결정·종합결과'!$C$27,IF(G10="B",'02_의사결정·종합결과'!$D$27,IF(G10="C",'02_의사결정·종합결과'!$E$27,'02_의사결정·종합결과'!$F$27)))))</f>
        <v>0</v>
      </c>
      <c r="J10" s="47">
        <f t="shared" si="1"/>
        <v>0</v>
      </c>
      <c r="K10" s="41">
        <f t="shared" si="2"/>
        <v>1</v>
      </c>
      <c r="L10" s="50">
        <f t="shared" si="3"/>
        <v>0</v>
      </c>
      <c r="M10" s="1"/>
    </row>
    <row r="11" spans="1:14" ht="22.05" customHeight="1" x14ac:dyDescent="0.6">
      <c r="A11" s="25">
        <f>'01_인적정보'!A8</f>
        <v>3</v>
      </c>
      <c r="B11" s="25" t="str">
        <f>'01_인적정보'!B8</f>
        <v>BSS-003</v>
      </c>
      <c r="C11" s="5" t="str">
        <f>'01_인적정보'!C8</f>
        <v>김현민</v>
      </c>
      <c r="D11" s="5" t="str">
        <f>'01_인적정보'!F8</f>
        <v>컨설팅본부</v>
      </c>
      <c r="E11" s="11" t="str">
        <f>'01_인적정보'!H8</f>
        <v>G6</v>
      </c>
      <c r="F11" s="45">
        <f>'01_인적정보'!K8</f>
        <v>67500000</v>
      </c>
      <c r="G11" s="14" t="str">
        <f>'08_종합평가'!U8</f>
        <v>D</v>
      </c>
      <c r="H11" s="47">
        <f t="shared" si="0"/>
        <v>5625000</v>
      </c>
      <c r="I11" s="22">
        <f>IF(G11="","",IF(G11="S",'02_의사결정·종합결과'!$B$27,IF(G11="A",'02_의사결정·종합결과'!$C$27,IF(G11="B",'02_의사결정·종합결과'!$D$27,IF(G11="C",'02_의사결정·종합결과'!$E$27,'02_의사결정·종합결과'!$F$27)))))</f>
        <v>0</v>
      </c>
      <c r="J11" s="47">
        <f t="shared" si="1"/>
        <v>0</v>
      </c>
      <c r="K11" s="41">
        <f t="shared" si="2"/>
        <v>1</v>
      </c>
      <c r="L11" s="50">
        <f t="shared" si="3"/>
        <v>0</v>
      </c>
      <c r="M11" s="1"/>
    </row>
    <row r="12" spans="1:14" ht="22.05" customHeight="1" x14ac:dyDescent="0.6">
      <c r="A12" s="25">
        <f>'01_인적정보'!A9</f>
        <v>4</v>
      </c>
      <c r="B12" s="25" t="str">
        <f>'01_인적정보'!B9</f>
        <v>BSS-004</v>
      </c>
      <c r="C12" s="5" t="str">
        <f>'01_인적정보'!C9</f>
        <v>이일곤</v>
      </c>
      <c r="D12" s="5" t="str">
        <f>'01_인적정보'!F9</f>
        <v>경영전략실</v>
      </c>
      <c r="E12" s="11" t="str">
        <f>'01_인적정보'!H9</f>
        <v>G6</v>
      </c>
      <c r="F12" s="45">
        <f>'01_인적정보'!K9</f>
        <v>64530000</v>
      </c>
      <c r="G12" s="14" t="str">
        <f>'08_종합평가'!U9</f>
        <v>D</v>
      </c>
      <c r="H12" s="47">
        <f t="shared" si="0"/>
        <v>5378000</v>
      </c>
      <c r="I12" s="22">
        <f>IF(G12="","",IF(G12="S",'02_의사결정·종합결과'!$B$27,IF(G12="A",'02_의사결정·종합결과'!$C$27,IF(G12="B",'02_의사결정·종합결과'!$D$27,IF(G12="C",'02_의사결정·종합결과'!$E$27,'02_의사결정·종합결과'!$F$27)))))</f>
        <v>0</v>
      </c>
      <c r="J12" s="47">
        <f t="shared" si="1"/>
        <v>0</v>
      </c>
      <c r="K12" s="41">
        <f t="shared" si="2"/>
        <v>1</v>
      </c>
      <c r="L12" s="50">
        <f t="shared" si="3"/>
        <v>0</v>
      </c>
      <c r="M12" s="1"/>
    </row>
    <row r="13" spans="1:14" ht="22.05" customHeight="1" x14ac:dyDescent="0.6">
      <c r="A13" s="25">
        <f>'01_인적정보'!A10</f>
        <v>5</v>
      </c>
      <c r="B13" s="25" t="str">
        <f>'01_인적정보'!B10</f>
        <v>BSS-005</v>
      </c>
      <c r="C13" s="5" t="str">
        <f>'01_인적정보'!C10</f>
        <v>송헌영</v>
      </c>
      <c r="D13" s="5" t="str">
        <f>'01_인적정보'!F10</f>
        <v>경영전략실</v>
      </c>
      <c r="E13" s="11" t="str">
        <f>'01_인적정보'!H10</f>
        <v>G6</v>
      </c>
      <c r="F13" s="45">
        <f>'01_인적정보'!K10</f>
        <v>65180000</v>
      </c>
      <c r="G13" s="14" t="str">
        <f>'08_종합평가'!U10</f>
        <v>D</v>
      </c>
      <c r="H13" s="47">
        <f t="shared" si="0"/>
        <v>5432000</v>
      </c>
      <c r="I13" s="22">
        <f>IF(G13="","",IF(G13="S",'02_의사결정·종합결과'!$B$27,IF(G13="A",'02_의사결정·종합결과'!$C$27,IF(G13="B",'02_의사결정·종합결과'!$D$27,IF(G13="C",'02_의사결정·종합결과'!$E$27,'02_의사결정·종합결과'!$F$27)))))</f>
        <v>0</v>
      </c>
      <c r="J13" s="47">
        <f t="shared" si="1"/>
        <v>0</v>
      </c>
      <c r="K13" s="41">
        <f t="shared" si="2"/>
        <v>1</v>
      </c>
      <c r="L13" s="50">
        <f t="shared" si="3"/>
        <v>0</v>
      </c>
      <c r="M13" s="1"/>
    </row>
    <row r="14" spans="1:14" ht="22.05" customHeight="1" x14ac:dyDescent="0.6">
      <c r="A14" s="25">
        <f>'01_인적정보'!A11</f>
        <v>6</v>
      </c>
      <c r="B14" s="25" t="str">
        <f>'01_인적정보'!B11</f>
        <v>BSS-006</v>
      </c>
      <c r="C14" s="5" t="str">
        <f>'01_인적정보'!C11</f>
        <v>이재용</v>
      </c>
      <c r="D14" s="5" t="str">
        <f>'01_인적정보'!F11</f>
        <v>경영전략실</v>
      </c>
      <c r="E14" s="11" t="str">
        <f>'01_인적정보'!H11</f>
        <v>G6</v>
      </c>
      <c r="F14" s="45">
        <f>'01_인적정보'!K11</f>
        <v>62000000</v>
      </c>
      <c r="G14" s="14" t="str">
        <f>'08_종합평가'!U11</f>
        <v>D</v>
      </c>
      <c r="H14" s="47">
        <f t="shared" si="0"/>
        <v>5167000</v>
      </c>
      <c r="I14" s="22">
        <f>IF(G14="","",IF(G14="S",'02_의사결정·종합결과'!$B$27,IF(G14="A",'02_의사결정·종합결과'!$C$27,IF(G14="B",'02_의사결정·종합결과'!$D$27,IF(G14="C",'02_의사결정·종합결과'!$E$27,'02_의사결정·종합결과'!$F$27)))))</f>
        <v>0</v>
      </c>
      <c r="J14" s="47">
        <f t="shared" si="1"/>
        <v>0</v>
      </c>
      <c r="K14" s="41">
        <f t="shared" si="2"/>
        <v>1</v>
      </c>
      <c r="L14" s="50">
        <f t="shared" si="3"/>
        <v>0</v>
      </c>
      <c r="M14" s="1"/>
    </row>
    <row r="15" spans="1:14" ht="22.05" customHeight="1" x14ac:dyDescent="0.6">
      <c r="A15" s="25">
        <f>'01_인적정보'!A12</f>
        <v>7</v>
      </c>
      <c r="B15" s="25" t="str">
        <f>'01_인적정보'!B12</f>
        <v>BSS-007</v>
      </c>
      <c r="C15" s="5" t="str">
        <f>'01_인적정보'!C12</f>
        <v>이진행</v>
      </c>
      <c r="D15" s="5" t="str">
        <f>'01_인적정보'!F12</f>
        <v>솔루션본부</v>
      </c>
      <c r="E15" s="11" t="str">
        <f>'01_인적정보'!H12</f>
        <v>G5-M</v>
      </c>
      <c r="F15" s="45">
        <f>'01_인적정보'!K12</f>
        <v>59700000</v>
      </c>
      <c r="G15" s="14" t="str">
        <f>'08_종합평가'!U12</f>
        <v>D</v>
      </c>
      <c r="H15" s="47">
        <f t="shared" si="0"/>
        <v>4975000</v>
      </c>
      <c r="I15" s="22">
        <f>IF(G15="","",IF(G15="S",'02_의사결정·종합결과'!$B$27,IF(G15="A",'02_의사결정·종합결과'!$C$27,IF(G15="B",'02_의사결정·종합결과'!$D$27,IF(G15="C",'02_의사결정·종합결과'!$E$27,'02_의사결정·종합결과'!$F$27)))))</f>
        <v>0</v>
      </c>
      <c r="J15" s="47">
        <f t="shared" si="1"/>
        <v>0</v>
      </c>
      <c r="K15" s="41">
        <f t="shared" si="2"/>
        <v>1</v>
      </c>
      <c r="L15" s="50">
        <f t="shared" si="3"/>
        <v>0</v>
      </c>
      <c r="M15" s="1"/>
    </row>
    <row r="16" spans="1:14" ht="22.05" customHeight="1" x14ac:dyDescent="0.6">
      <c r="A16" s="25">
        <f>'01_인적정보'!A13</f>
        <v>8</v>
      </c>
      <c r="B16" s="25" t="str">
        <f>'01_인적정보'!B13</f>
        <v>BSS-008</v>
      </c>
      <c r="C16" s="5" t="str">
        <f>'01_인적정보'!C13</f>
        <v>김민수</v>
      </c>
      <c r="D16" s="5" t="str">
        <f>'01_인적정보'!F13</f>
        <v>솔루션본부</v>
      </c>
      <c r="E16" s="11" t="str">
        <f>'01_인적정보'!H13</f>
        <v>G5-M</v>
      </c>
      <c r="F16" s="45">
        <f>'01_인적정보'!K13</f>
        <v>59050000</v>
      </c>
      <c r="G16" s="14" t="str">
        <f>'08_종합평가'!U13</f>
        <v>D</v>
      </c>
      <c r="H16" s="47">
        <f t="shared" si="0"/>
        <v>4921000</v>
      </c>
      <c r="I16" s="22">
        <f>IF(G16="","",IF(G16="S",'02_의사결정·종합결과'!$B$27,IF(G16="A",'02_의사결정·종합결과'!$C$27,IF(G16="B",'02_의사결정·종합결과'!$D$27,IF(G16="C",'02_의사결정·종합결과'!$E$27,'02_의사결정·종합결과'!$F$27)))))</f>
        <v>0</v>
      </c>
      <c r="J16" s="47">
        <f t="shared" si="1"/>
        <v>0</v>
      </c>
      <c r="K16" s="41">
        <f t="shared" si="2"/>
        <v>1</v>
      </c>
      <c r="L16" s="50">
        <f t="shared" si="3"/>
        <v>0</v>
      </c>
      <c r="M16" s="1"/>
    </row>
    <row r="17" spans="1:13" ht="22.05" customHeight="1" x14ac:dyDescent="0.6">
      <c r="A17" s="25">
        <f>'01_인적정보'!A14</f>
        <v>9</v>
      </c>
      <c r="B17" s="25" t="str">
        <f>'01_인적정보'!B14</f>
        <v>BSS-009</v>
      </c>
      <c r="C17" s="5" t="str">
        <f>'01_인적정보'!C14</f>
        <v>박남식</v>
      </c>
      <c r="D17" s="5" t="str">
        <f>'01_인적정보'!F14</f>
        <v>컨설팅본부</v>
      </c>
      <c r="E17" s="11" t="str">
        <f>'01_인적정보'!H14</f>
        <v>G5-M</v>
      </c>
      <c r="F17" s="45">
        <f>'01_인적정보'!K14</f>
        <v>59050000</v>
      </c>
      <c r="G17" s="14" t="str">
        <f>'08_종합평가'!U14</f>
        <v>D</v>
      </c>
      <c r="H17" s="47">
        <f t="shared" si="0"/>
        <v>4921000</v>
      </c>
      <c r="I17" s="22">
        <f>IF(G17="","",IF(G17="S",'02_의사결정·종합결과'!$B$27,IF(G17="A",'02_의사결정·종합결과'!$C$27,IF(G17="B",'02_의사결정·종합결과'!$D$27,IF(G17="C",'02_의사결정·종합결과'!$E$27,'02_의사결정·종합결과'!$F$27)))))</f>
        <v>0</v>
      </c>
      <c r="J17" s="47">
        <f t="shared" si="1"/>
        <v>0</v>
      </c>
      <c r="K17" s="41">
        <f t="shared" si="2"/>
        <v>1</v>
      </c>
      <c r="L17" s="50">
        <f t="shared" si="3"/>
        <v>0</v>
      </c>
      <c r="M17" s="1"/>
    </row>
    <row r="18" spans="1:13" ht="22.05" customHeight="1" x14ac:dyDescent="0.6">
      <c r="A18" s="25">
        <f>'01_인적정보'!A15</f>
        <v>10</v>
      </c>
      <c r="B18" s="25" t="str">
        <f>'01_인적정보'!B15</f>
        <v>BSS-010</v>
      </c>
      <c r="C18" s="5" t="str">
        <f>'01_인적정보'!C15</f>
        <v>신재민</v>
      </c>
      <c r="D18" s="5" t="str">
        <f>'01_인적정보'!F15</f>
        <v>컨설팅본부</v>
      </c>
      <c r="E18" s="11" t="str">
        <f>'01_인적정보'!H15</f>
        <v>G5-S</v>
      </c>
      <c r="F18" s="45">
        <f>'01_인적정보'!K15</f>
        <v>59050000</v>
      </c>
      <c r="G18" s="14" t="str">
        <f>'08_종합평가'!U15</f>
        <v>D</v>
      </c>
      <c r="H18" s="47">
        <f t="shared" si="0"/>
        <v>4921000</v>
      </c>
      <c r="I18" s="22">
        <f>IF(G18="","",IF(G18="S",'02_의사결정·종합결과'!$B$27,IF(G18="A",'02_의사결정·종합결과'!$C$27,IF(G18="B",'02_의사결정·종합결과'!$D$27,IF(G18="C",'02_의사결정·종합결과'!$E$27,'02_의사결정·종합결과'!$F$27)))))</f>
        <v>0</v>
      </c>
      <c r="J18" s="47">
        <f t="shared" si="1"/>
        <v>0</v>
      </c>
      <c r="K18" s="41">
        <f t="shared" si="2"/>
        <v>1</v>
      </c>
      <c r="L18" s="50">
        <f t="shared" si="3"/>
        <v>0</v>
      </c>
      <c r="M18" s="1"/>
    </row>
    <row r="19" spans="1:13" ht="22.05" customHeight="1" x14ac:dyDescent="0.6">
      <c r="A19" s="25">
        <f>'01_인적정보'!A16</f>
        <v>11</v>
      </c>
      <c r="B19" s="25" t="str">
        <f>'01_인적정보'!B16</f>
        <v>BSS-011</v>
      </c>
      <c r="C19" s="5" t="str">
        <f>'01_인적정보'!C16</f>
        <v>마장엽</v>
      </c>
      <c r="D19" s="5" t="str">
        <f>'01_인적정보'!F16</f>
        <v>컨설팅본부</v>
      </c>
      <c r="E19" s="11" t="str">
        <f>'01_인적정보'!H16</f>
        <v>G5-S</v>
      </c>
      <c r="F19" s="45">
        <f>'01_인적정보'!K16</f>
        <v>57760000</v>
      </c>
      <c r="G19" s="14" t="str">
        <f>'08_종합평가'!U16</f>
        <v>D</v>
      </c>
      <c r="H19" s="47">
        <f t="shared" si="0"/>
        <v>4813000</v>
      </c>
      <c r="I19" s="22">
        <f>IF(G19="","",IF(G19="S",'02_의사결정·종합결과'!$B$27,IF(G19="A",'02_의사결정·종합결과'!$C$27,IF(G19="B",'02_의사결정·종합결과'!$D$27,IF(G19="C",'02_의사결정·종합결과'!$E$27,'02_의사결정·종합결과'!$F$27)))))</f>
        <v>0</v>
      </c>
      <c r="J19" s="47">
        <f t="shared" si="1"/>
        <v>0</v>
      </c>
      <c r="K19" s="41">
        <f t="shared" si="2"/>
        <v>1</v>
      </c>
      <c r="L19" s="50">
        <f t="shared" si="3"/>
        <v>0</v>
      </c>
      <c r="M19" s="1"/>
    </row>
    <row r="20" spans="1:13" ht="22.05" customHeight="1" x14ac:dyDescent="0.6">
      <c r="A20" s="25">
        <f>'01_인적정보'!A17</f>
        <v>12</v>
      </c>
      <c r="B20" s="25" t="str">
        <f>'01_인적정보'!B17</f>
        <v>BSS-012</v>
      </c>
      <c r="C20" s="5" t="str">
        <f>'01_인적정보'!C17</f>
        <v>하은주</v>
      </c>
      <c r="D20" s="5" t="str">
        <f>'01_인적정보'!F17</f>
        <v>마케팅팀</v>
      </c>
      <c r="E20" s="11" t="str">
        <f>'01_인적정보'!H17</f>
        <v>G5-M</v>
      </c>
      <c r="F20" s="45">
        <f>'01_인적정보'!K17</f>
        <v>57760000</v>
      </c>
      <c r="G20" s="14" t="str">
        <f>'08_종합평가'!U17</f>
        <v>D</v>
      </c>
      <c r="H20" s="47">
        <f t="shared" si="0"/>
        <v>4813000</v>
      </c>
      <c r="I20" s="22">
        <f>IF(G20="","",IF(G20="S",'02_의사결정·종합결과'!$B$27,IF(G20="A",'02_의사결정·종합결과'!$C$27,IF(G20="B",'02_의사결정·종합결과'!$D$27,IF(G20="C",'02_의사결정·종합결과'!$E$27,'02_의사결정·종합결과'!$F$27)))))</f>
        <v>0</v>
      </c>
      <c r="J20" s="47">
        <f t="shared" si="1"/>
        <v>0</v>
      </c>
      <c r="K20" s="41">
        <f t="shared" si="2"/>
        <v>1</v>
      </c>
      <c r="L20" s="50">
        <f t="shared" si="3"/>
        <v>0</v>
      </c>
      <c r="M20" s="1"/>
    </row>
    <row r="21" spans="1:13" ht="22.05" customHeight="1" x14ac:dyDescent="0.6">
      <c r="A21" s="25">
        <f>'01_인적정보'!A18</f>
        <v>13</v>
      </c>
      <c r="B21" s="25" t="str">
        <f>'01_인적정보'!B18</f>
        <v>BSS-013</v>
      </c>
      <c r="C21" s="5" t="str">
        <f>'01_인적정보'!C18</f>
        <v>홍사훈</v>
      </c>
      <c r="D21" s="5" t="str">
        <f>'01_인적정보'!F18</f>
        <v>컨설팅본부</v>
      </c>
      <c r="E21" s="11" t="str">
        <f>'01_인적정보'!H18</f>
        <v>G5-S</v>
      </c>
      <c r="F21" s="45">
        <f>'01_인적정보'!K18</f>
        <v>58400000</v>
      </c>
      <c r="G21" s="14" t="str">
        <f>'08_종합평가'!U18</f>
        <v>D</v>
      </c>
      <c r="H21" s="47">
        <f t="shared" si="0"/>
        <v>4867000</v>
      </c>
      <c r="I21" s="22">
        <f>IF(G21="","",IF(G21="S",'02_의사결정·종합결과'!$B$27,IF(G21="A",'02_의사결정·종합결과'!$C$27,IF(G21="B",'02_의사결정·종합결과'!$D$27,IF(G21="C",'02_의사결정·종합결과'!$E$27,'02_의사결정·종합결과'!$F$27)))))</f>
        <v>0</v>
      </c>
      <c r="J21" s="47">
        <f t="shared" si="1"/>
        <v>0</v>
      </c>
      <c r="K21" s="41">
        <f t="shared" si="2"/>
        <v>1</v>
      </c>
      <c r="L21" s="50">
        <f t="shared" si="3"/>
        <v>0</v>
      </c>
      <c r="M21" s="1"/>
    </row>
    <row r="22" spans="1:13" ht="22.05" customHeight="1" x14ac:dyDescent="0.6">
      <c r="A22" s="25">
        <f>'01_인적정보'!A19</f>
        <v>14</v>
      </c>
      <c r="B22" s="25" t="str">
        <f>'01_인적정보'!B19</f>
        <v>BSS-014</v>
      </c>
      <c r="C22" s="5" t="str">
        <f>'01_인적정보'!C19</f>
        <v>유자영</v>
      </c>
      <c r="D22" s="5" t="str">
        <f>'01_인적정보'!F19</f>
        <v>컨설팅본부</v>
      </c>
      <c r="E22" s="11" t="str">
        <f>'01_인적정보'!H19</f>
        <v>G5-S</v>
      </c>
      <c r="F22" s="45">
        <f>'01_인적정보'!K19</f>
        <v>56500000</v>
      </c>
      <c r="G22" s="14" t="str">
        <f>'08_종합평가'!U19</f>
        <v>D</v>
      </c>
      <c r="H22" s="47">
        <f t="shared" si="0"/>
        <v>4708000</v>
      </c>
      <c r="I22" s="22">
        <f>IF(G22="","",IF(G22="S",'02_의사결정·종합결과'!$B$27,IF(G22="A",'02_의사결정·종합결과'!$C$27,IF(G22="B",'02_의사결정·종합결과'!$D$27,IF(G22="C",'02_의사결정·종합결과'!$E$27,'02_의사결정·종합결과'!$F$27)))))</f>
        <v>0</v>
      </c>
      <c r="J22" s="47">
        <f t="shared" si="1"/>
        <v>0</v>
      </c>
      <c r="K22" s="41">
        <f t="shared" si="2"/>
        <v>1</v>
      </c>
      <c r="L22" s="50">
        <f t="shared" si="3"/>
        <v>0</v>
      </c>
      <c r="M22" s="1"/>
    </row>
    <row r="23" spans="1:13" ht="22.05" customHeight="1" x14ac:dyDescent="0.6">
      <c r="A23" s="25">
        <f>'01_인적정보'!A20</f>
        <v>15</v>
      </c>
      <c r="B23" s="25" t="str">
        <f>'01_인적정보'!B20</f>
        <v>BSS-015</v>
      </c>
      <c r="C23" s="5" t="str">
        <f>'01_인적정보'!C20</f>
        <v>민지선</v>
      </c>
      <c r="D23" s="5" t="str">
        <f>'01_인적정보'!F20</f>
        <v>컨설팅본부</v>
      </c>
      <c r="E23" s="11" t="str">
        <f>'01_인적정보'!H20</f>
        <v>G5-S</v>
      </c>
      <c r="F23" s="45">
        <f>'01_인적정보'!K20</f>
        <v>53160000</v>
      </c>
      <c r="G23" s="14" t="str">
        <f>'08_종합평가'!U20</f>
        <v>D</v>
      </c>
      <c r="H23" s="47">
        <f t="shared" si="0"/>
        <v>4430000</v>
      </c>
      <c r="I23" s="22">
        <f>IF(G23="","",IF(G23="S",'02_의사결정·종합결과'!$B$27,IF(G23="A",'02_의사결정·종합결과'!$C$27,IF(G23="B",'02_의사결정·종합결과'!$D$27,IF(G23="C",'02_의사결정·종합결과'!$E$27,'02_의사결정·종합결과'!$F$27)))))</f>
        <v>0</v>
      </c>
      <c r="J23" s="47">
        <f t="shared" si="1"/>
        <v>0</v>
      </c>
      <c r="K23" s="41">
        <f t="shared" si="2"/>
        <v>1</v>
      </c>
      <c r="L23" s="50">
        <f t="shared" si="3"/>
        <v>0</v>
      </c>
      <c r="M23" s="1"/>
    </row>
    <row r="24" spans="1:13" ht="22.05" customHeight="1" x14ac:dyDescent="0.6">
      <c r="A24" s="25">
        <f>'01_인적정보'!A21</f>
        <v>16</v>
      </c>
      <c r="B24" s="25" t="str">
        <f>'01_인적정보'!B21</f>
        <v>BSS-016</v>
      </c>
      <c r="C24" s="5" t="str">
        <f>'01_인적정보'!C21</f>
        <v>장훈</v>
      </c>
      <c r="D24" s="5" t="str">
        <f>'01_인적정보'!F21</f>
        <v>컨설팅본부</v>
      </c>
      <c r="E24" s="11" t="str">
        <f>'01_인적정보'!H21</f>
        <v>G5-S</v>
      </c>
      <c r="F24" s="45">
        <f>'01_인적정보'!K21</f>
        <v>53750000</v>
      </c>
      <c r="G24" s="14" t="str">
        <f>'08_종합평가'!U21</f>
        <v>D</v>
      </c>
      <c r="H24" s="47">
        <f t="shared" si="0"/>
        <v>4479000</v>
      </c>
      <c r="I24" s="22">
        <f>IF(G24="","",IF(G24="S",'02_의사결정·종합결과'!$B$27,IF(G24="A",'02_의사결정·종합결과'!$C$27,IF(G24="B",'02_의사결정·종합결과'!$D$27,IF(G24="C",'02_의사결정·종합결과'!$E$27,'02_의사결정·종합결과'!$F$27)))))</f>
        <v>0</v>
      </c>
      <c r="J24" s="47">
        <f t="shared" si="1"/>
        <v>0</v>
      </c>
      <c r="K24" s="41">
        <f t="shared" si="2"/>
        <v>1</v>
      </c>
      <c r="L24" s="50">
        <f t="shared" si="3"/>
        <v>0</v>
      </c>
      <c r="M24" s="1"/>
    </row>
    <row r="25" spans="1:13" ht="22.05" customHeight="1" x14ac:dyDescent="0.6">
      <c r="A25" s="25">
        <f>'01_인적정보'!A22</f>
        <v>17</v>
      </c>
      <c r="B25" s="25" t="str">
        <f>'01_인적정보'!B22</f>
        <v>BSS-017</v>
      </c>
      <c r="C25" s="5" t="str">
        <f>'01_인적정보'!C22</f>
        <v>김우람</v>
      </c>
      <c r="D25" s="5" t="str">
        <f>'01_인적정보'!F22</f>
        <v>솔루션본부</v>
      </c>
      <c r="E25" s="11" t="str">
        <f>'01_인적정보'!H22</f>
        <v>G4</v>
      </c>
      <c r="F25" s="45">
        <f>'01_인적정보'!K22</f>
        <v>49240000</v>
      </c>
      <c r="G25" s="14" t="str">
        <f>'08_종합평가'!U22</f>
        <v>D</v>
      </c>
      <c r="H25" s="47">
        <f t="shared" si="0"/>
        <v>4103000</v>
      </c>
      <c r="I25" s="22">
        <f>IF(G25="","",IF(G25="S",'02_의사결정·종합결과'!$B$27,IF(G25="A",'02_의사결정·종합결과'!$C$27,IF(G25="B",'02_의사결정·종합결과'!$D$27,IF(G25="C",'02_의사결정·종합결과'!$E$27,'02_의사결정·종합결과'!$F$27)))))</f>
        <v>0</v>
      </c>
      <c r="J25" s="47">
        <f t="shared" si="1"/>
        <v>0</v>
      </c>
      <c r="K25" s="41">
        <f t="shared" si="2"/>
        <v>1</v>
      </c>
      <c r="L25" s="50">
        <f t="shared" si="3"/>
        <v>0</v>
      </c>
      <c r="M25" s="1"/>
    </row>
    <row r="26" spans="1:13" ht="22.05" customHeight="1" x14ac:dyDescent="0.6">
      <c r="A26" s="25">
        <f>'01_인적정보'!A23</f>
        <v>18</v>
      </c>
      <c r="B26" s="25" t="str">
        <f>'01_인적정보'!B23</f>
        <v>BSS-018</v>
      </c>
      <c r="C26" s="5" t="str">
        <f>'01_인적정보'!C23</f>
        <v>조성준</v>
      </c>
      <c r="D26" s="5" t="str">
        <f>'01_인적정보'!F23</f>
        <v>컨설팅본부</v>
      </c>
      <c r="E26" s="11" t="str">
        <f>'01_인적정보'!H23</f>
        <v>G4</v>
      </c>
      <c r="F26" s="45">
        <f>'01_인적정보'!K23</f>
        <v>48650000</v>
      </c>
      <c r="G26" s="14" t="str">
        <f>'08_종합평가'!U23</f>
        <v>D</v>
      </c>
      <c r="H26" s="47">
        <f t="shared" si="0"/>
        <v>4054000</v>
      </c>
      <c r="I26" s="22">
        <f>IF(G26="","",IF(G26="S",'02_의사결정·종합결과'!$B$27,IF(G26="A",'02_의사결정·종합결과'!$C$27,IF(G26="B",'02_의사결정·종합결과'!$D$27,IF(G26="C",'02_의사결정·종합결과'!$E$27,'02_의사결정·종합결과'!$F$27)))))</f>
        <v>0</v>
      </c>
      <c r="J26" s="47">
        <f t="shared" si="1"/>
        <v>0</v>
      </c>
      <c r="K26" s="41">
        <f t="shared" si="2"/>
        <v>1</v>
      </c>
      <c r="L26" s="50">
        <f t="shared" si="3"/>
        <v>0</v>
      </c>
      <c r="M26" s="1"/>
    </row>
    <row r="27" spans="1:13" ht="22.05" customHeight="1" x14ac:dyDescent="0.6">
      <c r="A27" s="25">
        <f>'01_인적정보'!A24</f>
        <v>19</v>
      </c>
      <c r="B27" s="25" t="str">
        <f>'01_인적정보'!B24</f>
        <v>BSS-019</v>
      </c>
      <c r="C27" s="5" t="str">
        <f>'01_인적정보'!C24</f>
        <v>구서현</v>
      </c>
      <c r="D27" s="5" t="str">
        <f>'01_인적정보'!F24</f>
        <v>컨설팅본부</v>
      </c>
      <c r="E27" s="11" t="str">
        <f>'01_인적정보'!H24</f>
        <v>G3</v>
      </c>
      <c r="F27" s="45">
        <f>'01_인적정보'!K24</f>
        <v>47500000</v>
      </c>
      <c r="G27" s="14" t="str">
        <f>'08_종합평가'!U24</f>
        <v>D</v>
      </c>
      <c r="H27" s="47">
        <f t="shared" si="0"/>
        <v>3958000</v>
      </c>
      <c r="I27" s="22">
        <f>IF(G27="","",IF(G27="S",'02_의사결정·종합결과'!$B$27,IF(G27="A",'02_의사결정·종합결과'!$C$27,IF(G27="B",'02_의사결정·종합결과'!$D$27,IF(G27="C",'02_의사결정·종합결과'!$E$27,'02_의사결정·종합결과'!$F$27)))))</f>
        <v>0</v>
      </c>
      <c r="J27" s="47">
        <f t="shared" si="1"/>
        <v>0</v>
      </c>
      <c r="K27" s="41">
        <f t="shared" si="2"/>
        <v>1</v>
      </c>
      <c r="L27" s="50">
        <f t="shared" si="3"/>
        <v>0</v>
      </c>
      <c r="M27" s="1"/>
    </row>
    <row r="28" spans="1:13" ht="22.05" customHeight="1" x14ac:dyDescent="0.6">
      <c r="A28" s="25">
        <f>'01_인적정보'!A25</f>
        <v>20</v>
      </c>
      <c r="B28" s="25" t="str">
        <f>'01_인적정보'!B25</f>
        <v>BSS-020</v>
      </c>
      <c r="C28" s="5" t="str">
        <f>'01_인적정보'!C25</f>
        <v>박진용</v>
      </c>
      <c r="D28" s="5" t="str">
        <f>'01_인적정보'!F25</f>
        <v>솔루션본부</v>
      </c>
      <c r="E28" s="11" t="str">
        <f>'01_인적정보'!H25</f>
        <v>G3</v>
      </c>
      <c r="F28" s="45">
        <f>'01_인적정보'!K25</f>
        <v>43060000</v>
      </c>
      <c r="G28" s="14" t="str">
        <f>'08_종합평가'!U25</f>
        <v>D</v>
      </c>
      <c r="H28" s="47">
        <f t="shared" si="0"/>
        <v>3588000</v>
      </c>
      <c r="I28" s="22">
        <f>IF(G28="","",IF(G28="S",'02_의사결정·종합결과'!$B$27,IF(G28="A",'02_의사결정·종합결과'!$C$27,IF(G28="B",'02_의사결정·종합결과'!$D$27,IF(G28="C",'02_의사결정·종합결과'!$E$27,'02_의사결정·종합결과'!$F$27)))))</f>
        <v>0</v>
      </c>
      <c r="J28" s="47">
        <f t="shared" si="1"/>
        <v>0</v>
      </c>
      <c r="K28" s="41">
        <f t="shared" si="2"/>
        <v>1</v>
      </c>
      <c r="L28" s="50">
        <f t="shared" si="3"/>
        <v>0</v>
      </c>
      <c r="M28" s="1"/>
    </row>
    <row r="29" spans="1:13" ht="22.05" customHeight="1" x14ac:dyDescent="0.6">
      <c r="A29" s="25">
        <f>'01_인적정보'!A26</f>
        <v>21</v>
      </c>
      <c r="B29" s="25" t="str">
        <f>'01_인적정보'!B26</f>
        <v>BSS-021</v>
      </c>
      <c r="C29" s="5" t="str">
        <f>'01_인적정보'!C26</f>
        <v>김가연</v>
      </c>
      <c r="D29" s="5" t="str">
        <f>'01_인적정보'!F26</f>
        <v>컨설팅본부</v>
      </c>
      <c r="E29" s="11" t="str">
        <f>'01_인적정보'!H26</f>
        <v>G2</v>
      </c>
      <c r="F29" s="45">
        <f>'01_인적정보'!K26</f>
        <v>42500000</v>
      </c>
      <c r="G29" s="14" t="str">
        <f>'08_종합평가'!U26</f>
        <v>D</v>
      </c>
      <c r="H29" s="47">
        <f t="shared" si="0"/>
        <v>3542000</v>
      </c>
      <c r="I29" s="22">
        <f>IF(G29="","",IF(G29="S",'02_의사결정·종합결과'!$B$27,IF(G29="A",'02_의사결정·종합결과'!$C$27,IF(G29="B",'02_의사결정·종합결과'!$D$27,IF(G29="C",'02_의사결정·종합결과'!$E$27,'02_의사결정·종합결과'!$F$27)))))</f>
        <v>0</v>
      </c>
      <c r="J29" s="47">
        <f t="shared" si="1"/>
        <v>0</v>
      </c>
      <c r="K29" s="41">
        <f t="shared" si="2"/>
        <v>1</v>
      </c>
      <c r="L29" s="50">
        <f t="shared" si="3"/>
        <v>0</v>
      </c>
      <c r="M29" s="1"/>
    </row>
    <row r="30" spans="1:13" ht="22.05" customHeight="1" x14ac:dyDescent="0.6">
      <c r="A30" s="25">
        <f>'01_인적정보'!A27</f>
        <v>22</v>
      </c>
      <c r="B30" s="25" t="str">
        <f>'01_인적정보'!B27</f>
        <v>BSS-022</v>
      </c>
      <c r="C30" s="5" t="str">
        <f>'01_인적정보'!C27</f>
        <v>한근수</v>
      </c>
      <c r="D30" s="5" t="str">
        <f>'01_인적정보'!F27</f>
        <v>컨설팅본부</v>
      </c>
      <c r="E30" s="11" t="str">
        <f>'01_인적정보'!H27</f>
        <v>G2</v>
      </c>
      <c r="F30" s="45">
        <f>'01_인적정보'!K27</f>
        <v>42500000</v>
      </c>
      <c r="G30" s="14" t="str">
        <f>'08_종합평가'!U27</f>
        <v>D</v>
      </c>
      <c r="H30" s="47">
        <f t="shared" si="0"/>
        <v>3542000</v>
      </c>
      <c r="I30" s="22">
        <f>IF(G30="","",IF(G30="S",'02_의사결정·종합결과'!$B$27,IF(G30="A",'02_의사결정·종합결과'!$C$27,IF(G30="B",'02_의사결정·종합결과'!$D$27,IF(G30="C",'02_의사결정·종합결과'!$E$27,'02_의사결정·종합결과'!$F$27)))))</f>
        <v>0</v>
      </c>
      <c r="J30" s="47">
        <f t="shared" si="1"/>
        <v>0</v>
      </c>
      <c r="K30" s="41">
        <f t="shared" si="2"/>
        <v>1</v>
      </c>
      <c r="L30" s="50">
        <f t="shared" si="3"/>
        <v>0</v>
      </c>
      <c r="M30" s="1"/>
    </row>
    <row r="31" spans="1:13" ht="22.05" customHeight="1" x14ac:dyDescent="0.6">
      <c r="A31" s="25">
        <f>'01_인적정보'!A28</f>
        <v>23</v>
      </c>
      <c r="B31" s="25" t="str">
        <f>'01_인적정보'!B28</f>
        <v>BSS-023</v>
      </c>
      <c r="C31" s="5" t="str">
        <f>'01_인적정보'!C28</f>
        <v>김성민</v>
      </c>
      <c r="D31" s="5" t="str">
        <f>'01_인적정보'!F28</f>
        <v>컨설팅본부</v>
      </c>
      <c r="E31" s="11" t="str">
        <f>'01_인적정보'!H28</f>
        <v>G2</v>
      </c>
      <c r="F31" s="45">
        <f>'01_인적정보'!K28</f>
        <v>42500000</v>
      </c>
      <c r="G31" s="14" t="str">
        <f>'08_종합평가'!U28</f>
        <v>D</v>
      </c>
      <c r="H31" s="47">
        <f t="shared" si="0"/>
        <v>3542000</v>
      </c>
      <c r="I31" s="22">
        <f>IF(G31="","",IF(G31="S",'02_의사결정·종합결과'!$B$27,IF(G31="A",'02_의사결정·종합결과'!$C$27,IF(G31="B",'02_의사결정·종합결과'!$D$27,IF(G31="C",'02_의사결정·종합결과'!$E$27,'02_의사결정·종합결과'!$F$27)))))</f>
        <v>0</v>
      </c>
      <c r="J31" s="47">
        <f t="shared" si="1"/>
        <v>0</v>
      </c>
      <c r="K31" s="41">
        <f t="shared" si="2"/>
        <v>1</v>
      </c>
      <c r="L31" s="50">
        <f t="shared" si="3"/>
        <v>0</v>
      </c>
      <c r="M31" s="1"/>
    </row>
    <row r="32" spans="1:13" ht="22.05" customHeight="1" x14ac:dyDescent="0.6">
      <c r="A32" s="25">
        <f>'01_인적정보'!A29</f>
        <v>24</v>
      </c>
      <c r="B32" s="25" t="str">
        <f>'01_인적정보'!B29</f>
        <v>BSS-024</v>
      </c>
      <c r="C32" s="5" t="str">
        <f>'01_인적정보'!C29</f>
        <v>고광우</v>
      </c>
      <c r="D32" s="5" t="str">
        <f>'01_인적정보'!F29</f>
        <v>컨설팅본부</v>
      </c>
      <c r="E32" s="11" t="str">
        <f>'01_인적정보'!H29</f>
        <v>G2</v>
      </c>
      <c r="F32" s="45">
        <f>'01_인적정보'!K29</f>
        <v>42500000</v>
      </c>
      <c r="G32" s="14" t="str">
        <f>'08_종합평가'!U29</f>
        <v>D</v>
      </c>
      <c r="H32" s="47">
        <f t="shared" si="0"/>
        <v>3542000</v>
      </c>
      <c r="I32" s="22">
        <f>IF(G32="","",IF(G32="S",'02_의사결정·종합결과'!$B$27,IF(G32="A",'02_의사결정·종합결과'!$C$27,IF(G32="B",'02_의사결정·종합결과'!$D$27,IF(G32="C",'02_의사결정·종합결과'!$E$27,'02_의사결정·종합결과'!$F$27)))))</f>
        <v>0</v>
      </c>
      <c r="J32" s="47">
        <f t="shared" si="1"/>
        <v>0</v>
      </c>
      <c r="K32" s="41">
        <f t="shared" si="2"/>
        <v>1</v>
      </c>
      <c r="L32" s="50">
        <f t="shared" si="3"/>
        <v>0</v>
      </c>
      <c r="M32" s="1"/>
    </row>
    <row r="33" spans="1:13" ht="22.05" customHeight="1" x14ac:dyDescent="0.6">
      <c r="A33" s="25">
        <f>'01_인적정보'!A30</f>
        <v>25</v>
      </c>
      <c r="B33" s="25" t="str">
        <f>'01_인적정보'!B30</f>
        <v>BSS-025</v>
      </c>
      <c r="C33" s="5" t="str">
        <f>'01_인적정보'!C30</f>
        <v>김성수</v>
      </c>
      <c r="D33" s="5" t="str">
        <f>'01_인적정보'!F30</f>
        <v>컨설팅본부</v>
      </c>
      <c r="E33" s="11" t="str">
        <f>'01_인적정보'!H30</f>
        <v>G2</v>
      </c>
      <c r="F33" s="45">
        <f>'01_인적정보'!K30</f>
        <v>42500000</v>
      </c>
      <c r="G33" s="14" t="str">
        <f>'08_종합평가'!U30</f>
        <v>D</v>
      </c>
      <c r="H33" s="47">
        <f t="shared" si="0"/>
        <v>3542000</v>
      </c>
      <c r="I33" s="22">
        <f>IF(G33="","",IF(G33="S",'02_의사결정·종합결과'!$B$27,IF(G33="A",'02_의사결정·종합결과'!$C$27,IF(G33="B",'02_의사결정·종합결과'!$D$27,IF(G33="C",'02_의사결정·종합결과'!$E$27,'02_의사결정·종합결과'!$F$27)))))</f>
        <v>0</v>
      </c>
      <c r="J33" s="47">
        <f t="shared" si="1"/>
        <v>0</v>
      </c>
      <c r="K33" s="41">
        <f t="shared" si="2"/>
        <v>1</v>
      </c>
      <c r="L33" s="50">
        <f t="shared" si="3"/>
        <v>0</v>
      </c>
      <c r="M33" s="1"/>
    </row>
    <row r="34" spans="1:13" ht="22.05" customHeight="1" x14ac:dyDescent="0.6">
      <c r="A34" s="25">
        <f>'01_인적정보'!A31</f>
        <v>26</v>
      </c>
      <c r="B34" s="25" t="str">
        <f>'01_인적정보'!B31</f>
        <v>BSS-026</v>
      </c>
      <c r="C34" s="5" t="str">
        <f>'01_인적정보'!C31</f>
        <v>박진희</v>
      </c>
      <c r="D34" s="5" t="str">
        <f>'01_인적정보'!F31</f>
        <v>마케팅팀</v>
      </c>
      <c r="E34" s="11" t="str">
        <f>'01_인적정보'!H31</f>
        <v>G1</v>
      </c>
      <c r="F34" s="45">
        <f>'01_인적정보'!K31</f>
        <v>34935000</v>
      </c>
      <c r="G34" s="14" t="str">
        <f>'08_종합평가'!U31</f>
        <v>D</v>
      </c>
      <c r="H34" s="47">
        <f t="shared" si="0"/>
        <v>2911000</v>
      </c>
      <c r="I34" s="22">
        <f>IF(G34="","",IF(G34="S",'02_의사결정·종합결과'!$B$27,IF(G34="A",'02_의사결정·종합결과'!$C$27,IF(G34="B",'02_의사결정·종합결과'!$D$27,IF(G34="C",'02_의사결정·종합결과'!$E$27,'02_의사결정·종합결과'!$F$27)))))</f>
        <v>0</v>
      </c>
      <c r="J34" s="47">
        <f t="shared" si="1"/>
        <v>0</v>
      </c>
      <c r="K34" s="41">
        <f t="shared" si="2"/>
        <v>1</v>
      </c>
      <c r="L34" s="50">
        <f t="shared" si="3"/>
        <v>0</v>
      </c>
      <c r="M34" s="1"/>
    </row>
    <row r="35" spans="1:13" ht="22.05" customHeight="1" x14ac:dyDescent="0.6">
      <c r="A35" s="25">
        <f>'01_인적정보'!A32</f>
        <v>27</v>
      </c>
      <c r="B35" s="25" t="str">
        <f>'01_인적정보'!B32</f>
        <v>BSS-027</v>
      </c>
      <c r="C35" s="5" t="str">
        <f>'01_인적정보'!C32</f>
        <v>장은한</v>
      </c>
      <c r="D35" s="5" t="str">
        <f>'01_인적정보'!F32</f>
        <v>솔루션본부</v>
      </c>
      <c r="E35" s="11" t="str">
        <f>'01_인적정보'!H32</f>
        <v>G2</v>
      </c>
      <c r="F35" s="45">
        <f>'01_인적정보'!K32</f>
        <v>35000000</v>
      </c>
      <c r="G35" s="14" t="str">
        <f>'08_종합평가'!U32</f>
        <v>D</v>
      </c>
      <c r="H35" s="47">
        <f t="shared" si="0"/>
        <v>2917000</v>
      </c>
      <c r="I35" s="22">
        <f>IF(G35="","",IF(G35="S",'02_의사결정·종합결과'!$B$27,IF(G35="A",'02_의사결정·종합결과'!$C$27,IF(G35="B",'02_의사결정·종합결과'!$D$27,IF(G35="C",'02_의사결정·종합결과'!$E$27,'02_의사결정·종합결과'!$F$27)))))</f>
        <v>0</v>
      </c>
      <c r="J35" s="47">
        <f t="shared" si="1"/>
        <v>0</v>
      </c>
      <c r="K35" s="41">
        <f t="shared" si="2"/>
        <v>1</v>
      </c>
      <c r="L35" s="50">
        <f t="shared" si="3"/>
        <v>0</v>
      </c>
      <c r="M35" s="1"/>
    </row>
    <row r="36" spans="1:13" ht="22.05" customHeight="1" x14ac:dyDescent="0.6">
      <c r="A36" s="25">
        <f>'01_인적정보'!A33</f>
        <v>28</v>
      </c>
      <c r="B36" s="25" t="str">
        <f>'01_인적정보'!B33</f>
        <v>BSS-028</v>
      </c>
      <c r="C36" s="5" t="str">
        <f>'01_인적정보'!C33</f>
        <v>김현수</v>
      </c>
      <c r="D36" s="5" t="str">
        <f>'01_인적정보'!F33</f>
        <v>컨설팅본부</v>
      </c>
      <c r="E36" s="11" t="str">
        <f>'01_인적정보'!H33</f>
        <v>G1</v>
      </c>
      <c r="F36" s="45">
        <f>'01_인적정보'!K33</f>
        <v>36000000</v>
      </c>
      <c r="G36" s="14" t="str">
        <f>'08_종합평가'!U33</f>
        <v>D</v>
      </c>
      <c r="H36" s="47">
        <f t="shared" si="0"/>
        <v>3000000</v>
      </c>
      <c r="I36" s="22">
        <f>IF(G36="","",IF(G36="S",'02_의사결정·종합결과'!$B$27,IF(G36="A",'02_의사결정·종합결과'!$C$27,IF(G36="B",'02_의사결정·종합결과'!$D$27,IF(G36="C",'02_의사결정·종합결과'!$E$27,'02_의사결정·종합결과'!$F$27)))))</f>
        <v>0</v>
      </c>
      <c r="J36" s="47">
        <f t="shared" si="1"/>
        <v>0</v>
      </c>
      <c r="K36" s="41">
        <f t="shared" si="2"/>
        <v>1</v>
      </c>
      <c r="L36" s="50">
        <f t="shared" si="3"/>
        <v>0</v>
      </c>
      <c r="M36" s="1"/>
    </row>
    <row r="37" spans="1:13" ht="22.05" customHeight="1" x14ac:dyDescent="0.6">
      <c r="A37" s="25">
        <f>'01_인적정보'!A34</f>
        <v>29</v>
      </c>
      <c r="B37" s="25" t="str">
        <f>'01_인적정보'!B34</f>
        <v>BSS-029</v>
      </c>
      <c r="C37" s="5" t="str">
        <f>'01_인적정보'!C34</f>
        <v>콜셍홍</v>
      </c>
      <c r="D37" s="5" t="str">
        <f>'01_인적정보'!F34</f>
        <v>컨설팅본부</v>
      </c>
      <c r="E37" s="11" t="str">
        <f>'01_인적정보'!H34</f>
        <v>G1</v>
      </c>
      <c r="F37" s="45">
        <f>'01_인적정보'!K34</f>
        <v>36000000</v>
      </c>
      <c r="G37" s="14" t="str">
        <f>'08_종합평가'!U34</f>
        <v>D</v>
      </c>
      <c r="H37" s="47">
        <f t="shared" si="0"/>
        <v>3000000</v>
      </c>
      <c r="I37" s="22">
        <f>IF(G37="","",IF(G37="S",'02_의사결정·종합결과'!$B$27,IF(G37="A",'02_의사결정·종합결과'!$C$27,IF(G37="B",'02_의사결정·종합결과'!$D$27,IF(G37="C",'02_의사결정·종합결과'!$E$27,'02_의사결정·종합결과'!$F$27)))))</f>
        <v>0</v>
      </c>
      <c r="J37" s="47">
        <f t="shared" si="1"/>
        <v>0</v>
      </c>
      <c r="K37" s="41">
        <f t="shared" si="2"/>
        <v>1</v>
      </c>
      <c r="L37" s="50">
        <f t="shared" si="3"/>
        <v>0</v>
      </c>
      <c r="M37" s="1"/>
    </row>
    <row r="38" spans="1:13" ht="22.05" customHeight="1" x14ac:dyDescent="0.6">
      <c r="A38" s="25">
        <f>'01_인적정보'!A35</f>
        <v>30</v>
      </c>
      <c r="B38" s="25" t="str">
        <f>'01_인적정보'!B35</f>
        <v>BSS-030</v>
      </c>
      <c r="C38" s="5" t="str">
        <f>'01_인적정보'!C35</f>
        <v>안성진</v>
      </c>
      <c r="D38" s="5" t="str">
        <f>'01_인적정보'!F35</f>
        <v>컨설팅본부</v>
      </c>
      <c r="E38" s="11" t="str">
        <f>'01_인적정보'!H35</f>
        <v>G1</v>
      </c>
      <c r="F38" s="45">
        <f>'01_인적정보'!K35</f>
        <v>36540000</v>
      </c>
      <c r="G38" s="14" t="str">
        <f>'08_종합평가'!U35</f>
        <v>D</v>
      </c>
      <c r="H38" s="47">
        <f t="shared" si="0"/>
        <v>3045000</v>
      </c>
      <c r="I38" s="22">
        <f>IF(G38="","",IF(G38="S",'02_의사결정·종합결과'!$B$27,IF(G38="A",'02_의사결정·종합결과'!$C$27,IF(G38="B",'02_의사결정·종합결과'!$D$27,IF(G38="C",'02_의사결정·종합결과'!$E$27,'02_의사결정·종합결과'!$F$27)))))</f>
        <v>0</v>
      </c>
      <c r="J38" s="47">
        <f t="shared" si="1"/>
        <v>0</v>
      </c>
      <c r="K38" s="41">
        <f t="shared" si="2"/>
        <v>1</v>
      </c>
      <c r="L38" s="50">
        <f t="shared" si="3"/>
        <v>0</v>
      </c>
      <c r="M38" s="1"/>
    </row>
    <row r="39" spans="1:13" ht="22.05" customHeight="1" x14ac:dyDescent="0.6">
      <c r="A39" s="25">
        <f>'01_인적정보'!A36</f>
        <v>31</v>
      </c>
      <c r="B39" s="25" t="str">
        <f>'01_인적정보'!B36</f>
        <v>BSS-031</v>
      </c>
      <c r="C39" s="5" t="str">
        <f>'01_인적정보'!C36</f>
        <v>이정일</v>
      </c>
      <c r="D39" s="5" t="str">
        <f>'01_인적정보'!F36</f>
        <v>컨설팅본부</v>
      </c>
      <c r="E39" s="11" t="str">
        <f>'01_인적정보'!H36</f>
        <v>G1</v>
      </c>
      <c r="F39" s="45">
        <f>'01_인적정보'!K36</f>
        <v>37090000</v>
      </c>
      <c r="G39" s="14" t="str">
        <f>'08_종합평가'!U36</f>
        <v>D</v>
      </c>
      <c r="H39" s="47">
        <f t="shared" si="0"/>
        <v>3091000</v>
      </c>
      <c r="I39" s="22">
        <f>IF(G39="","",IF(G39="S",'02_의사결정·종합결과'!$B$27,IF(G39="A",'02_의사결정·종합결과'!$C$27,IF(G39="B",'02_의사결정·종합결과'!$D$27,IF(G39="C",'02_의사결정·종합결과'!$E$27,'02_의사결정·종합결과'!$F$27)))))</f>
        <v>0</v>
      </c>
      <c r="J39" s="47">
        <f t="shared" si="1"/>
        <v>0</v>
      </c>
      <c r="K39" s="41">
        <f t="shared" si="2"/>
        <v>1</v>
      </c>
      <c r="L39" s="50">
        <f t="shared" si="3"/>
        <v>0</v>
      </c>
      <c r="M39" s="1"/>
    </row>
    <row r="40" spans="1:13" ht="22.05" customHeight="1" x14ac:dyDescent="0.6">
      <c r="A40" s="25">
        <f>'01_인적정보'!A37</f>
        <v>32</v>
      </c>
      <c r="B40" s="25" t="str">
        <f>'01_인적정보'!B37</f>
        <v>BSS-032</v>
      </c>
      <c r="C40" s="5" t="str">
        <f>'01_인적정보'!C37</f>
        <v>안재성</v>
      </c>
      <c r="D40" s="5" t="str">
        <f>'01_인적정보'!F37</f>
        <v>컨설팅본부</v>
      </c>
      <c r="E40" s="11" t="str">
        <f>'01_인적정보'!H37</f>
        <v>G1</v>
      </c>
      <c r="F40" s="45">
        <f>'01_인적정보'!K37</f>
        <v>32000000</v>
      </c>
      <c r="G40" s="14" t="str">
        <f>'08_종합평가'!U37</f>
        <v>D</v>
      </c>
      <c r="H40" s="47">
        <f t="shared" si="0"/>
        <v>2667000</v>
      </c>
      <c r="I40" s="22">
        <f>IF(G40="","",IF(G40="S",'02_의사결정·종합결과'!$B$27,IF(G40="A",'02_의사결정·종합결과'!$C$27,IF(G40="B",'02_의사결정·종합결과'!$D$27,IF(G40="C",'02_의사결정·종합결과'!$E$27,'02_의사결정·종합결과'!$F$27)))))</f>
        <v>0</v>
      </c>
      <c r="J40" s="47">
        <f t="shared" si="1"/>
        <v>0</v>
      </c>
      <c r="K40" s="41">
        <f t="shared" si="2"/>
        <v>1</v>
      </c>
      <c r="L40" s="50">
        <f t="shared" si="3"/>
        <v>0</v>
      </c>
      <c r="M40" s="1"/>
    </row>
    <row r="41" spans="1:13" ht="22.05" customHeight="1" x14ac:dyDescent="0.6">
      <c r="A41" s="25">
        <f>'01_인적정보'!A38</f>
        <v>33</v>
      </c>
      <c r="B41" s="25" t="str">
        <f>'01_인적정보'!B38</f>
        <v>BSS-033</v>
      </c>
      <c r="C41" s="5" t="str">
        <f>'01_인적정보'!C38</f>
        <v>유태석</v>
      </c>
      <c r="D41" s="5" t="str">
        <f>'01_인적정보'!F38</f>
        <v>컨설팅본부</v>
      </c>
      <c r="E41" s="11" t="str">
        <f>'01_인적정보'!H38</f>
        <v>G1</v>
      </c>
      <c r="F41" s="45">
        <f>'01_인적정보'!K38</f>
        <v>32000000</v>
      </c>
      <c r="G41" s="14" t="str">
        <f>'08_종합평가'!U38</f>
        <v>D</v>
      </c>
      <c r="H41" s="47">
        <f t="shared" si="0"/>
        <v>2667000</v>
      </c>
      <c r="I41" s="22">
        <f>IF(G41="","",IF(G41="S",'02_의사결정·종합결과'!$B$27,IF(G41="A",'02_의사결정·종합결과'!$C$27,IF(G41="B",'02_의사결정·종합결과'!$D$27,IF(G41="C",'02_의사결정·종합결과'!$E$27,'02_의사결정·종합결과'!$F$27)))))</f>
        <v>0</v>
      </c>
      <c r="J41" s="47">
        <f t="shared" si="1"/>
        <v>0</v>
      </c>
      <c r="K41" s="41">
        <f t="shared" si="2"/>
        <v>1</v>
      </c>
      <c r="L41" s="50">
        <f t="shared" si="3"/>
        <v>0</v>
      </c>
      <c r="M41" s="1"/>
    </row>
    <row r="42" spans="1:13" ht="22.05" customHeight="1" x14ac:dyDescent="0.6">
      <c r="A42" s="25">
        <f>'01_인적정보'!A39</f>
        <v>34</v>
      </c>
      <c r="B42" s="25" t="str">
        <f>'01_인적정보'!B39</f>
        <v>BSS-034</v>
      </c>
      <c r="C42" s="5" t="str">
        <f>'01_인적정보'!C39</f>
        <v>엄보근</v>
      </c>
      <c r="D42" s="5" t="str">
        <f>'01_인적정보'!F39</f>
        <v>컨설팅본부</v>
      </c>
      <c r="E42" s="11" t="str">
        <f>'01_인적정보'!H39</f>
        <v>G1</v>
      </c>
      <c r="F42" s="45">
        <f>'01_인적정보'!K39</f>
        <v>32000000</v>
      </c>
      <c r="G42" s="14" t="str">
        <f>'08_종합평가'!U39</f>
        <v>D</v>
      </c>
      <c r="H42" s="47">
        <f t="shared" si="0"/>
        <v>2667000</v>
      </c>
      <c r="I42" s="22">
        <f>IF(G42="","",IF(G42="S",'02_의사결정·종합결과'!$B$27,IF(G42="A",'02_의사결정·종합결과'!$C$27,IF(G42="B",'02_의사결정·종합결과'!$D$27,IF(G42="C",'02_의사결정·종합결과'!$E$27,'02_의사결정·종합결과'!$F$27)))))</f>
        <v>0</v>
      </c>
      <c r="J42" s="47">
        <f t="shared" si="1"/>
        <v>0</v>
      </c>
      <c r="K42" s="41">
        <f t="shared" si="2"/>
        <v>1</v>
      </c>
      <c r="L42" s="50">
        <f t="shared" si="3"/>
        <v>0</v>
      </c>
      <c r="M42" s="1"/>
    </row>
    <row r="44" spans="1:13" ht="33.75" x14ac:dyDescent="0.6">
      <c r="K44" s="49" t="s">
        <v>479</v>
      </c>
      <c r="L44" s="50">
        <f>SUM(L9:L42)</f>
        <v>0</v>
      </c>
    </row>
  </sheetData>
  <mergeCells count="5">
    <mergeCell ref="A4:N4"/>
    <mergeCell ref="A2:N2"/>
    <mergeCell ref="A7:N7"/>
    <mergeCell ref="G5:N5"/>
    <mergeCell ref="A1:N1"/>
  </mergeCells>
  <phoneticPr fontId="1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L49"/>
  <sheetViews>
    <sheetView workbookViewId="0">
      <pane xSplit="3" ySplit="15" topLeftCell="D16" activePane="bottomRight" state="frozen"/>
      <selection pane="topRight"/>
      <selection pane="bottomLeft"/>
      <selection pane="bottomRight" sqref="A1:L1"/>
    </sheetView>
  </sheetViews>
  <sheetFormatPr defaultRowHeight="16.899999999999999" x14ac:dyDescent="0.6"/>
  <cols>
    <col min="1" max="1" width="4" customWidth="1"/>
    <col min="2" max="2" width="9" customWidth="1"/>
    <col min="3" max="4" width="8" customWidth="1"/>
    <col min="5" max="7" width="12" customWidth="1"/>
    <col min="8" max="9" width="11" customWidth="1"/>
  </cols>
  <sheetData>
    <row r="1" spans="1:12" ht="28.05" customHeight="1" x14ac:dyDescent="0.6">
      <c r="A1" s="82" t="s">
        <v>480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</row>
    <row r="2" spans="1:12" x14ac:dyDescent="0.6">
      <c r="A2" s="80" t="s">
        <v>481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</row>
    <row r="4" spans="1:12" x14ac:dyDescent="0.6">
      <c r="A4" s="83" t="s">
        <v>482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7"/>
    </row>
    <row r="5" spans="1:12" ht="28.05" customHeight="1" x14ac:dyDescent="0.6">
      <c r="A5" s="9" t="s">
        <v>151</v>
      </c>
      <c r="B5" s="9" t="s">
        <v>483</v>
      </c>
      <c r="C5" s="9" t="s">
        <v>484</v>
      </c>
      <c r="D5" s="9" t="s">
        <v>485</v>
      </c>
      <c r="E5" s="9" t="s">
        <v>336</v>
      </c>
      <c r="F5" s="9" t="s">
        <v>486</v>
      </c>
      <c r="G5" s="9" t="s">
        <v>487</v>
      </c>
      <c r="H5" s="9" t="s">
        <v>488</v>
      </c>
    </row>
    <row r="6" spans="1:12" ht="22.05" customHeight="1" x14ac:dyDescent="0.6">
      <c r="A6" s="19" t="s">
        <v>164</v>
      </c>
      <c r="B6" s="47">
        <f>'02_의사결정·종합결과'!B32</f>
        <v>58000000</v>
      </c>
      <c r="C6" s="47">
        <f>'02_의사결정·종합결과'!C32</f>
        <v>69000000</v>
      </c>
      <c r="D6" s="47">
        <f>'02_의사결정·종합결과'!D32</f>
        <v>80000000</v>
      </c>
      <c r="E6" s="24">
        <f t="shared" ref="E6:E12" si="0">(D6-B6)/B6</f>
        <v>0.37931034482758619</v>
      </c>
      <c r="F6" s="13">
        <f>COUNTIF('09_보상연계'!$F$6:$F$39,A6)</f>
        <v>6</v>
      </c>
      <c r="G6" s="13">
        <f>SUMPRODUCT(('09_보상연계'!$F$6:$F$39=A6)*('09_보상연계'!$P$6:$P$39&gt;=B6)*('09_보상연계'!$P$6:$P$39&lt;=D6))</f>
        <v>6</v>
      </c>
      <c r="H6" s="14">
        <f t="shared" ref="H6:H12" si="1">F6-G6</f>
        <v>0</v>
      </c>
    </row>
    <row r="7" spans="1:12" ht="22.05" customHeight="1" x14ac:dyDescent="0.6">
      <c r="A7" s="19" t="s">
        <v>198</v>
      </c>
      <c r="B7" s="47">
        <f>'02_의사결정·종합결과'!B33</f>
        <v>53000000</v>
      </c>
      <c r="C7" s="47">
        <f>'02_의사결정·종합결과'!C33</f>
        <v>63000000</v>
      </c>
      <c r="D7" s="47">
        <f>'02_의사결정·종합결과'!D33</f>
        <v>73000000</v>
      </c>
      <c r="E7" s="24">
        <f t="shared" si="0"/>
        <v>0.37735849056603776</v>
      </c>
      <c r="F7" s="13">
        <f>COUNTIF('09_보상연계'!$F$6:$F$39,A7)</f>
        <v>4</v>
      </c>
      <c r="G7" s="13">
        <f>SUMPRODUCT(('09_보상연계'!$F$6:$F$39=A7)*('09_보상연계'!$P$6:$P$39&gt;=B7)*('09_보상연계'!$P$6:$P$39&lt;=D7))</f>
        <v>4</v>
      </c>
      <c r="H7" s="14">
        <f t="shared" si="1"/>
        <v>0</v>
      </c>
    </row>
    <row r="8" spans="1:12" ht="22.05" customHeight="1" x14ac:dyDescent="0.6">
      <c r="A8" s="19" t="s">
        <v>209</v>
      </c>
      <c r="B8" s="47">
        <f>'02_의사결정·종합결과'!B34</f>
        <v>53000000</v>
      </c>
      <c r="C8" s="47">
        <f>'02_의사결정·종합결과'!C34</f>
        <v>63000000</v>
      </c>
      <c r="D8" s="47">
        <f>'02_의사결정·종합결과'!D34</f>
        <v>73000000</v>
      </c>
      <c r="E8" s="24">
        <f t="shared" si="0"/>
        <v>0.37735849056603776</v>
      </c>
      <c r="F8" s="13">
        <f>COUNTIF('09_보상연계'!$F$6:$F$39,A8)</f>
        <v>6</v>
      </c>
      <c r="G8" s="13">
        <f>SUMPRODUCT(('09_보상연계'!$F$6:$F$39=A8)*('09_보상연계'!$P$6:$P$39&gt;=B8)*('09_보상연계'!$P$6:$P$39&lt;=D8))</f>
        <v>6</v>
      </c>
      <c r="H8" s="14">
        <f t="shared" si="1"/>
        <v>0</v>
      </c>
    </row>
    <row r="9" spans="1:12" ht="22.05" customHeight="1" x14ac:dyDescent="0.6">
      <c r="A9" s="19" t="s">
        <v>234</v>
      </c>
      <c r="B9" s="47">
        <f>'02_의사결정·종합결과'!B35</f>
        <v>49000000</v>
      </c>
      <c r="C9" s="47">
        <f>'02_의사결정·종합결과'!C35</f>
        <v>57500000</v>
      </c>
      <c r="D9" s="47">
        <f>'02_의사결정·종합결과'!D35</f>
        <v>66000000</v>
      </c>
      <c r="E9" s="24">
        <f t="shared" si="0"/>
        <v>0.34693877551020408</v>
      </c>
      <c r="F9" s="13">
        <f>COUNTIF('09_보상연계'!$F$6:$F$39,A9)</f>
        <v>2</v>
      </c>
      <c r="G9" s="13">
        <f>SUMPRODUCT(('09_보상연계'!$F$6:$F$39=A9)*('09_보상연계'!$P$6:$P$39&gt;=B9)*('09_보상연계'!$P$6:$P$39&lt;=D9))</f>
        <v>2</v>
      </c>
      <c r="H9" s="14">
        <f t="shared" si="1"/>
        <v>0</v>
      </c>
    </row>
    <row r="10" spans="1:12" ht="22.05" customHeight="1" x14ac:dyDescent="0.6">
      <c r="A10" s="19" t="s">
        <v>241</v>
      </c>
      <c r="B10" s="47">
        <f>'02_의사결정·종합결과'!B36</f>
        <v>42000000</v>
      </c>
      <c r="C10" s="47">
        <f>'02_의사결정·종합결과'!C36</f>
        <v>49500000</v>
      </c>
      <c r="D10" s="47">
        <f>'02_의사결정·종합결과'!D36</f>
        <v>57000000</v>
      </c>
      <c r="E10" s="24">
        <f t="shared" si="0"/>
        <v>0.35714285714285715</v>
      </c>
      <c r="F10" s="13">
        <f>COUNTIF('09_보상연계'!$F$6:$F$39,A10)</f>
        <v>2</v>
      </c>
      <c r="G10" s="13">
        <f>SUMPRODUCT(('09_보상연계'!$F$6:$F$39=A10)*('09_보상연계'!$P$6:$P$39&gt;=B10)*('09_보상연계'!$P$6:$P$39&lt;=D10))</f>
        <v>2</v>
      </c>
      <c r="H10" s="14">
        <f t="shared" si="1"/>
        <v>0</v>
      </c>
    </row>
    <row r="11" spans="1:12" ht="22.05" customHeight="1" x14ac:dyDescent="0.6">
      <c r="A11" s="19" t="s">
        <v>249</v>
      </c>
      <c r="B11" s="47">
        <f>'02_의사결정·종합결과'!B37</f>
        <v>36000000</v>
      </c>
      <c r="C11" s="47">
        <f>'02_의사결정·종합결과'!C37</f>
        <v>42500000</v>
      </c>
      <c r="D11" s="47">
        <f>'02_의사결정·종합결과'!D37</f>
        <v>49000000</v>
      </c>
      <c r="E11" s="24">
        <f t="shared" si="0"/>
        <v>0.3611111111111111</v>
      </c>
      <c r="F11" s="13">
        <f>COUNTIF('09_보상연계'!$F$6:$F$39,A11)</f>
        <v>6</v>
      </c>
      <c r="G11" s="13">
        <f>SUMPRODUCT(('09_보상연계'!$F$6:$F$39=A11)*('09_보상연계'!$P$6:$P$39&gt;=B11)*('09_보상연계'!$P$6:$P$39&lt;=D11))</f>
        <v>5</v>
      </c>
      <c r="H11" s="14">
        <f t="shared" si="1"/>
        <v>1</v>
      </c>
    </row>
    <row r="12" spans="1:12" ht="22.05" customHeight="1" x14ac:dyDescent="0.6">
      <c r="A12" s="19" t="s">
        <v>266</v>
      </c>
      <c r="B12" s="47">
        <f>'02_의사결정·종합결과'!B38</f>
        <v>33000000</v>
      </c>
      <c r="C12" s="47">
        <f>'02_의사결정·종합결과'!C38</f>
        <v>38500000</v>
      </c>
      <c r="D12" s="47">
        <f>'02_의사결정·종합결과'!D38</f>
        <v>44000000</v>
      </c>
      <c r="E12" s="24">
        <f t="shared" si="0"/>
        <v>0.33333333333333331</v>
      </c>
      <c r="F12" s="13">
        <f>COUNTIF('09_보상연계'!$F$6:$F$39,A12)</f>
        <v>8</v>
      </c>
      <c r="G12" s="13">
        <f>SUMPRODUCT(('09_보상연계'!$F$6:$F$39=A12)*('09_보상연계'!$P$6:$P$39&gt;=B12)*('09_보상연계'!$P$6:$P$39&lt;=D12))</f>
        <v>5</v>
      </c>
      <c r="H12" s="14">
        <f t="shared" si="1"/>
        <v>3</v>
      </c>
    </row>
    <row r="14" spans="1:12" x14ac:dyDescent="0.6">
      <c r="A14" s="83" t="s">
        <v>489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ht="28.05" customHeight="1" x14ac:dyDescent="0.6">
      <c r="A15" s="15" t="s">
        <v>144</v>
      </c>
      <c r="B15" s="15" t="s">
        <v>145</v>
      </c>
      <c r="C15" s="15" t="s">
        <v>146</v>
      </c>
      <c r="D15" s="15" t="s">
        <v>151</v>
      </c>
      <c r="E15" s="15" t="s">
        <v>490</v>
      </c>
      <c r="F15" s="15" t="s">
        <v>491</v>
      </c>
      <c r="G15" s="15" t="s">
        <v>492</v>
      </c>
      <c r="H15" s="15" t="s">
        <v>493</v>
      </c>
      <c r="I15" s="15" t="s">
        <v>494</v>
      </c>
    </row>
    <row r="16" spans="1:12" ht="22.05" customHeight="1" x14ac:dyDescent="0.6">
      <c r="A16" s="25">
        <f>'09_보상연계'!A6</f>
        <v>1</v>
      </c>
      <c r="B16" s="25" t="str">
        <f>'09_보상연계'!B6</f>
        <v>BSS-001</v>
      </c>
      <c r="C16" s="5" t="str">
        <f>'09_보상연계'!C6</f>
        <v>이화형</v>
      </c>
      <c r="D16" s="11" t="str">
        <f>'09_보상연계'!F6</f>
        <v>G6</v>
      </c>
      <c r="E16" s="47">
        <f>'09_보상연계'!P6</f>
        <v>73950000</v>
      </c>
      <c r="F16" s="47">
        <f>'09_보상연계'!M6</f>
        <v>58000000</v>
      </c>
      <c r="G16" s="47">
        <f>'09_보상연계'!N6</f>
        <v>80000000</v>
      </c>
      <c r="H16" s="14" t="str">
        <f t="shared" ref="H16:H49" si="2">IF(E16="","",IF(E16&lt;F16,"⬇ Min 미달",IF(E16&gt;G16,"⬆ Max 초과","✓ 범위 내")))</f>
        <v>✓ 범위 내</v>
      </c>
      <c r="I16" s="53">
        <f t="shared" ref="I16:I49" si="3">IF(E16="","",IF(E16&lt;F16,F16-E16,IF(E16&gt;G16,E16-G16,0)))</f>
        <v>0</v>
      </c>
    </row>
    <row r="17" spans="1:9" ht="22.05" customHeight="1" x14ac:dyDescent="0.6">
      <c r="A17" s="25">
        <f>'09_보상연계'!A7</f>
        <v>2</v>
      </c>
      <c r="B17" s="25" t="str">
        <f>'09_보상연계'!B7</f>
        <v>BSS-002</v>
      </c>
      <c r="C17" s="5" t="str">
        <f>'09_보상연계'!C7</f>
        <v>강전용</v>
      </c>
      <c r="D17" s="11" t="str">
        <f>'09_보상연계'!F7</f>
        <v>G6</v>
      </c>
      <c r="E17" s="47">
        <f>'09_보상연계'!P7</f>
        <v>70250000</v>
      </c>
      <c r="F17" s="47">
        <f>'09_보상연계'!M7</f>
        <v>58000000</v>
      </c>
      <c r="G17" s="47">
        <f>'09_보상연계'!N7</f>
        <v>80000000</v>
      </c>
      <c r="H17" s="14" t="str">
        <f t="shared" si="2"/>
        <v>✓ 범위 내</v>
      </c>
      <c r="I17" s="53">
        <f t="shared" si="3"/>
        <v>0</v>
      </c>
    </row>
    <row r="18" spans="1:9" ht="22.05" customHeight="1" x14ac:dyDescent="0.6">
      <c r="A18" s="25">
        <f>'09_보상연계'!A8</f>
        <v>3</v>
      </c>
      <c r="B18" s="25" t="str">
        <f>'09_보상연계'!B8</f>
        <v>BSS-003</v>
      </c>
      <c r="C18" s="5" t="str">
        <f>'09_보상연계'!C8</f>
        <v>김현민</v>
      </c>
      <c r="D18" s="11" t="str">
        <f>'09_보상연계'!F8</f>
        <v>G6</v>
      </c>
      <c r="E18" s="47">
        <f>'09_보상연계'!P8</f>
        <v>68850000</v>
      </c>
      <c r="F18" s="47">
        <f>'09_보상연계'!M8</f>
        <v>58000000</v>
      </c>
      <c r="G18" s="47">
        <f>'09_보상연계'!N8</f>
        <v>80000000</v>
      </c>
      <c r="H18" s="14" t="str">
        <f t="shared" si="2"/>
        <v>✓ 범위 내</v>
      </c>
      <c r="I18" s="53">
        <f t="shared" si="3"/>
        <v>0</v>
      </c>
    </row>
    <row r="19" spans="1:9" ht="22.05" customHeight="1" x14ac:dyDescent="0.6">
      <c r="A19" s="25">
        <f>'09_보상연계'!A9</f>
        <v>4</v>
      </c>
      <c r="B19" s="25" t="str">
        <f>'09_보상연계'!B9</f>
        <v>BSS-004</v>
      </c>
      <c r="C19" s="5" t="str">
        <f>'09_보상연계'!C9</f>
        <v>이일곤</v>
      </c>
      <c r="D19" s="11" t="str">
        <f>'09_보상연계'!F9</f>
        <v>G6</v>
      </c>
      <c r="E19" s="47">
        <f>'09_보상연계'!P9</f>
        <v>65820000</v>
      </c>
      <c r="F19" s="47">
        <f>'09_보상연계'!M9</f>
        <v>58000000</v>
      </c>
      <c r="G19" s="47">
        <f>'09_보상연계'!N9</f>
        <v>80000000</v>
      </c>
      <c r="H19" s="14" t="str">
        <f t="shared" si="2"/>
        <v>✓ 범위 내</v>
      </c>
      <c r="I19" s="53">
        <f t="shared" si="3"/>
        <v>0</v>
      </c>
    </row>
    <row r="20" spans="1:9" ht="22.05" customHeight="1" x14ac:dyDescent="0.6">
      <c r="A20" s="25">
        <f>'09_보상연계'!A10</f>
        <v>5</v>
      </c>
      <c r="B20" s="25" t="str">
        <f>'09_보상연계'!B10</f>
        <v>BSS-005</v>
      </c>
      <c r="C20" s="5" t="str">
        <f>'09_보상연계'!C10</f>
        <v>송헌영</v>
      </c>
      <c r="D20" s="11" t="str">
        <f>'09_보상연계'!F10</f>
        <v>G6</v>
      </c>
      <c r="E20" s="47">
        <f>'09_보상연계'!P10</f>
        <v>66480000</v>
      </c>
      <c r="F20" s="47">
        <f>'09_보상연계'!M10</f>
        <v>58000000</v>
      </c>
      <c r="G20" s="47">
        <f>'09_보상연계'!N10</f>
        <v>80000000</v>
      </c>
      <c r="H20" s="14" t="str">
        <f t="shared" si="2"/>
        <v>✓ 범위 내</v>
      </c>
      <c r="I20" s="53">
        <f t="shared" si="3"/>
        <v>0</v>
      </c>
    </row>
    <row r="21" spans="1:9" ht="22.05" customHeight="1" x14ac:dyDescent="0.6">
      <c r="A21" s="25">
        <f>'09_보상연계'!A11</f>
        <v>6</v>
      </c>
      <c r="B21" s="25" t="str">
        <f>'09_보상연계'!B11</f>
        <v>BSS-006</v>
      </c>
      <c r="C21" s="5" t="str">
        <f>'09_보상연계'!C11</f>
        <v>이재용</v>
      </c>
      <c r="D21" s="11" t="str">
        <f>'09_보상연계'!F11</f>
        <v>G6</v>
      </c>
      <c r="E21" s="47">
        <f>'09_보상연계'!P11</f>
        <v>63240000</v>
      </c>
      <c r="F21" s="47">
        <f>'09_보상연계'!M11</f>
        <v>58000000</v>
      </c>
      <c r="G21" s="47">
        <f>'09_보상연계'!N11</f>
        <v>80000000</v>
      </c>
      <c r="H21" s="14" t="str">
        <f t="shared" si="2"/>
        <v>✓ 범위 내</v>
      </c>
      <c r="I21" s="53">
        <f t="shared" si="3"/>
        <v>0</v>
      </c>
    </row>
    <row r="22" spans="1:9" ht="22.05" customHeight="1" x14ac:dyDescent="0.6">
      <c r="A22" s="25">
        <f>'09_보상연계'!A12</f>
        <v>7</v>
      </c>
      <c r="B22" s="25" t="str">
        <f>'09_보상연계'!B12</f>
        <v>BSS-007</v>
      </c>
      <c r="C22" s="5" t="str">
        <f>'09_보상연계'!C12</f>
        <v>이진행</v>
      </c>
      <c r="D22" s="11" t="str">
        <f>'09_보상연계'!F12</f>
        <v>G5-M</v>
      </c>
      <c r="E22" s="47">
        <f>'09_보상연계'!P12</f>
        <v>60890000</v>
      </c>
      <c r="F22" s="47">
        <f>'09_보상연계'!M12</f>
        <v>53000000</v>
      </c>
      <c r="G22" s="47">
        <f>'09_보상연계'!N12</f>
        <v>73000000</v>
      </c>
      <c r="H22" s="14" t="str">
        <f t="shared" si="2"/>
        <v>✓ 범위 내</v>
      </c>
      <c r="I22" s="53">
        <f t="shared" si="3"/>
        <v>0</v>
      </c>
    </row>
    <row r="23" spans="1:9" ht="22.05" customHeight="1" x14ac:dyDescent="0.6">
      <c r="A23" s="25">
        <f>'09_보상연계'!A13</f>
        <v>8</v>
      </c>
      <c r="B23" s="25" t="str">
        <f>'09_보상연계'!B13</f>
        <v>BSS-008</v>
      </c>
      <c r="C23" s="5" t="str">
        <f>'09_보상연계'!C13</f>
        <v>김민수</v>
      </c>
      <c r="D23" s="11" t="str">
        <f>'09_보상연계'!F13</f>
        <v>G5-M</v>
      </c>
      <c r="E23" s="47">
        <f>'09_보상연계'!P13</f>
        <v>60230000</v>
      </c>
      <c r="F23" s="47">
        <f>'09_보상연계'!M13</f>
        <v>53000000</v>
      </c>
      <c r="G23" s="47">
        <f>'09_보상연계'!N13</f>
        <v>73000000</v>
      </c>
      <c r="H23" s="14" t="str">
        <f t="shared" si="2"/>
        <v>✓ 범위 내</v>
      </c>
      <c r="I23" s="53">
        <f t="shared" si="3"/>
        <v>0</v>
      </c>
    </row>
    <row r="24" spans="1:9" ht="22.05" customHeight="1" x14ac:dyDescent="0.6">
      <c r="A24" s="25">
        <f>'09_보상연계'!A14</f>
        <v>9</v>
      </c>
      <c r="B24" s="25" t="str">
        <f>'09_보상연계'!B14</f>
        <v>BSS-009</v>
      </c>
      <c r="C24" s="5" t="str">
        <f>'09_보상연계'!C14</f>
        <v>박남식</v>
      </c>
      <c r="D24" s="11" t="str">
        <f>'09_보상연계'!F14</f>
        <v>G5-M</v>
      </c>
      <c r="E24" s="47">
        <f>'09_보상연계'!P14</f>
        <v>60230000</v>
      </c>
      <c r="F24" s="47">
        <f>'09_보상연계'!M14</f>
        <v>53000000</v>
      </c>
      <c r="G24" s="47">
        <f>'09_보상연계'!N14</f>
        <v>73000000</v>
      </c>
      <c r="H24" s="14" t="str">
        <f t="shared" si="2"/>
        <v>✓ 범위 내</v>
      </c>
      <c r="I24" s="53">
        <f t="shared" si="3"/>
        <v>0</v>
      </c>
    </row>
    <row r="25" spans="1:9" ht="22.05" customHeight="1" x14ac:dyDescent="0.6">
      <c r="A25" s="25">
        <f>'09_보상연계'!A15</f>
        <v>10</v>
      </c>
      <c r="B25" s="25" t="str">
        <f>'09_보상연계'!B15</f>
        <v>BSS-010</v>
      </c>
      <c r="C25" s="5" t="str">
        <f>'09_보상연계'!C15</f>
        <v>신재민</v>
      </c>
      <c r="D25" s="11" t="str">
        <f>'09_보상연계'!F15</f>
        <v>G5-S</v>
      </c>
      <c r="E25" s="47">
        <f>'09_보상연계'!P15</f>
        <v>60230000</v>
      </c>
      <c r="F25" s="47">
        <f>'09_보상연계'!M15</f>
        <v>53000000</v>
      </c>
      <c r="G25" s="47">
        <f>'09_보상연계'!N15</f>
        <v>73000000</v>
      </c>
      <c r="H25" s="14" t="str">
        <f t="shared" si="2"/>
        <v>✓ 범위 내</v>
      </c>
      <c r="I25" s="53">
        <f t="shared" si="3"/>
        <v>0</v>
      </c>
    </row>
    <row r="26" spans="1:9" ht="22.05" customHeight="1" x14ac:dyDescent="0.6">
      <c r="A26" s="25">
        <f>'09_보상연계'!A16</f>
        <v>11</v>
      </c>
      <c r="B26" s="25" t="str">
        <f>'09_보상연계'!B16</f>
        <v>BSS-011</v>
      </c>
      <c r="C26" s="5" t="str">
        <f>'09_보상연계'!C16</f>
        <v>마장엽</v>
      </c>
      <c r="D26" s="11" t="str">
        <f>'09_보상연계'!F16</f>
        <v>G5-S</v>
      </c>
      <c r="E26" s="47">
        <f>'09_보상연계'!P16</f>
        <v>58920000</v>
      </c>
      <c r="F26" s="47">
        <f>'09_보상연계'!M16</f>
        <v>53000000</v>
      </c>
      <c r="G26" s="47">
        <f>'09_보상연계'!N16</f>
        <v>73000000</v>
      </c>
      <c r="H26" s="14" t="str">
        <f t="shared" si="2"/>
        <v>✓ 범위 내</v>
      </c>
      <c r="I26" s="53">
        <f t="shared" si="3"/>
        <v>0</v>
      </c>
    </row>
    <row r="27" spans="1:9" ht="22.05" customHeight="1" x14ac:dyDescent="0.6">
      <c r="A27" s="25">
        <f>'09_보상연계'!A17</f>
        <v>12</v>
      </c>
      <c r="B27" s="25" t="str">
        <f>'09_보상연계'!B17</f>
        <v>BSS-012</v>
      </c>
      <c r="C27" s="5" t="str">
        <f>'09_보상연계'!C17</f>
        <v>하은주</v>
      </c>
      <c r="D27" s="11" t="str">
        <f>'09_보상연계'!F17</f>
        <v>G5-M</v>
      </c>
      <c r="E27" s="47">
        <f>'09_보상연계'!P17</f>
        <v>58920000</v>
      </c>
      <c r="F27" s="47">
        <f>'09_보상연계'!M17</f>
        <v>53000000</v>
      </c>
      <c r="G27" s="47">
        <f>'09_보상연계'!N17</f>
        <v>73000000</v>
      </c>
      <c r="H27" s="14" t="str">
        <f t="shared" si="2"/>
        <v>✓ 범위 내</v>
      </c>
      <c r="I27" s="53">
        <f t="shared" si="3"/>
        <v>0</v>
      </c>
    </row>
    <row r="28" spans="1:9" ht="22.05" customHeight="1" x14ac:dyDescent="0.6">
      <c r="A28" s="25">
        <f>'09_보상연계'!A18</f>
        <v>13</v>
      </c>
      <c r="B28" s="25" t="str">
        <f>'09_보상연계'!B18</f>
        <v>BSS-013</v>
      </c>
      <c r="C28" s="5" t="str">
        <f>'09_보상연계'!C18</f>
        <v>홍사훈</v>
      </c>
      <c r="D28" s="11" t="str">
        <f>'09_보상연계'!F18</f>
        <v>G5-S</v>
      </c>
      <c r="E28" s="47">
        <f>'09_보상연계'!P18</f>
        <v>59570000</v>
      </c>
      <c r="F28" s="47">
        <f>'09_보상연계'!M18</f>
        <v>53000000</v>
      </c>
      <c r="G28" s="47">
        <f>'09_보상연계'!N18</f>
        <v>73000000</v>
      </c>
      <c r="H28" s="14" t="str">
        <f t="shared" si="2"/>
        <v>✓ 범위 내</v>
      </c>
      <c r="I28" s="53">
        <f t="shared" si="3"/>
        <v>0</v>
      </c>
    </row>
    <row r="29" spans="1:9" ht="22.05" customHeight="1" x14ac:dyDescent="0.6">
      <c r="A29" s="25">
        <f>'09_보상연계'!A19</f>
        <v>14</v>
      </c>
      <c r="B29" s="25" t="str">
        <f>'09_보상연계'!B19</f>
        <v>BSS-014</v>
      </c>
      <c r="C29" s="5" t="str">
        <f>'09_보상연계'!C19</f>
        <v>유자영</v>
      </c>
      <c r="D29" s="11" t="str">
        <f>'09_보상연계'!F19</f>
        <v>G5-S</v>
      </c>
      <c r="E29" s="47">
        <f>'09_보상연계'!P19</f>
        <v>57630000</v>
      </c>
      <c r="F29" s="47">
        <f>'09_보상연계'!M19</f>
        <v>53000000</v>
      </c>
      <c r="G29" s="47">
        <f>'09_보상연계'!N19</f>
        <v>73000000</v>
      </c>
      <c r="H29" s="14" t="str">
        <f t="shared" si="2"/>
        <v>✓ 범위 내</v>
      </c>
      <c r="I29" s="53">
        <f t="shared" si="3"/>
        <v>0</v>
      </c>
    </row>
    <row r="30" spans="1:9" ht="22.05" customHeight="1" x14ac:dyDescent="0.6">
      <c r="A30" s="25">
        <f>'09_보상연계'!A20</f>
        <v>15</v>
      </c>
      <c r="B30" s="25" t="str">
        <f>'09_보상연계'!B20</f>
        <v>BSS-015</v>
      </c>
      <c r="C30" s="5" t="str">
        <f>'09_보상연계'!C20</f>
        <v>민지선</v>
      </c>
      <c r="D30" s="11" t="str">
        <f>'09_보상연계'!F20</f>
        <v>G5-S</v>
      </c>
      <c r="E30" s="47">
        <f>'09_보상연계'!P20</f>
        <v>54220000</v>
      </c>
      <c r="F30" s="47">
        <f>'09_보상연계'!M20</f>
        <v>53000000</v>
      </c>
      <c r="G30" s="47">
        <f>'09_보상연계'!N20</f>
        <v>73000000</v>
      </c>
      <c r="H30" s="14" t="str">
        <f t="shared" si="2"/>
        <v>✓ 범위 내</v>
      </c>
      <c r="I30" s="53">
        <f t="shared" si="3"/>
        <v>0</v>
      </c>
    </row>
    <row r="31" spans="1:9" ht="22.05" customHeight="1" x14ac:dyDescent="0.6">
      <c r="A31" s="25">
        <f>'09_보상연계'!A21</f>
        <v>16</v>
      </c>
      <c r="B31" s="25" t="str">
        <f>'09_보상연계'!B21</f>
        <v>BSS-016</v>
      </c>
      <c r="C31" s="5" t="str">
        <f>'09_보상연계'!C21</f>
        <v>장훈</v>
      </c>
      <c r="D31" s="11" t="str">
        <f>'09_보상연계'!F21</f>
        <v>G5-S</v>
      </c>
      <c r="E31" s="47">
        <f>'09_보상연계'!P21</f>
        <v>54830000</v>
      </c>
      <c r="F31" s="47">
        <f>'09_보상연계'!M21</f>
        <v>53000000</v>
      </c>
      <c r="G31" s="47">
        <f>'09_보상연계'!N21</f>
        <v>73000000</v>
      </c>
      <c r="H31" s="14" t="str">
        <f t="shared" si="2"/>
        <v>✓ 범위 내</v>
      </c>
      <c r="I31" s="53">
        <f t="shared" si="3"/>
        <v>0</v>
      </c>
    </row>
    <row r="32" spans="1:9" ht="22.05" customHeight="1" x14ac:dyDescent="0.6">
      <c r="A32" s="25">
        <f>'09_보상연계'!A22</f>
        <v>17</v>
      </c>
      <c r="B32" s="25" t="str">
        <f>'09_보상연계'!B22</f>
        <v>BSS-017</v>
      </c>
      <c r="C32" s="5" t="str">
        <f>'09_보상연계'!C22</f>
        <v>김우람</v>
      </c>
      <c r="D32" s="11" t="str">
        <f>'09_보상연계'!F22</f>
        <v>G4</v>
      </c>
      <c r="E32" s="47">
        <f>'09_보상연계'!P22</f>
        <v>50220000</v>
      </c>
      <c r="F32" s="47">
        <f>'09_보상연계'!M22</f>
        <v>49000000</v>
      </c>
      <c r="G32" s="47">
        <f>'09_보상연계'!N22</f>
        <v>66000000</v>
      </c>
      <c r="H32" s="14" t="str">
        <f t="shared" si="2"/>
        <v>✓ 범위 내</v>
      </c>
      <c r="I32" s="53">
        <f t="shared" si="3"/>
        <v>0</v>
      </c>
    </row>
    <row r="33" spans="1:9" ht="22.05" customHeight="1" x14ac:dyDescent="0.6">
      <c r="A33" s="25">
        <f>'09_보상연계'!A23</f>
        <v>18</v>
      </c>
      <c r="B33" s="25" t="str">
        <f>'09_보상연계'!B23</f>
        <v>BSS-018</v>
      </c>
      <c r="C33" s="5" t="str">
        <f>'09_보상연계'!C23</f>
        <v>조성준</v>
      </c>
      <c r="D33" s="11" t="str">
        <f>'09_보상연계'!F23</f>
        <v>G4</v>
      </c>
      <c r="E33" s="47">
        <f>'09_보상연계'!P23</f>
        <v>49620000</v>
      </c>
      <c r="F33" s="47">
        <f>'09_보상연계'!M23</f>
        <v>49000000</v>
      </c>
      <c r="G33" s="47">
        <f>'09_보상연계'!N23</f>
        <v>66000000</v>
      </c>
      <c r="H33" s="14" t="str">
        <f t="shared" si="2"/>
        <v>✓ 범위 내</v>
      </c>
      <c r="I33" s="53">
        <f t="shared" si="3"/>
        <v>0</v>
      </c>
    </row>
    <row r="34" spans="1:9" ht="22.05" customHeight="1" x14ac:dyDescent="0.6">
      <c r="A34" s="25">
        <f>'09_보상연계'!A24</f>
        <v>19</v>
      </c>
      <c r="B34" s="25" t="str">
        <f>'09_보상연계'!B24</f>
        <v>BSS-019</v>
      </c>
      <c r="C34" s="5" t="str">
        <f>'09_보상연계'!C24</f>
        <v>구서현</v>
      </c>
      <c r="D34" s="11" t="str">
        <f>'09_보상연계'!F24</f>
        <v>G3</v>
      </c>
      <c r="E34" s="47">
        <f>'09_보상연계'!P24</f>
        <v>48450000</v>
      </c>
      <c r="F34" s="47">
        <f>'09_보상연계'!M24</f>
        <v>42000000</v>
      </c>
      <c r="G34" s="47">
        <f>'09_보상연계'!N24</f>
        <v>57000000</v>
      </c>
      <c r="H34" s="14" t="str">
        <f t="shared" si="2"/>
        <v>✓ 범위 내</v>
      </c>
      <c r="I34" s="53">
        <f t="shared" si="3"/>
        <v>0</v>
      </c>
    </row>
    <row r="35" spans="1:9" ht="22.05" customHeight="1" x14ac:dyDescent="0.6">
      <c r="A35" s="25">
        <f>'09_보상연계'!A25</f>
        <v>20</v>
      </c>
      <c r="B35" s="25" t="str">
        <f>'09_보상연계'!B25</f>
        <v>BSS-020</v>
      </c>
      <c r="C35" s="5" t="str">
        <f>'09_보상연계'!C25</f>
        <v>박진용</v>
      </c>
      <c r="D35" s="11" t="str">
        <f>'09_보상연계'!F25</f>
        <v>G3</v>
      </c>
      <c r="E35" s="47">
        <f>'09_보상연계'!P25</f>
        <v>43920000</v>
      </c>
      <c r="F35" s="47">
        <f>'09_보상연계'!M25</f>
        <v>42000000</v>
      </c>
      <c r="G35" s="47">
        <f>'09_보상연계'!N25</f>
        <v>57000000</v>
      </c>
      <c r="H35" s="14" t="str">
        <f t="shared" si="2"/>
        <v>✓ 범위 내</v>
      </c>
      <c r="I35" s="53">
        <f t="shared" si="3"/>
        <v>0</v>
      </c>
    </row>
    <row r="36" spans="1:9" ht="22.05" customHeight="1" x14ac:dyDescent="0.6">
      <c r="A36" s="25">
        <f>'09_보상연계'!A26</f>
        <v>21</v>
      </c>
      <c r="B36" s="25" t="str">
        <f>'09_보상연계'!B26</f>
        <v>BSS-021</v>
      </c>
      <c r="C36" s="5" t="str">
        <f>'09_보상연계'!C26</f>
        <v>김가연</v>
      </c>
      <c r="D36" s="11" t="str">
        <f>'09_보상연계'!F26</f>
        <v>G2</v>
      </c>
      <c r="E36" s="47">
        <f>'09_보상연계'!P26</f>
        <v>43350000</v>
      </c>
      <c r="F36" s="47">
        <f>'09_보상연계'!M26</f>
        <v>36000000</v>
      </c>
      <c r="G36" s="47">
        <f>'09_보상연계'!N26</f>
        <v>49000000</v>
      </c>
      <c r="H36" s="14" t="str">
        <f t="shared" si="2"/>
        <v>✓ 범위 내</v>
      </c>
      <c r="I36" s="53">
        <f t="shared" si="3"/>
        <v>0</v>
      </c>
    </row>
    <row r="37" spans="1:9" ht="22.05" customHeight="1" x14ac:dyDescent="0.6">
      <c r="A37" s="25">
        <f>'09_보상연계'!A27</f>
        <v>22</v>
      </c>
      <c r="B37" s="25" t="str">
        <f>'09_보상연계'!B27</f>
        <v>BSS-022</v>
      </c>
      <c r="C37" s="5" t="str">
        <f>'09_보상연계'!C27</f>
        <v>한근수</v>
      </c>
      <c r="D37" s="11" t="str">
        <f>'09_보상연계'!F27</f>
        <v>G2</v>
      </c>
      <c r="E37" s="47">
        <f>'09_보상연계'!P27</f>
        <v>43350000</v>
      </c>
      <c r="F37" s="47">
        <f>'09_보상연계'!M27</f>
        <v>36000000</v>
      </c>
      <c r="G37" s="47">
        <f>'09_보상연계'!N27</f>
        <v>49000000</v>
      </c>
      <c r="H37" s="14" t="str">
        <f t="shared" si="2"/>
        <v>✓ 범위 내</v>
      </c>
      <c r="I37" s="53">
        <f t="shared" si="3"/>
        <v>0</v>
      </c>
    </row>
    <row r="38" spans="1:9" ht="22.05" customHeight="1" x14ac:dyDescent="0.6">
      <c r="A38" s="25">
        <f>'09_보상연계'!A28</f>
        <v>23</v>
      </c>
      <c r="B38" s="25" t="str">
        <f>'09_보상연계'!B28</f>
        <v>BSS-023</v>
      </c>
      <c r="C38" s="5" t="str">
        <f>'09_보상연계'!C28</f>
        <v>김성민</v>
      </c>
      <c r="D38" s="11" t="str">
        <f>'09_보상연계'!F28</f>
        <v>G2</v>
      </c>
      <c r="E38" s="47">
        <f>'09_보상연계'!P28</f>
        <v>43350000</v>
      </c>
      <c r="F38" s="47">
        <f>'09_보상연계'!M28</f>
        <v>36000000</v>
      </c>
      <c r="G38" s="47">
        <f>'09_보상연계'!N28</f>
        <v>49000000</v>
      </c>
      <c r="H38" s="14" t="str">
        <f t="shared" si="2"/>
        <v>✓ 범위 내</v>
      </c>
      <c r="I38" s="53">
        <f t="shared" si="3"/>
        <v>0</v>
      </c>
    </row>
    <row r="39" spans="1:9" ht="22.05" customHeight="1" x14ac:dyDescent="0.6">
      <c r="A39" s="25">
        <f>'09_보상연계'!A29</f>
        <v>24</v>
      </c>
      <c r="B39" s="25" t="str">
        <f>'09_보상연계'!B29</f>
        <v>BSS-024</v>
      </c>
      <c r="C39" s="5" t="str">
        <f>'09_보상연계'!C29</f>
        <v>고광우</v>
      </c>
      <c r="D39" s="11" t="str">
        <f>'09_보상연계'!F29</f>
        <v>G2</v>
      </c>
      <c r="E39" s="47">
        <f>'09_보상연계'!P29</f>
        <v>43350000</v>
      </c>
      <c r="F39" s="47">
        <f>'09_보상연계'!M29</f>
        <v>36000000</v>
      </c>
      <c r="G39" s="47">
        <f>'09_보상연계'!N29</f>
        <v>49000000</v>
      </c>
      <c r="H39" s="14" t="str">
        <f t="shared" si="2"/>
        <v>✓ 범위 내</v>
      </c>
      <c r="I39" s="53">
        <f t="shared" si="3"/>
        <v>0</v>
      </c>
    </row>
    <row r="40" spans="1:9" ht="22.05" customHeight="1" x14ac:dyDescent="0.6">
      <c r="A40" s="25">
        <f>'09_보상연계'!A30</f>
        <v>25</v>
      </c>
      <c r="B40" s="25" t="str">
        <f>'09_보상연계'!B30</f>
        <v>BSS-025</v>
      </c>
      <c r="C40" s="5" t="str">
        <f>'09_보상연계'!C30</f>
        <v>김성수</v>
      </c>
      <c r="D40" s="11" t="str">
        <f>'09_보상연계'!F30</f>
        <v>G2</v>
      </c>
      <c r="E40" s="47">
        <f>'09_보상연계'!P30</f>
        <v>43350000</v>
      </c>
      <c r="F40" s="47">
        <f>'09_보상연계'!M30</f>
        <v>36000000</v>
      </c>
      <c r="G40" s="47">
        <f>'09_보상연계'!N30</f>
        <v>49000000</v>
      </c>
      <c r="H40" s="14" t="str">
        <f t="shared" si="2"/>
        <v>✓ 범위 내</v>
      </c>
      <c r="I40" s="53">
        <f t="shared" si="3"/>
        <v>0</v>
      </c>
    </row>
    <row r="41" spans="1:9" ht="22.05" customHeight="1" x14ac:dyDescent="0.6">
      <c r="A41" s="25">
        <f>'09_보상연계'!A31</f>
        <v>26</v>
      </c>
      <c r="B41" s="25" t="str">
        <f>'09_보상연계'!B31</f>
        <v>BSS-026</v>
      </c>
      <c r="C41" s="5" t="str">
        <f>'09_보상연계'!C31</f>
        <v>박진희</v>
      </c>
      <c r="D41" s="11" t="str">
        <f>'09_보상연계'!F31</f>
        <v>G1</v>
      </c>
      <c r="E41" s="47">
        <f>'09_보상연계'!P31</f>
        <v>35630000</v>
      </c>
      <c r="F41" s="47">
        <f>'09_보상연계'!M31</f>
        <v>33000000</v>
      </c>
      <c r="G41" s="47">
        <f>'09_보상연계'!N31</f>
        <v>44000000</v>
      </c>
      <c r="H41" s="14" t="str">
        <f t="shared" si="2"/>
        <v>✓ 범위 내</v>
      </c>
      <c r="I41" s="53">
        <f t="shared" si="3"/>
        <v>0</v>
      </c>
    </row>
    <row r="42" spans="1:9" ht="22.05" customHeight="1" x14ac:dyDescent="0.6">
      <c r="A42" s="25">
        <f>'09_보상연계'!A32</f>
        <v>27</v>
      </c>
      <c r="B42" s="25" t="str">
        <f>'09_보상연계'!B32</f>
        <v>BSS-027</v>
      </c>
      <c r="C42" s="5" t="str">
        <f>'09_보상연계'!C32</f>
        <v>장은한</v>
      </c>
      <c r="D42" s="11" t="str">
        <f>'09_보상연계'!F32</f>
        <v>G2</v>
      </c>
      <c r="E42" s="47">
        <f>'09_보상연계'!P32</f>
        <v>35700000</v>
      </c>
      <c r="F42" s="47">
        <f>'09_보상연계'!M32</f>
        <v>36000000</v>
      </c>
      <c r="G42" s="47">
        <f>'09_보상연계'!N32</f>
        <v>49000000</v>
      </c>
      <c r="H42" s="14" t="str">
        <f t="shared" si="2"/>
        <v>⬇ Min 미달</v>
      </c>
      <c r="I42" s="53">
        <f t="shared" si="3"/>
        <v>300000</v>
      </c>
    </row>
    <row r="43" spans="1:9" ht="22.05" customHeight="1" x14ac:dyDescent="0.6">
      <c r="A43" s="25">
        <f>'09_보상연계'!A33</f>
        <v>28</v>
      </c>
      <c r="B43" s="25" t="str">
        <f>'09_보상연계'!B33</f>
        <v>BSS-028</v>
      </c>
      <c r="C43" s="5" t="str">
        <f>'09_보상연계'!C33</f>
        <v>김현수</v>
      </c>
      <c r="D43" s="11" t="str">
        <f>'09_보상연계'!F33</f>
        <v>G1</v>
      </c>
      <c r="E43" s="47">
        <f>'09_보상연계'!P33</f>
        <v>36720000</v>
      </c>
      <c r="F43" s="47">
        <f>'09_보상연계'!M33</f>
        <v>33000000</v>
      </c>
      <c r="G43" s="47">
        <f>'09_보상연계'!N33</f>
        <v>44000000</v>
      </c>
      <c r="H43" s="14" t="str">
        <f t="shared" si="2"/>
        <v>✓ 범위 내</v>
      </c>
      <c r="I43" s="53">
        <f t="shared" si="3"/>
        <v>0</v>
      </c>
    </row>
    <row r="44" spans="1:9" ht="22.05" customHeight="1" x14ac:dyDescent="0.6">
      <c r="A44" s="25">
        <f>'09_보상연계'!A34</f>
        <v>29</v>
      </c>
      <c r="B44" s="25" t="str">
        <f>'09_보상연계'!B34</f>
        <v>BSS-029</v>
      </c>
      <c r="C44" s="5" t="str">
        <f>'09_보상연계'!C34</f>
        <v>콜셍홍</v>
      </c>
      <c r="D44" s="11" t="str">
        <f>'09_보상연계'!F34</f>
        <v>G1</v>
      </c>
      <c r="E44" s="47">
        <f>'09_보상연계'!P34</f>
        <v>36720000</v>
      </c>
      <c r="F44" s="47">
        <f>'09_보상연계'!M34</f>
        <v>33000000</v>
      </c>
      <c r="G44" s="47">
        <f>'09_보상연계'!N34</f>
        <v>44000000</v>
      </c>
      <c r="H44" s="14" t="str">
        <f t="shared" si="2"/>
        <v>✓ 범위 내</v>
      </c>
      <c r="I44" s="53">
        <f t="shared" si="3"/>
        <v>0</v>
      </c>
    </row>
    <row r="45" spans="1:9" ht="22.05" customHeight="1" x14ac:dyDescent="0.6">
      <c r="A45" s="25">
        <f>'09_보상연계'!A35</f>
        <v>30</v>
      </c>
      <c r="B45" s="25" t="str">
        <f>'09_보상연계'!B35</f>
        <v>BSS-030</v>
      </c>
      <c r="C45" s="5" t="str">
        <f>'09_보상연계'!C35</f>
        <v>안성진</v>
      </c>
      <c r="D45" s="11" t="str">
        <f>'09_보상연계'!F35</f>
        <v>G1</v>
      </c>
      <c r="E45" s="47">
        <f>'09_보상연계'!P35</f>
        <v>37270000</v>
      </c>
      <c r="F45" s="47">
        <f>'09_보상연계'!M35</f>
        <v>33000000</v>
      </c>
      <c r="G45" s="47">
        <f>'09_보상연계'!N35</f>
        <v>44000000</v>
      </c>
      <c r="H45" s="14" t="str">
        <f t="shared" si="2"/>
        <v>✓ 범위 내</v>
      </c>
      <c r="I45" s="53">
        <f t="shared" si="3"/>
        <v>0</v>
      </c>
    </row>
    <row r="46" spans="1:9" ht="22.05" customHeight="1" x14ac:dyDescent="0.6">
      <c r="A46" s="25">
        <f>'09_보상연계'!A36</f>
        <v>31</v>
      </c>
      <c r="B46" s="25" t="str">
        <f>'09_보상연계'!B36</f>
        <v>BSS-031</v>
      </c>
      <c r="C46" s="5" t="str">
        <f>'09_보상연계'!C36</f>
        <v>이정일</v>
      </c>
      <c r="D46" s="11" t="str">
        <f>'09_보상연계'!F36</f>
        <v>G1</v>
      </c>
      <c r="E46" s="47">
        <f>'09_보상연계'!P36</f>
        <v>37830000</v>
      </c>
      <c r="F46" s="47">
        <f>'09_보상연계'!M36</f>
        <v>33000000</v>
      </c>
      <c r="G46" s="47">
        <f>'09_보상연계'!N36</f>
        <v>44000000</v>
      </c>
      <c r="H46" s="14" t="str">
        <f t="shared" si="2"/>
        <v>✓ 범위 내</v>
      </c>
      <c r="I46" s="53">
        <f t="shared" si="3"/>
        <v>0</v>
      </c>
    </row>
    <row r="47" spans="1:9" ht="22.05" customHeight="1" x14ac:dyDescent="0.6">
      <c r="A47" s="25">
        <f>'09_보상연계'!A37</f>
        <v>32</v>
      </c>
      <c r="B47" s="25" t="str">
        <f>'09_보상연계'!B37</f>
        <v>BSS-032</v>
      </c>
      <c r="C47" s="5" t="str">
        <f>'09_보상연계'!C37</f>
        <v>안재성</v>
      </c>
      <c r="D47" s="11" t="str">
        <f>'09_보상연계'!F37</f>
        <v>G1</v>
      </c>
      <c r="E47" s="47">
        <f>'09_보상연계'!P37</f>
        <v>32640000</v>
      </c>
      <c r="F47" s="47">
        <f>'09_보상연계'!M37</f>
        <v>33000000</v>
      </c>
      <c r="G47" s="47">
        <f>'09_보상연계'!N37</f>
        <v>44000000</v>
      </c>
      <c r="H47" s="14" t="str">
        <f t="shared" si="2"/>
        <v>⬇ Min 미달</v>
      </c>
      <c r="I47" s="53">
        <f t="shared" si="3"/>
        <v>360000</v>
      </c>
    </row>
    <row r="48" spans="1:9" ht="22.05" customHeight="1" x14ac:dyDescent="0.6">
      <c r="A48" s="25">
        <f>'09_보상연계'!A38</f>
        <v>33</v>
      </c>
      <c r="B48" s="25" t="str">
        <f>'09_보상연계'!B38</f>
        <v>BSS-033</v>
      </c>
      <c r="C48" s="5" t="str">
        <f>'09_보상연계'!C38</f>
        <v>유태석</v>
      </c>
      <c r="D48" s="11" t="str">
        <f>'09_보상연계'!F38</f>
        <v>G1</v>
      </c>
      <c r="E48" s="47">
        <f>'09_보상연계'!P38</f>
        <v>32640000</v>
      </c>
      <c r="F48" s="47">
        <f>'09_보상연계'!M38</f>
        <v>33000000</v>
      </c>
      <c r="G48" s="47">
        <f>'09_보상연계'!N38</f>
        <v>44000000</v>
      </c>
      <c r="H48" s="14" t="str">
        <f t="shared" si="2"/>
        <v>⬇ Min 미달</v>
      </c>
      <c r="I48" s="53">
        <f t="shared" si="3"/>
        <v>360000</v>
      </c>
    </row>
    <row r="49" spans="1:9" ht="22.05" customHeight="1" x14ac:dyDescent="0.6">
      <c r="A49" s="25">
        <f>'09_보상연계'!A39</f>
        <v>34</v>
      </c>
      <c r="B49" s="25" t="str">
        <f>'09_보상연계'!B39</f>
        <v>BSS-034</v>
      </c>
      <c r="C49" s="5" t="str">
        <f>'09_보상연계'!C39</f>
        <v>엄보근</v>
      </c>
      <c r="D49" s="11" t="str">
        <f>'09_보상연계'!F39</f>
        <v>G1</v>
      </c>
      <c r="E49" s="47">
        <f>'09_보상연계'!P39</f>
        <v>32640000</v>
      </c>
      <c r="F49" s="47">
        <f>'09_보상연계'!M39</f>
        <v>33000000</v>
      </c>
      <c r="G49" s="47">
        <f>'09_보상연계'!N39</f>
        <v>44000000</v>
      </c>
      <c r="H49" s="14" t="str">
        <f t="shared" si="2"/>
        <v>⬇ Min 미달</v>
      </c>
      <c r="I49" s="53">
        <f t="shared" si="3"/>
        <v>360000</v>
      </c>
    </row>
  </sheetData>
  <mergeCells count="4">
    <mergeCell ref="A14:L14"/>
    <mergeCell ref="A2:L2"/>
    <mergeCell ref="A1:L1"/>
    <mergeCell ref="A4:L4"/>
  </mergeCells>
  <phoneticPr fontId="16" type="noConversion"/>
  <conditionalFormatting sqref="A16:I49">
    <cfRule type="expression" dxfId="12" priority="1">
      <formula>OR($E16&lt;$F16,$E16&gt;$G16)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J30"/>
  <sheetViews>
    <sheetView workbookViewId="0">
      <selection sqref="A1:J1"/>
    </sheetView>
  </sheetViews>
  <sheetFormatPr defaultRowHeight="16.899999999999999" x14ac:dyDescent="0.6"/>
  <cols>
    <col min="1" max="2" width="16" customWidth="1"/>
    <col min="3" max="3" width="10" customWidth="1"/>
    <col min="4" max="4" width="4" customWidth="1"/>
    <col min="5" max="5" width="14" customWidth="1"/>
    <col min="6" max="6" width="8" customWidth="1"/>
    <col min="7" max="7" width="12" customWidth="1"/>
    <col min="8" max="8" width="14" customWidth="1"/>
    <col min="9" max="10" width="10" customWidth="1"/>
  </cols>
  <sheetData>
    <row r="1" spans="1:10" ht="28.05" customHeight="1" x14ac:dyDescent="0.6">
      <c r="A1" s="82" t="s">
        <v>495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x14ac:dyDescent="0.6">
      <c r="A2" s="80" t="s">
        <v>496</v>
      </c>
      <c r="B2" s="66"/>
      <c r="C2" s="66"/>
      <c r="D2" s="66"/>
      <c r="E2" s="66"/>
      <c r="F2" s="66"/>
      <c r="G2" s="66"/>
      <c r="H2" s="66"/>
      <c r="I2" s="66"/>
      <c r="J2" s="67"/>
    </row>
    <row r="4" spans="1:10" x14ac:dyDescent="0.6">
      <c r="A4" s="83" t="s">
        <v>497</v>
      </c>
      <c r="B4" s="66"/>
      <c r="C4" s="66"/>
      <c r="D4" s="66"/>
      <c r="E4" s="66"/>
      <c r="F4" s="66"/>
      <c r="G4" s="66"/>
      <c r="H4" s="66"/>
      <c r="I4" s="66"/>
      <c r="J4" s="67"/>
    </row>
    <row r="5" spans="1:10" ht="19.149999999999999" x14ac:dyDescent="0.6">
      <c r="A5" s="2" t="s">
        <v>498</v>
      </c>
      <c r="B5" s="54">
        <f>COUNTA('01_인적정보'!C6:C65)</f>
        <v>34</v>
      </c>
    </row>
    <row r="6" spans="1:10" ht="19.149999999999999" x14ac:dyDescent="0.6">
      <c r="A6" s="2" t="s">
        <v>499</v>
      </c>
      <c r="B6" s="55">
        <f>SUM('09_보상연계'!G6:G39)</f>
        <v>1687275000</v>
      </c>
    </row>
    <row r="7" spans="1:10" ht="19.149999999999999" x14ac:dyDescent="0.6">
      <c r="A7" s="2" t="s">
        <v>500</v>
      </c>
      <c r="B7" s="55">
        <f>'09_보상연계'!P41</f>
        <v>1721010000</v>
      </c>
    </row>
    <row r="8" spans="1:10" ht="19.149999999999999" x14ac:dyDescent="0.6">
      <c r="A8" s="2" t="s">
        <v>501</v>
      </c>
      <c r="B8" s="55">
        <f>'09_보상연계'!Q41</f>
        <v>33735000</v>
      </c>
    </row>
    <row r="9" spans="1:10" ht="19.149999999999999" x14ac:dyDescent="0.6">
      <c r="A9" s="2" t="s">
        <v>502</v>
      </c>
      <c r="B9" s="56">
        <f>IFERROR('09_보상연계'!Q41/'09_보상연계'!G41,0)</f>
        <v>1.9993776948037518E-2</v>
      </c>
    </row>
    <row r="10" spans="1:10" ht="19.149999999999999" x14ac:dyDescent="0.6">
      <c r="A10" s="2" t="s">
        <v>503</v>
      </c>
      <c r="B10" s="55">
        <f>'10_성과급관리'!L44</f>
        <v>0</v>
      </c>
    </row>
    <row r="11" spans="1:10" ht="19.149999999999999" x14ac:dyDescent="0.6">
      <c r="A11" s="2" t="s">
        <v>504</v>
      </c>
      <c r="B11" s="54">
        <f>SUM('11_페이밴드검증'!H6:H12)</f>
        <v>4</v>
      </c>
    </row>
    <row r="14" spans="1:10" x14ac:dyDescent="0.6">
      <c r="A14" s="83" t="s">
        <v>505</v>
      </c>
      <c r="B14" s="66"/>
      <c r="C14" s="66"/>
      <c r="D14" s="66"/>
      <c r="E14" s="66"/>
      <c r="F14" s="66"/>
      <c r="G14" s="66"/>
      <c r="H14" s="66"/>
      <c r="I14" s="66"/>
      <c r="J14" s="67"/>
    </row>
    <row r="15" spans="1:10" x14ac:dyDescent="0.6">
      <c r="A15" s="9" t="s">
        <v>128</v>
      </c>
      <c r="B15" s="9" t="s">
        <v>134</v>
      </c>
      <c r="C15" s="9" t="s">
        <v>506</v>
      </c>
    </row>
    <row r="16" spans="1:10" x14ac:dyDescent="0.6">
      <c r="A16" s="33" t="s">
        <v>129</v>
      </c>
      <c r="B16" s="13">
        <f>COUNTIF('08_종합평가'!U6:U39,"S")</f>
        <v>0</v>
      </c>
      <c r="C16" s="24">
        <f>IFERROR(B16/SUM($B$16:$B$20),0)</f>
        <v>0</v>
      </c>
    </row>
    <row r="17" spans="1:10" x14ac:dyDescent="0.6">
      <c r="A17" s="34" t="s">
        <v>130</v>
      </c>
      <c r="B17" s="13">
        <f>COUNTIF('08_종합평가'!U6:U39,"A")</f>
        <v>0</v>
      </c>
      <c r="C17" s="24">
        <f>IFERROR(B17/SUM($B$16:$B$20),0)</f>
        <v>0</v>
      </c>
    </row>
    <row r="18" spans="1:10" x14ac:dyDescent="0.6">
      <c r="A18" s="35" t="s">
        <v>131</v>
      </c>
      <c r="B18" s="13">
        <f>COUNTIF('08_종합평가'!U6:U39,"B")</f>
        <v>0</v>
      </c>
      <c r="C18" s="24">
        <f>IFERROR(B18/SUM($B$16:$B$20),0)</f>
        <v>0</v>
      </c>
    </row>
    <row r="19" spans="1:10" x14ac:dyDescent="0.6">
      <c r="A19" s="36" t="s">
        <v>132</v>
      </c>
      <c r="B19" s="13">
        <f>COUNTIF('08_종합평가'!U6:U39,"C")</f>
        <v>0</v>
      </c>
      <c r="C19" s="24">
        <f>IFERROR(B19/SUM($B$16:$B$20),0)</f>
        <v>0</v>
      </c>
    </row>
    <row r="20" spans="1:10" x14ac:dyDescent="0.6">
      <c r="A20" s="37" t="s">
        <v>133</v>
      </c>
      <c r="B20" s="13">
        <f>COUNTIF('08_종합평가'!U6:U39,"D")</f>
        <v>34</v>
      </c>
      <c r="C20" s="24">
        <f>IFERROR(B20/SUM($B$16:$B$20),0)</f>
        <v>1</v>
      </c>
    </row>
    <row r="23" spans="1:10" x14ac:dyDescent="0.6">
      <c r="A23" s="83" t="s">
        <v>507</v>
      </c>
      <c r="B23" s="66"/>
      <c r="C23" s="66"/>
      <c r="D23" s="66"/>
      <c r="E23" s="66"/>
      <c r="F23" s="66"/>
      <c r="G23" s="66"/>
      <c r="H23" s="66"/>
      <c r="I23" s="66"/>
      <c r="J23" s="67"/>
    </row>
    <row r="24" spans="1:10" ht="67.5" x14ac:dyDescent="0.6">
      <c r="A24" s="9" t="s">
        <v>149</v>
      </c>
      <c r="B24" s="9" t="s">
        <v>294</v>
      </c>
      <c r="C24" s="9" t="s">
        <v>508</v>
      </c>
      <c r="D24" s="9" t="s">
        <v>501</v>
      </c>
    </row>
    <row r="25" spans="1:10" x14ac:dyDescent="0.6">
      <c r="A25" s="10" t="s">
        <v>170</v>
      </c>
      <c r="B25" s="13">
        <f>COUNTIF('09_보상연계'!E6:E39,"R&amp;D본부")</f>
        <v>1</v>
      </c>
      <c r="C25" s="24">
        <f>IFERROR(AVERAGEIFS('09_보상연계'!L6:L39,'09_보상연계'!E6:E39,"R&amp;D본부"),"")</f>
        <v>0.02</v>
      </c>
      <c r="D25" s="47">
        <f>SUMIFS('09_보상연계'!Q6:Q39,'09_보상연계'!E6:E39,"R&amp;D본부")</f>
        <v>1380000</v>
      </c>
    </row>
    <row r="26" spans="1:10" x14ac:dyDescent="0.6">
      <c r="A26" s="10" t="s">
        <v>183</v>
      </c>
      <c r="B26" s="13">
        <f>COUNTIF('09_보상연계'!E6:E39,"경영전략실")</f>
        <v>3</v>
      </c>
      <c r="C26" s="24">
        <f>IFERROR(AVERAGEIFS('09_보상연계'!L6:L39,'09_보상연계'!E6:E39,"경영전략실"),"")</f>
        <v>0.02</v>
      </c>
      <c r="D26" s="47">
        <f>SUMIFS('09_보상연계'!Q6:Q39,'09_보상연계'!E6:E39,"경영전략실")</f>
        <v>3830000</v>
      </c>
    </row>
    <row r="27" spans="1:10" x14ac:dyDescent="0.6">
      <c r="A27" s="10" t="s">
        <v>216</v>
      </c>
      <c r="B27" s="13">
        <f>COUNTIF('09_보상연계'!E6:E39,"마케팅팀")</f>
        <v>2</v>
      </c>
      <c r="C27" s="24">
        <f>IFERROR(AVERAGEIFS('09_보상연계'!L6:L39,'09_보상연계'!E6:E39,"마케팅팀"),"")</f>
        <v>0.02</v>
      </c>
      <c r="D27" s="47">
        <f>SUMIFS('09_보상연계'!Q6:Q39,'09_보상연계'!E6:E39,"마케팅팀")</f>
        <v>1855000</v>
      </c>
    </row>
    <row r="28" spans="1:10" x14ac:dyDescent="0.6">
      <c r="A28" s="10" t="s">
        <v>196</v>
      </c>
      <c r="B28" s="13">
        <f>COUNTIF('09_보상연계'!E6:E39,"솔루션본부")</f>
        <v>5</v>
      </c>
      <c r="C28" s="24">
        <f>IFERROR(AVERAGEIFS('09_보상연계'!L6:L39,'09_보상연계'!E6:E39,"솔루션본부"),"")</f>
        <v>0.02</v>
      </c>
      <c r="D28" s="47">
        <f>SUMIFS('09_보상연계'!Q6:Q39,'09_보상연계'!E6:E39,"솔루션본부")</f>
        <v>4910000</v>
      </c>
    </row>
    <row r="29" spans="1:10" x14ac:dyDescent="0.6">
      <c r="A29" s="10" t="s">
        <v>162</v>
      </c>
      <c r="B29" s="13">
        <f>COUNTIF('09_보상연계'!E6:E39,"스마트사업부")</f>
        <v>1</v>
      </c>
      <c r="C29" s="24">
        <f>IFERROR(AVERAGEIFS('09_보상연계'!L6:L39,'09_보상연계'!E6:E39,"스마트사업부"),"")</f>
        <v>0.02</v>
      </c>
      <c r="D29" s="47">
        <f>SUMIFS('09_보상연계'!Q6:Q39,'09_보상연계'!E6:E39,"스마트사업부")</f>
        <v>1450000</v>
      </c>
    </row>
    <row r="30" spans="1:10" x14ac:dyDescent="0.6">
      <c r="A30" s="10" t="s">
        <v>177</v>
      </c>
      <c r="B30" s="13">
        <f>COUNTIF('09_보상연계'!E6:E39,"컨설팅본부")</f>
        <v>22</v>
      </c>
      <c r="C30" s="24">
        <f>IFERROR(AVERAGEIFS('09_보상연계'!L6:L39,'09_보상연계'!E6:E39,"컨설팅본부"),"")</f>
        <v>2.0000000000000004E-2</v>
      </c>
      <c r="D30" s="47">
        <f>SUMIFS('09_보상연계'!Q6:Q39,'09_보상연계'!E6:E39,"컨설팅본부")</f>
        <v>20310000</v>
      </c>
    </row>
  </sheetData>
  <mergeCells count="5">
    <mergeCell ref="A1:J1"/>
    <mergeCell ref="A23:J23"/>
    <mergeCell ref="A14:J14"/>
    <mergeCell ref="A4:J4"/>
    <mergeCell ref="A2:J2"/>
  </mergeCells>
  <phoneticPr fontId="1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J54"/>
  <sheetViews>
    <sheetView workbookViewId="0">
      <pane ySplit="5" topLeftCell="A6" activePane="bottomLeft" state="frozen"/>
      <selection pane="bottomLeft" sqref="A1:J1"/>
    </sheetView>
  </sheetViews>
  <sheetFormatPr defaultRowHeight="16.899999999999999" x14ac:dyDescent="0.6"/>
  <cols>
    <col min="1" max="1" width="22" customWidth="1"/>
    <col min="2" max="2" width="14" customWidth="1"/>
    <col min="3" max="3" width="9" customWidth="1"/>
    <col min="4" max="4" width="18" customWidth="1"/>
    <col min="5" max="5" width="60" customWidth="1"/>
    <col min="6" max="7" width="28" customWidth="1"/>
    <col min="8" max="8" width="10" customWidth="1"/>
  </cols>
  <sheetData>
    <row r="1" spans="1:10" ht="28.05" customHeight="1" x14ac:dyDescent="0.6">
      <c r="A1" s="82" t="s">
        <v>509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x14ac:dyDescent="0.6">
      <c r="A2" s="80" t="s">
        <v>510</v>
      </c>
      <c r="B2" s="66"/>
      <c r="C2" s="66"/>
      <c r="D2" s="66"/>
      <c r="E2" s="66"/>
      <c r="F2" s="66"/>
      <c r="G2" s="66"/>
      <c r="H2" s="66"/>
      <c r="I2" s="66"/>
      <c r="J2" s="67"/>
    </row>
    <row r="5" spans="1:10" ht="30" customHeight="1" x14ac:dyDescent="0.6">
      <c r="A5" s="15" t="s">
        <v>511</v>
      </c>
      <c r="B5" s="15" t="s">
        <v>148</v>
      </c>
      <c r="C5" s="15" t="s">
        <v>151</v>
      </c>
      <c r="D5" s="15" t="s">
        <v>512</v>
      </c>
      <c r="E5" s="15" t="s">
        <v>513</v>
      </c>
      <c r="F5" s="15" t="s">
        <v>514</v>
      </c>
      <c r="G5" s="15" t="s">
        <v>515</v>
      </c>
      <c r="H5" s="15" t="s">
        <v>516</v>
      </c>
    </row>
    <row r="6" spans="1:10" ht="50" customHeight="1" x14ac:dyDescent="0.6">
      <c r="A6" s="25" t="s">
        <v>517</v>
      </c>
      <c r="B6" s="3" t="s">
        <v>182</v>
      </c>
      <c r="C6" s="19" t="s">
        <v>164</v>
      </c>
      <c r="D6" s="10" t="s">
        <v>518</v>
      </c>
      <c r="E6" s="3" t="s">
        <v>519</v>
      </c>
      <c r="F6" s="3" t="s">
        <v>520</v>
      </c>
      <c r="G6" s="3" t="s">
        <v>521</v>
      </c>
      <c r="H6" s="12" t="s">
        <v>522</v>
      </c>
    </row>
    <row r="7" spans="1:10" ht="50" customHeight="1" x14ac:dyDescent="0.6">
      <c r="A7" s="25" t="s">
        <v>523</v>
      </c>
      <c r="B7" s="3" t="s">
        <v>182</v>
      </c>
      <c r="C7" s="19" t="s">
        <v>198</v>
      </c>
      <c r="D7" s="10" t="s">
        <v>524</v>
      </c>
      <c r="E7" s="3" t="s">
        <v>525</v>
      </c>
      <c r="F7" s="3" t="s">
        <v>526</v>
      </c>
      <c r="G7" s="3" t="s">
        <v>527</v>
      </c>
      <c r="H7" s="12" t="s">
        <v>528</v>
      </c>
    </row>
    <row r="8" spans="1:10" ht="50" customHeight="1" x14ac:dyDescent="0.6">
      <c r="A8" s="25" t="s">
        <v>529</v>
      </c>
      <c r="B8" s="3" t="s">
        <v>182</v>
      </c>
      <c r="C8" s="19" t="s">
        <v>209</v>
      </c>
      <c r="D8" s="10" t="s">
        <v>530</v>
      </c>
      <c r="E8" s="3" t="s">
        <v>531</v>
      </c>
      <c r="F8" s="3" t="s">
        <v>532</v>
      </c>
      <c r="G8" s="3" t="s">
        <v>533</v>
      </c>
      <c r="H8" s="12" t="s">
        <v>528</v>
      </c>
    </row>
    <row r="9" spans="1:10" ht="50" customHeight="1" x14ac:dyDescent="0.6">
      <c r="A9" s="25" t="s">
        <v>534</v>
      </c>
      <c r="B9" s="3" t="s">
        <v>182</v>
      </c>
      <c r="C9" s="19" t="s">
        <v>234</v>
      </c>
      <c r="D9" s="10" t="s">
        <v>535</v>
      </c>
      <c r="E9" s="3" t="s">
        <v>536</v>
      </c>
      <c r="F9" s="3" t="s">
        <v>537</v>
      </c>
      <c r="G9" s="3" t="s">
        <v>538</v>
      </c>
      <c r="H9" s="12" t="s">
        <v>539</v>
      </c>
    </row>
    <row r="10" spans="1:10" ht="50" customHeight="1" x14ac:dyDescent="0.6">
      <c r="A10" s="25" t="s">
        <v>540</v>
      </c>
      <c r="B10" s="3" t="s">
        <v>182</v>
      </c>
      <c r="C10" s="19" t="s">
        <v>241</v>
      </c>
      <c r="D10" s="10" t="s">
        <v>541</v>
      </c>
      <c r="E10" s="3" t="s">
        <v>542</v>
      </c>
      <c r="F10" s="3" t="s">
        <v>543</v>
      </c>
      <c r="G10" s="3" t="s">
        <v>544</v>
      </c>
      <c r="H10" s="12" t="s">
        <v>539</v>
      </c>
    </row>
    <row r="11" spans="1:10" ht="50" customHeight="1" x14ac:dyDescent="0.6">
      <c r="A11" s="25" t="s">
        <v>545</v>
      </c>
      <c r="B11" s="3" t="s">
        <v>182</v>
      </c>
      <c r="C11" s="19" t="s">
        <v>249</v>
      </c>
      <c r="D11" s="10" t="s">
        <v>546</v>
      </c>
      <c r="E11" s="3" t="s">
        <v>547</v>
      </c>
      <c r="F11" s="3" t="s">
        <v>548</v>
      </c>
      <c r="G11" s="3" t="s">
        <v>549</v>
      </c>
      <c r="H11" s="12" t="s">
        <v>550</v>
      </c>
    </row>
    <row r="12" spans="1:10" ht="50" customHeight="1" x14ac:dyDescent="0.6">
      <c r="A12" s="25" t="s">
        <v>551</v>
      </c>
      <c r="B12" s="3" t="s">
        <v>182</v>
      </c>
      <c r="C12" s="19" t="s">
        <v>266</v>
      </c>
      <c r="D12" s="10" t="s">
        <v>552</v>
      </c>
      <c r="E12" s="3" t="s">
        <v>553</v>
      </c>
      <c r="F12" s="3" t="s">
        <v>554</v>
      </c>
      <c r="G12" s="3" t="s">
        <v>555</v>
      </c>
      <c r="H12" s="12" t="s">
        <v>556</v>
      </c>
    </row>
    <row r="13" spans="1:10" ht="50" customHeight="1" x14ac:dyDescent="0.6">
      <c r="A13" s="25" t="s">
        <v>557</v>
      </c>
      <c r="B13" s="3" t="s">
        <v>161</v>
      </c>
      <c r="C13" s="19" t="s">
        <v>164</v>
      </c>
      <c r="D13" s="10" t="s">
        <v>518</v>
      </c>
      <c r="E13" s="3" t="s">
        <v>519</v>
      </c>
      <c r="F13" s="3" t="s">
        <v>520</v>
      </c>
      <c r="G13" s="3" t="s">
        <v>521</v>
      </c>
      <c r="H13" s="12" t="s">
        <v>522</v>
      </c>
    </row>
    <row r="14" spans="1:10" ht="50" customHeight="1" x14ac:dyDescent="0.6">
      <c r="A14" s="25" t="s">
        <v>558</v>
      </c>
      <c r="B14" s="3" t="s">
        <v>161</v>
      </c>
      <c r="C14" s="19" t="s">
        <v>198</v>
      </c>
      <c r="D14" s="10" t="s">
        <v>524</v>
      </c>
      <c r="E14" s="3" t="s">
        <v>525</v>
      </c>
      <c r="F14" s="3" t="s">
        <v>526</v>
      </c>
      <c r="G14" s="3" t="s">
        <v>527</v>
      </c>
      <c r="H14" s="12" t="s">
        <v>528</v>
      </c>
    </row>
    <row r="15" spans="1:10" ht="50" customHeight="1" x14ac:dyDescent="0.6">
      <c r="A15" s="25" t="s">
        <v>559</v>
      </c>
      <c r="B15" s="3" t="s">
        <v>161</v>
      </c>
      <c r="C15" s="19" t="s">
        <v>209</v>
      </c>
      <c r="D15" s="10" t="s">
        <v>530</v>
      </c>
      <c r="E15" s="3" t="s">
        <v>531</v>
      </c>
      <c r="F15" s="3" t="s">
        <v>532</v>
      </c>
      <c r="G15" s="3" t="s">
        <v>533</v>
      </c>
      <c r="H15" s="12" t="s">
        <v>528</v>
      </c>
    </row>
    <row r="16" spans="1:10" ht="50" customHeight="1" x14ac:dyDescent="0.6">
      <c r="A16" s="25" t="s">
        <v>560</v>
      </c>
      <c r="B16" s="3" t="s">
        <v>161</v>
      </c>
      <c r="C16" s="19" t="s">
        <v>234</v>
      </c>
      <c r="D16" s="10" t="s">
        <v>535</v>
      </c>
      <c r="E16" s="3" t="s">
        <v>536</v>
      </c>
      <c r="F16" s="3" t="s">
        <v>537</v>
      </c>
      <c r="G16" s="3" t="s">
        <v>538</v>
      </c>
      <c r="H16" s="12" t="s">
        <v>539</v>
      </c>
    </row>
    <row r="17" spans="1:8" ht="50" customHeight="1" x14ac:dyDescent="0.6">
      <c r="A17" s="25" t="s">
        <v>561</v>
      </c>
      <c r="B17" s="3" t="s">
        <v>161</v>
      </c>
      <c r="C17" s="19" t="s">
        <v>241</v>
      </c>
      <c r="D17" s="10" t="s">
        <v>541</v>
      </c>
      <c r="E17" s="3" t="s">
        <v>542</v>
      </c>
      <c r="F17" s="3" t="s">
        <v>543</v>
      </c>
      <c r="G17" s="3" t="s">
        <v>544</v>
      </c>
      <c r="H17" s="12" t="s">
        <v>539</v>
      </c>
    </row>
    <row r="18" spans="1:8" ht="50" customHeight="1" x14ac:dyDescent="0.6">
      <c r="A18" s="25" t="s">
        <v>562</v>
      </c>
      <c r="B18" s="3" t="s">
        <v>161</v>
      </c>
      <c r="C18" s="19" t="s">
        <v>249</v>
      </c>
      <c r="D18" s="10" t="s">
        <v>546</v>
      </c>
      <c r="E18" s="3" t="s">
        <v>547</v>
      </c>
      <c r="F18" s="3" t="s">
        <v>548</v>
      </c>
      <c r="G18" s="3" t="s">
        <v>549</v>
      </c>
      <c r="H18" s="12" t="s">
        <v>550</v>
      </c>
    </row>
    <row r="19" spans="1:8" ht="50" customHeight="1" x14ac:dyDescent="0.6">
      <c r="A19" s="25" t="s">
        <v>563</v>
      </c>
      <c r="B19" s="3" t="s">
        <v>161</v>
      </c>
      <c r="C19" s="19" t="s">
        <v>266</v>
      </c>
      <c r="D19" s="10" t="s">
        <v>552</v>
      </c>
      <c r="E19" s="3" t="s">
        <v>553</v>
      </c>
      <c r="F19" s="3" t="s">
        <v>554</v>
      </c>
      <c r="G19" s="3" t="s">
        <v>555</v>
      </c>
      <c r="H19" s="12" t="s">
        <v>556</v>
      </c>
    </row>
    <row r="20" spans="1:8" ht="50" customHeight="1" x14ac:dyDescent="0.6">
      <c r="A20" s="25" t="s">
        <v>564</v>
      </c>
      <c r="B20" s="3" t="s">
        <v>565</v>
      </c>
      <c r="C20" s="19" t="s">
        <v>164</v>
      </c>
      <c r="D20" s="10" t="s">
        <v>518</v>
      </c>
      <c r="E20" s="3" t="s">
        <v>519</v>
      </c>
      <c r="F20" s="3" t="s">
        <v>520</v>
      </c>
      <c r="G20" s="3" t="s">
        <v>521</v>
      </c>
      <c r="H20" s="12" t="s">
        <v>522</v>
      </c>
    </row>
    <row r="21" spans="1:8" ht="50" customHeight="1" x14ac:dyDescent="0.6">
      <c r="A21" s="25" t="s">
        <v>566</v>
      </c>
      <c r="B21" s="3" t="s">
        <v>565</v>
      </c>
      <c r="C21" s="19" t="s">
        <v>198</v>
      </c>
      <c r="D21" s="10" t="s">
        <v>524</v>
      </c>
      <c r="E21" s="3" t="s">
        <v>525</v>
      </c>
      <c r="F21" s="3" t="s">
        <v>526</v>
      </c>
      <c r="G21" s="3" t="s">
        <v>527</v>
      </c>
      <c r="H21" s="12" t="s">
        <v>528</v>
      </c>
    </row>
    <row r="22" spans="1:8" ht="50" customHeight="1" x14ac:dyDescent="0.6">
      <c r="A22" s="25" t="s">
        <v>567</v>
      </c>
      <c r="B22" s="3" t="s">
        <v>565</v>
      </c>
      <c r="C22" s="19" t="s">
        <v>209</v>
      </c>
      <c r="D22" s="10" t="s">
        <v>530</v>
      </c>
      <c r="E22" s="3" t="s">
        <v>531</v>
      </c>
      <c r="F22" s="3" t="s">
        <v>532</v>
      </c>
      <c r="G22" s="3" t="s">
        <v>533</v>
      </c>
      <c r="H22" s="12" t="s">
        <v>528</v>
      </c>
    </row>
    <row r="23" spans="1:8" ht="50" customHeight="1" x14ac:dyDescent="0.6">
      <c r="A23" s="25" t="s">
        <v>568</v>
      </c>
      <c r="B23" s="3" t="s">
        <v>565</v>
      </c>
      <c r="C23" s="19" t="s">
        <v>234</v>
      </c>
      <c r="D23" s="10" t="s">
        <v>535</v>
      </c>
      <c r="E23" s="3" t="s">
        <v>536</v>
      </c>
      <c r="F23" s="3" t="s">
        <v>537</v>
      </c>
      <c r="G23" s="3" t="s">
        <v>538</v>
      </c>
      <c r="H23" s="12" t="s">
        <v>539</v>
      </c>
    </row>
    <row r="24" spans="1:8" ht="50" customHeight="1" x14ac:dyDescent="0.6">
      <c r="A24" s="25" t="s">
        <v>569</v>
      </c>
      <c r="B24" s="3" t="s">
        <v>565</v>
      </c>
      <c r="C24" s="19" t="s">
        <v>241</v>
      </c>
      <c r="D24" s="10" t="s">
        <v>541</v>
      </c>
      <c r="E24" s="3" t="s">
        <v>542</v>
      </c>
      <c r="F24" s="3" t="s">
        <v>543</v>
      </c>
      <c r="G24" s="3" t="s">
        <v>544</v>
      </c>
      <c r="H24" s="12" t="s">
        <v>539</v>
      </c>
    </row>
    <row r="25" spans="1:8" ht="50" customHeight="1" x14ac:dyDescent="0.6">
      <c r="A25" s="25" t="s">
        <v>570</v>
      </c>
      <c r="B25" s="3" t="s">
        <v>565</v>
      </c>
      <c r="C25" s="19" t="s">
        <v>249</v>
      </c>
      <c r="D25" s="10" t="s">
        <v>546</v>
      </c>
      <c r="E25" s="3" t="s">
        <v>547</v>
      </c>
      <c r="F25" s="3" t="s">
        <v>548</v>
      </c>
      <c r="G25" s="3" t="s">
        <v>549</v>
      </c>
      <c r="H25" s="12" t="s">
        <v>550</v>
      </c>
    </row>
    <row r="26" spans="1:8" ht="50" customHeight="1" x14ac:dyDescent="0.6">
      <c r="A26" s="25" t="s">
        <v>571</v>
      </c>
      <c r="B26" s="3" t="s">
        <v>565</v>
      </c>
      <c r="C26" s="19" t="s">
        <v>266</v>
      </c>
      <c r="D26" s="10" t="s">
        <v>552</v>
      </c>
      <c r="E26" s="3" t="s">
        <v>553</v>
      </c>
      <c r="F26" s="3" t="s">
        <v>554</v>
      </c>
      <c r="G26" s="3" t="s">
        <v>555</v>
      </c>
      <c r="H26" s="12" t="s">
        <v>556</v>
      </c>
    </row>
    <row r="27" spans="1:8" ht="50" customHeight="1" x14ac:dyDescent="0.6">
      <c r="A27" s="25" t="s">
        <v>572</v>
      </c>
      <c r="B27" s="3" t="s">
        <v>176</v>
      </c>
      <c r="C27" s="19" t="s">
        <v>164</v>
      </c>
      <c r="D27" s="10" t="s">
        <v>518</v>
      </c>
      <c r="E27" s="3" t="s">
        <v>519</v>
      </c>
      <c r="F27" s="3" t="s">
        <v>520</v>
      </c>
      <c r="G27" s="3" t="s">
        <v>521</v>
      </c>
      <c r="H27" s="12" t="s">
        <v>522</v>
      </c>
    </row>
    <row r="28" spans="1:8" ht="50" customHeight="1" x14ac:dyDescent="0.6">
      <c r="A28" s="25" t="s">
        <v>573</v>
      </c>
      <c r="B28" s="3" t="s">
        <v>176</v>
      </c>
      <c r="C28" s="19" t="s">
        <v>198</v>
      </c>
      <c r="D28" s="10" t="s">
        <v>524</v>
      </c>
      <c r="E28" s="3" t="s">
        <v>525</v>
      </c>
      <c r="F28" s="3" t="s">
        <v>526</v>
      </c>
      <c r="G28" s="3" t="s">
        <v>527</v>
      </c>
      <c r="H28" s="12" t="s">
        <v>528</v>
      </c>
    </row>
    <row r="29" spans="1:8" ht="50" customHeight="1" x14ac:dyDescent="0.6">
      <c r="A29" s="25" t="s">
        <v>574</v>
      </c>
      <c r="B29" s="3" t="s">
        <v>176</v>
      </c>
      <c r="C29" s="19" t="s">
        <v>209</v>
      </c>
      <c r="D29" s="10" t="s">
        <v>530</v>
      </c>
      <c r="E29" s="3" t="s">
        <v>531</v>
      </c>
      <c r="F29" s="3" t="s">
        <v>532</v>
      </c>
      <c r="G29" s="3" t="s">
        <v>533</v>
      </c>
      <c r="H29" s="12" t="s">
        <v>528</v>
      </c>
    </row>
    <row r="30" spans="1:8" ht="50" customHeight="1" x14ac:dyDescent="0.6">
      <c r="A30" s="25" t="s">
        <v>575</v>
      </c>
      <c r="B30" s="3" t="s">
        <v>176</v>
      </c>
      <c r="C30" s="19" t="s">
        <v>234</v>
      </c>
      <c r="D30" s="10" t="s">
        <v>535</v>
      </c>
      <c r="E30" s="3" t="s">
        <v>536</v>
      </c>
      <c r="F30" s="3" t="s">
        <v>537</v>
      </c>
      <c r="G30" s="3" t="s">
        <v>538</v>
      </c>
      <c r="H30" s="12" t="s">
        <v>539</v>
      </c>
    </row>
    <row r="31" spans="1:8" ht="50" customHeight="1" x14ac:dyDescent="0.6">
      <c r="A31" s="25" t="s">
        <v>576</v>
      </c>
      <c r="B31" s="3" t="s">
        <v>176</v>
      </c>
      <c r="C31" s="19" t="s">
        <v>241</v>
      </c>
      <c r="D31" s="10" t="s">
        <v>541</v>
      </c>
      <c r="E31" s="3" t="s">
        <v>542</v>
      </c>
      <c r="F31" s="3" t="s">
        <v>543</v>
      </c>
      <c r="G31" s="3" t="s">
        <v>544</v>
      </c>
      <c r="H31" s="12" t="s">
        <v>539</v>
      </c>
    </row>
    <row r="32" spans="1:8" ht="50" customHeight="1" x14ac:dyDescent="0.6">
      <c r="A32" s="25" t="s">
        <v>577</v>
      </c>
      <c r="B32" s="3" t="s">
        <v>176</v>
      </c>
      <c r="C32" s="19" t="s">
        <v>249</v>
      </c>
      <c r="D32" s="10" t="s">
        <v>546</v>
      </c>
      <c r="E32" s="3" t="s">
        <v>547</v>
      </c>
      <c r="F32" s="3" t="s">
        <v>548</v>
      </c>
      <c r="G32" s="3" t="s">
        <v>549</v>
      </c>
      <c r="H32" s="12" t="s">
        <v>550</v>
      </c>
    </row>
    <row r="33" spans="1:8" ht="50" customHeight="1" x14ac:dyDescent="0.6">
      <c r="A33" s="25" t="s">
        <v>578</v>
      </c>
      <c r="B33" s="3" t="s">
        <v>176</v>
      </c>
      <c r="C33" s="19" t="s">
        <v>266</v>
      </c>
      <c r="D33" s="10" t="s">
        <v>552</v>
      </c>
      <c r="E33" s="3" t="s">
        <v>553</v>
      </c>
      <c r="F33" s="3" t="s">
        <v>554</v>
      </c>
      <c r="G33" s="3" t="s">
        <v>555</v>
      </c>
      <c r="H33" s="12" t="s">
        <v>556</v>
      </c>
    </row>
    <row r="34" spans="1:8" ht="50" customHeight="1" x14ac:dyDescent="0.6">
      <c r="A34" s="25" t="s">
        <v>579</v>
      </c>
      <c r="B34" s="3" t="s">
        <v>195</v>
      </c>
      <c r="C34" s="19" t="s">
        <v>164</v>
      </c>
      <c r="D34" s="10" t="s">
        <v>518</v>
      </c>
      <c r="E34" s="3" t="s">
        <v>519</v>
      </c>
      <c r="F34" s="3" t="s">
        <v>520</v>
      </c>
      <c r="G34" s="3" t="s">
        <v>521</v>
      </c>
      <c r="H34" s="12" t="s">
        <v>522</v>
      </c>
    </row>
    <row r="35" spans="1:8" ht="50" customHeight="1" x14ac:dyDescent="0.6">
      <c r="A35" s="25" t="s">
        <v>580</v>
      </c>
      <c r="B35" s="3" t="s">
        <v>195</v>
      </c>
      <c r="C35" s="19" t="s">
        <v>198</v>
      </c>
      <c r="D35" s="10" t="s">
        <v>524</v>
      </c>
      <c r="E35" s="3" t="s">
        <v>525</v>
      </c>
      <c r="F35" s="3" t="s">
        <v>526</v>
      </c>
      <c r="G35" s="3" t="s">
        <v>527</v>
      </c>
      <c r="H35" s="12" t="s">
        <v>528</v>
      </c>
    </row>
    <row r="36" spans="1:8" ht="50" customHeight="1" x14ac:dyDescent="0.6">
      <c r="A36" s="25" t="s">
        <v>581</v>
      </c>
      <c r="B36" s="3" t="s">
        <v>195</v>
      </c>
      <c r="C36" s="19" t="s">
        <v>209</v>
      </c>
      <c r="D36" s="10" t="s">
        <v>530</v>
      </c>
      <c r="E36" s="3" t="s">
        <v>531</v>
      </c>
      <c r="F36" s="3" t="s">
        <v>532</v>
      </c>
      <c r="G36" s="3" t="s">
        <v>533</v>
      </c>
      <c r="H36" s="12" t="s">
        <v>528</v>
      </c>
    </row>
    <row r="37" spans="1:8" ht="50" customHeight="1" x14ac:dyDescent="0.6">
      <c r="A37" s="25" t="s">
        <v>582</v>
      </c>
      <c r="B37" s="3" t="s">
        <v>195</v>
      </c>
      <c r="C37" s="19" t="s">
        <v>234</v>
      </c>
      <c r="D37" s="10" t="s">
        <v>535</v>
      </c>
      <c r="E37" s="3" t="s">
        <v>536</v>
      </c>
      <c r="F37" s="3" t="s">
        <v>537</v>
      </c>
      <c r="G37" s="3" t="s">
        <v>538</v>
      </c>
      <c r="H37" s="12" t="s">
        <v>539</v>
      </c>
    </row>
    <row r="38" spans="1:8" ht="50" customHeight="1" x14ac:dyDescent="0.6">
      <c r="A38" s="25" t="s">
        <v>583</v>
      </c>
      <c r="B38" s="3" t="s">
        <v>195</v>
      </c>
      <c r="C38" s="19" t="s">
        <v>241</v>
      </c>
      <c r="D38" s="10" t="s">
        <v>541</v>
      </c>
      <c r="E38" s="3" t="s">
        <v>542</v>
      </c>
      <c r="F38" s="3" t="s">
        <v>543</v>
      </c>
      <c r="G38" s="3" t="s">
        <v>544</v>
      </c>
      <c r="H38" s="12" t="s">
        <v>539</v>
      </c>
    </row>
    <row r="39" spans="1:8" ht="50" customHeight="1" x14ac:dyDescent="0.6">
      <c r="A39" s="25" t="s">
        <v>584</v>
      </c>
      <c r="B39" s="3" t="s">
        <v>195</v>
      </c>
      <c r="C39" s="19" t="s">
        <v>249</v>
      </c>
      <c r="D39" s="10" t="s">
        <v>546</v>
      </c>
      <c r="E39" s="3" t="s">
        <v>547</v>
      </c>
      <c r="F39" s="3" t="s">
        <v>548</v>
      </c>
      <c r="G39" s="3" t="s">
        <v>549</v>
      </c>
      <c r="H39" s="12" t="s">
        <v>550</v>
      </c>
    </row>
    <row r="40" spans="1:8" ht="50" customHeight="1" x14ac:dyDescent="0.6">
      <c r="A40" s="25" t="s">
        <v>585</v>
      </c>
      <c r="B40" s="3" t="s">
        <v>195</v>
      </c>
      <c r="C40" s="19" t="s">
        <v>266</v>
      </c>
      <c r="D40" s="10" t="s">
        <v>552</v>
      </c>
      <c r="E40" s="3" t="s">
        <v>553</v>
      </c>
      <c r="F40" s="3" t="s">
        <v>554</v>
      </c>
      <c r="G40" s="3" t="s">
        <v>555</v>
      </c>
      <c r="H40" s="12" t="s">
        <v>556</v>
      </c>
    </row>
    <row r="41" spans="1:8" ht="50" customHeight="1" x14ac:dyDescent="0.6">
      <c r="A41" s="25" t="s">
        <v>586</v>
      </c>
      <c r="B41" s="3" t="s">
        <v>202</v>
      </c>
      <c r="C41" s="19" t="s">
        <v>164</v>
      </c>
      <c r="D41" s="10" t="s">
        <v>518</v>
      </c>
      <c r="E41" s="3" t="s">
        <v>519</v>
      </c>
      <c r="F41" s="3" t="s">
        <v>520</v>
      </c>
      <c r="G41" s="3" t="s">
        <v>521</v>
      </c>
      <c r="H41" s="12" t="s">
        <v>522</v>
      </c>
    </row>
    <row r="42" spans="1:8" ht="50" customHeight="1" x14ac:dyDescent="0.6">
      <c r="A42" s="25" t="s">
        <v>587</v>
      </c>
      <c r="B42" s="3" t="s">
        <v>202</v>
      </c>
      <c r="C42" s="19" t="s">
        <v>198</v>
      </c>
      <c r="D42" s="10" t="s">
        <v>524</v>
      </c>
      <c r="E42" s="3" t="s">
        <v>525</v>
      </c>
      <c r="F42" s="3" t="s">
        <v>526</v>
      </c>
      <c r="G42" s="3" t="s">
        <v>527</v>
      </c>
      <c r="H42" s="12" t="s">
        <v>528</v>
      </c>
    </row>
    <row r="43" spans="1:8" ht="50" customHeight="1" x14ac:dyDescent="0.6">
      <c r="A43" s="25" t="s">
        <v>588</v>
      </c>
      <c r="B43" s="3" t="s">
        <v>202</v>
      </c>
      <c r="C43" s="19" t="s">
        <v>209</v>
      </c>
      <c r="D43" s="10" t="s">
        <v>530</v>
      </c>
      <c r="E43" s="3" t="s">
        <v>531</v>
      </c>
      <c r="F43" s="3" t="s">
        <v>532</v>
      </c>
      <c r="G43" s="3" t="s">
        <v>533</v>
      </c>
      <c r="H43" s="12" t="s">
        <v>528</v>
      </c>
    </row>
    <row r="44" spans="1:8" ht="50" customHeight="1" x14ac:dyDescent="0.6">
      <c r="A44" s="25" t="s">
        <v>589</v>
      </c>
      <c r="B44" s="3" t="s">
        <v>202</v>
      </c>
      <c r="C44" s="19" t="s">
        <v>234</v>
      </c>
      <c r="D44" s="10" t="s">
        <v>535</v>
      </c>
      <c r="E44" s="3" t="s">
        <v>536</v>
      </c>
      <c r="F44" s="3" t="s">
        <v>537</v>
      </c>
      <c r="G44" s="3" t="s">
        <v>538</v>
      </c>
      <c r="H44" s="12" t="s">
        <v>539</v>
      </c>
    </row>
    <row r="45" spans="1:8" ht="50" customHeight="1" x14ac:dyDescent="0.6">
      <c r="A45" s="25" t="s">
        <v>590</v>
      </c>
      <c r="B45" s="3" t="s">
        <v>202</v>
      </c>
      <c r="C45" s="19" t="s">
        <v>241</v>
      </c>
      <c r="D45" s="10" t="s">
        <v>541</v>
      </c>
      <c r="E45" s="3" t="s">
        <v>542</v>
      </c>
      <c r="F45" s="3" t="s">
        <v>543</v>
      </c>
      <c r="G45" s="3" t="s">
        <v>544</v>
      </c>
      <c r="H45" s="12" t="s">
        <v>539</v>
      </c>
    </row>
    <row r="46" spans="1:8" ht="50" customHeight="1" x14ac:dyDescent="0.6">
      <c r="A46" s="25" t="s">
        <v>591</v>
      </c>
      <c r="B46" s="3" t="s">
        <v>202</v>
      </c>
      <c r="C46" s="19" t="s">
        <v>249</v>
      </c>
      <c r="D46" s="10" t="s">
        <v>546</v>
      </c>
      <c r="E46" s="3" t="s">
        <v>547</v>
      </c>
      <c r="F46" s="3" t="s">
        <v>548</v>
      </c>
      <c r="G46" s="3" t="s">
        <v>549</v>
      </c>
      <c r="H46" s="12" t="s">
        <v>550</v>
      </c>
    </row>
    <row r="47" spans="1:8" ht="50" customHeight="1" x14ac:dyDescent="0.6">
      <c r="A47" s="25" t="s">
        <v>592</v>
      </c>
      <c r="B47" s="3" t="s">
        <v>202</v>
      </c>
      <c r="C47" s="19" t="s">
        <v>266</v>
      </c>
      <c r="D47" s="10" t="s">
        <v>552</v>
      </c>
      <c r="E47" s="3" t="s">
        <v>553</v>
      </c>
      <c r="F47" s="3" t="s">
        <v>554</v>
      </c>
      <c r="G47" s="3" t="s">
        <v>555</v>
      </c>
      <c r="H47" s="12" t="s">
        <v>556</v>
      </c>
    </row>
    <row r="48" spans="1:8" ht="50" customHeight="1" x14ac:dyDescent="0.6">
      <c r="A48" s="25" t="s">
        <v>593</v>
      </c>
      <c r="B48" s="3" t="s">
        <v>169</v>
      </c>
      <c r="C48" s="19" t="s">
        <v>164</v>
      </c>
      <c r="D48" s="10" t="s">
        <v>518</v>
      </c>
      <c r="E48" s="3" t="s">
        <v>519</v>
      </c>
      <c r="F48" s="3" t="s">
        <v>520</v>
      </c>
      <c r="G48" s="3" t="s">
        <v>521</v>
      </c>
      <c r="H48" s="12" t="s">
        <v>522</v>
      </c>
    </row>
    <row r="49" spans="1:8" ht="50" customHeight="1" x14ac:dyDescent="0.6">
      <c r="A49" s="25" t="s">
        <v>594</v>
      </c>
      <c r="B49" s="3" t="s">
        <v>169</v>
      </c>
      <c r="C49" s="19" t="s">
        <v>198</v>
      </c>
      <c r="D49" s="10" t="s">
        <v>524</v>
      </c>
      <c r="E49" s="3" t="s">
        <v>525</v>
      </c>
      <c r="F49" s="3" t="s">
        <v>526</v>
      </c>
      <c r="G49" s="3" t="s">
        <v>527</v>
      </c>
      <c r="H49" s="12" t="s">
        <v>528</v>
      </c>
    </row>
    <row r="50" spans="1:8" ht="50" customHeight="1" x14ac:dyDescent="0.6">
      <c r="A50" s="25" t="s">
        <v>595</v>
      </c>
      <c r="B50" s="3" t="s">
        <v>169</v>
      </c>
      <c r="C50" s="19" t="s">
        <v>209</v>
      </c>
      <c r="D50" s="10" t="s">
        <v>530</v>
      </c>
      <c r="E50" s="3" t="s">
        <v>531</v>
      </c>
      <c r="F50" s="3" t="s">
        <v>532</v>
      </c>
      <c r="G50" s="3" t="s">
        <v>533</v>
      </c>
      <c r="H50" s="12" t="s">
        <v>528</v>
      </c>
    </row>
    <row r="51" spans="1:8" ht="50" customHeight="1" x14ac:dyDescent="0.6">
      <c r="A51" s="25" t="s">
        <v>596</v>
      </c>
      <c r="B51" s="3" t="s">
        <v>169</v>
      </c>
      <c r="C51" s="19" t="s">
        <v>234</v>
      </c>
      <c r="D51" s="10" t="s">
        <v>535</v>
      </c>
      <c r="E51" s="3" t="s">
        <v>536</v>
      </c>
      <c r="F51" s="3" t="s">
        <v>537</v>
      </c>
      <c r="G51" s="3" t="s">
        <v>538</v>
      </c>
      <c r="H51" s="12" t="s">
        <v>539</v>
      </c>
    </row>
    <row r="52" spans="1:8" ht="50" customHeight="1" x14ac:dyDescent="0.6">
      <c r="A52" s="25" t="s">
        <v>597</v>
      </c>
      <c r="B52" s="3" t="s">
        <v>169</v>
      </c>
      <c r="C52" s="19" t="s">
        <v>241</v>
      </c>
      <c r="D52" s="10" t="s">
        <v>541</v>
      </c>
      <c r="E52" s="3" t="s">
        <v>542</v>
      </c>
      <c r="F52" s="3" t="s">
        <v>543</v>
      </c>
      <c r="G52" s="3" t="s">
        <v>544</v>
      </c>
      <c r="H52" s="12" t="s">
        <v>539</v>
      </c>
    </row>
    <row r="53" spans="1:8" ht="50" customHeight="1" x14ac:dyDescent="0.6">
      <c r="A53" s="25" t="s">
        <v>598</v>
      </c>
      <c r="B53" s="3" t="s">
        <v>169</v>
      </c>
      <c r="C53" s="19" t="s">
        <v>249</v>
      </c>
      <c r="D53" s="10" t="s">
        <v>546</v>
      </c>
      <c r="E53" s="3" t="s">
        <v>547</v>
      </c>
      <c r="F53" s="3" t="s">
        <v>548</v>
      </c>
      <c r="G53" s="3" t="s">
        <v>549</v>
      </c>
      <c r="H53" s="12" t="s">
        <v>550</v>
      </c>
    </row>
    <row r="54" spans="1:8" ht="50" customHeight="1" x14ac:dyDescent="0.6">
      <c r="A54" s="25" t="s">
        <v>599</v>
      </c>
      <c r="B54" s="3" t="s">
        <v>169</v>
      </c>
      <c r="C54" s="19" t="s">
        <v>266</v>
      </c>
      <c r="D54" s="10" t="s">
        <v>552</v>
      </c>
      <c r="E54" s="3" t="s">
        <v>553</v>
      </c>
      <c r="F54" s="3" t="s">
        <v>554</v>
      </c>
      <c r="G54" s="3" t="s">
        <v>555</v>
      </c>
      <c r="H54" s="12" t="s">
        <v>556</v>
      </c>
    </row>
  </sheetData>
  <mergeCells count="2">
    <mergeCell ref="A1:J1"/>
    <mergeCell ref="A2:J2"/>
  </mergeCells>
  <phoneticPr fontId="1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G74"/>
  <sheetViews>
    <sheetView workbookViewId="0">
      <pane ySplit="5" topLeftCell="A6" activePane="bottomLeft" state="frozen"/>
      <selection pane="bottomLeft" activeCell="G27" sqref="G27"/>
    </sheetView>
  </sheetViews>
  <sheetFormatPr defaultRowHeight="16.899999999999999" x14ac:dyDescent="0.6"/>
  <cols>
    <col min="1" max="1" width="5" customWidth="1"/>
    <col min="2" max="3" width="14" customWidth="1"/>
    <col min="4" max="4" width="22" customWidth="1"/>
    <col min="5" max="5" width="60" customWidth="1"/>
    <col min="6" max="6" width="30" customWidth="1"/>
    <col min="7" max="7" width="32" customWidth="1"/>
  </cols>
  <sheetData>
    <row r="1" spans="1:7" ht="28.05" customHeight="1" x14ac:dyDescent="0.6">
      <c r="A1" s="82" t="s">
        <v>600</v>
      </c>
      <c r="B1" s="66"/>
      <c r="C1" s="66"/>
      <c r="D1" s="66"/>
      <c r="E1" s="66"/>
      <c r="F1" s="66"/>
      <c r="G1" s="67"/>
    </row>
    <row r="2" spans="1:7" x14ac:dyDescent="0.6">
      <c r="A2" s="80" t="s">
        <v>601</v>
      </c>
      <c r="B2" s="66"/>
      <c r="C2" s="66"/>
      <c r="D2" s="66"/>
      <c r="E2" s="66"/>
      <c r="F2" s="66"/>
      <c r="G2" s="67"/>
    </row>
    <row r="5" spans="1:7" ht="30" customHeight="1" x14ac:dyDescent="0.6">
      <c r="A5" s="15" t="s">
        <v>144</v>
      </c>
      <c r="B5" s="15" t="s">
        <v>148</v>
      </c>
      <c r="C5" s="15" t="s">
        <v>602</v>
      </c>
      <c r="D5" s="15" t="s">
        <v>603</v>
      </c>
      <c r="E5" s="15" t="s">
        <v>604</v>
      </c>
      <c r="F5" s="15" t="s">
        <v>605</v>
      </c>
      <c r="G5" s="15" t="s">
        <v>606</v>
      </c>
    </row>
    <row r="6" spans="1:7" ht="28.05" customHeight="1" x14ac:dyDescent="0.6">
      <c r="A6" s="12">
        <v>1</v>
      </c>
      <c r="B6" s="10" t="s">
        <v>182</v>
      </c>
      <c r="C6" s="12" t="s">
        <v>607</v>
      </c>
      <c r="D6" s="10" t="s">
        <v>608</v>
      </c>
      <c r="E6" s="3" t="s">
        <v>609</v>
      </c>
      <c r="F6" s="3" t="s">
        <v>610</v>
      </c>
      <c r="G6" s="5" t="s">
        <v>611</v>
      </c>
    </row>
    <row r="7" spans="1:7" ht="28.05" customHeight="1" x14ac:dyDescent="0.6">
      <c r="A7" s="12">
        <v>2</v>
      </c>
      <c r="B7" s="10" t="s">
        <v>182</v>
      </c>
      <c r="C7" s="12" t="s">
        <v>607</v>
      </c>
      <c r="D7" s="10" t="s">
        <v>612</v>
      </c>
      <c r="E7" s="3" t="s">
        <v>613</v>
      </c>
      <c r="F7" s="3" t="s">
        <v>614</v>
      </c>
      <c r="G7" s="5" t="s">
        <v>615</v>
      </c>
    </row>
    <row r="8" spans="1:7" ht="28.05" customHeight="1" x14ac:dyDescent="0.6">
      <c r="A8" s="12">
        <v>3</v>
      </c>
      <c r="B8" s="10" t="s">
        <v>182</v>
      </c>
      <c r="C8" s="12" t="s">
        <v>607</v>
      </c>
      <c r="D8" s="10" t="s">
        <v>616</v>
      </c>
      <c r="E8" s="3" t="s">
        <v>617</v>
      </c>
      <c r="F8" s="3" t="s">
        <v>618</v>
      </c>
      <c r="G8" s="5" t="s">
        <v>619</v>
      </c>
    </row>
    <row r="9" spans="1:7" ht="28.05" customHeight="1" x14ac:dyDescent="0.6">
      <c r="A9" s="12">
        <v>4</v>
      </c>
      <c r="B9" s="10" t="s">
        <v>182</v>
      </c>
      <c r="C9" s="12" t="s">
        <v>607</v>
      </c>
      <c r="D9" s="10" t="s">
        <v>620</v>
      </c>
      <c r="E9" s="3" t="s">
        <v>621</v>
      </c>
      <c r="F9" s="3" t="s">
        <v>622</v>
      </c>
      <c r="G9" s="5" t="s">
        <v>623</v>
      </c>
    </row>
    <row r="10" spans="1:7" ht="28.05" customHeight="1" x14ac:dyDescent="0.6">
      <c r="A10" s="12">
        <v>5</v>
      </c>
      <c r="B10" s="10" t="s">
        <v>182</v>
      </c>
      <c r="C10" s="12" t="s">
        <v>607</v>
      </c>
      <c r="D10" s="10" t="s">
        <v>624</v>
      </c>
      <c r="E10" s="3" t="s">
        <v>625</v>
      </c>
      <c r="F10" s="3" t="s">
        <v>626</v>
      </c>
      <c r="G10" s="5" t="s">
        <v>627</v>
      </c>
    </row>
    <row r="11" spans="1:7" ht="28.05" customHeight="1" x14ac:dyDescent="0.6">
      <c r="A11" s="12">
        <v>6</v>
      </c>
      <c r="B11" s="10" t="s">
        <v>182</v>
      </c>
      <c r="C11" s="12" t="s">
        <v>607</v>
      </c>
      <c r="D11" s="10" t="s">
        <v>628</v>
      </c>
      <c r="E11" s="3" t="s">
        <v>629</v>
      </c>
      <c r="F11" s="3" t="s">
        <v>630</v>
      </c>
      <c r="G11" s="5" t="s">
        <v>631</v>
      </c>
    </row>
    <row r="12" spans="1:7" ht="28.05" customHeight="1" x14ac:dyDescent="0.6">
      <c r="A12" s="12">
        <v>7</v>
      </c>
      <c r="B12" s="10" t="s">
        <v>182</v>
      </c>
      <c r="C12" s="12" t="s">
        <v>632</v>
      </c>
      <c r="D12" s="10" t="s">
        <v>633</v>
      </c>
      <c r="E12" s="3" t="s">
        <v>634</v>
      </c>
      <c r="F12" s="3" t="s">
        <v>635</v>
      </c>
      <c r="G12" s="5" t="s">
        <v>636</v>
      </c>
    </row>
    <row r="13" spans="1:7" ht="28.05" customHeight="1" x14ac:dyDescent="0.6">
      <c r="A13" s="12">
        <v>8</v>
      </c>
      <c r="B13" s="10" t="s">
        <v>182</v>
      </c>
      <c r="C13" s="12" t="s">
        <v>632</v>
      </c>
      <c r="D13" s="10" t="s">
        <v>637</v>
      </c>
      <c r="E13" s="3" t="s">
        <v>638</v>
      </c>
      <c r="F13" s="3" t="s">
        <v>639</v>
      </c>
      <c r="G13" s="5" t="s">
        <v>640</v>
      </c>
    </row>
    <row r="14" spans="1:7" ht="28.05" customHeight="1" x14ac:dyDescent="0.6">
      <c r="A14" s="12">
        <v>9</v>
      </c>
      <c r="B14" s="10" t="s">
        <v>182</v>
      </c>
      <c r="C14" s="12" t="s">
        <v>632</v>
      </c>
      <c r="D14" s="10" t="s">
        <v>641</v>
      </c>
      <c r="E14" s="3" t="s">
        <v>642</v>
      </c>
      <c r="F14" s="3" t="s">
        <v>643</v>
      </c>
      <c r="G14" s="5" t="s">
        <v>644</v>
      </c>
    </row>
    <row r="15" spans="1:7" ht="28.05" customHeight="1" x14ac:dyDescent="0.6">
      <c r="A15" s="12">
        <v>10</v>
      </c>
      <c r="B15" s="10" t="s">
        <v>182</v>
      </c>
      <c r="C15" s="12" t="s">
        <v>632</v>
      </c>
      <c r="D15" s="10" t="s">
        <v>645</v>
      </c>
      <c r="E15" s="3" t="s">
        <v>646</v>
      </c>
      <c r="F15" s="3" t="s">
        <v>647</v>
      </c>
      <c r="G15" s="5" t="s">
        <v>648</v>
      </c>
    </row>
    <row r="16" spans="1:7" ht="28.05" customHeight="1" x14ac:dyDescent="0.6">
      <c r="A16" s="12">
        <v>11</v>
      </c>
      <c r="B16" s="10" t="s">
        <v>182</v>
      </c>
      <c r="C16" s="12" t="s">
        <v>632</v>
      </c>
      <c r="D16" s="10" t="s">
        <v>649</v>
      </c>
      <c r="E16" s="3" t="s">
        <v>650</v>
      </c>
      <c r="F16" s="3" t="s">
        <v>651</v>
      </c>
      <c r="G16" s="5" t="s">
        <v>652</v>
      </c>
    </row>
    <row r="17" spans="1:7" ht="28.05" customHeight="1" x14ac:dyDescent="0.6">
      <c r="A17" s="12">
        <v>12</v>
      </c>
      <c r="B17" s="10" t="s">
        <v>182</v>
      </c>
      <c r="C17" s="12" t="s">
        <v>653</v>
      </c>
      <c r="D17" s="10" t="s">
        <v>654</v>
      </c>
      <c r="E17" s="3" t="s">
        <v>655</v>
      </c>
      <c r="F17" s="3" t="s">
        <v>656</v>
      </c>
      <c r="G17" s="5" t="s">
        <v>657</v>
      </c>
    </row>
    <row r="18" spans="1:7" ht="28.05" customHeight="1" x14ac:dyDescent="0.6">
      <c r="A18" s="12">
        <v>13</v>
      </c>
      <c r="B18" s="10" t="s">
        <v>182</v>
      </c>
      <c r="C18" s="12" t="s">
        <v>653</v>
      </c>
      <c r="D18" s="10" t="s">
        <v>658</v>
      </c>
      <c r="E18" s="3" t="s">
        <v>659</v>
      </c>
      <c r="F18" s="3" t="s">
        <v>660</v>
      </c>
      <c r="G18" s="5" t="s">
        <v>661</v>
      </c>
    </row>
    <row r="19" spans="1:7" ht="28.05" customHeight="1" x14ac:dyDescent="0.6">
      <c r="A19" s="12">
        <v>14</v>
      </c>
      <c r="B19" s="10" t="s">
        <v>182</v>
      </c>
      <c r="C19" s="12" t="s">
        <v>653</v>
      </c>
      <c r="D19" s="10" t="s">
        <v>662</v>
      </c>
      <c r="E19" s="3" t="s">
        <v>663</v>
      </c>
      <c r="F19" s="3" t="s">
        <v>664</v>
      </c>
      <c r="G19" s="5" t="s">
        <v>665</v>
      </c>
    </row>
    <row r="20" spans="1:7" ht="28.05" customHeight="1" x14ac:dyDescent="0.6">
      <c r="A20" s="12">
        <v>15</v>
      </c>
      <c r="B20" s="10" t="s">
        <v>182</v>
      </c>
      <c r="C20" s="12" t="s">
        <v>653</v>
      </c>
      <c r="D20" s="10" t="s">
        <v>666</v>
      </c>
      <c r="E20" s="3" t="s">
        <v>667</v>
      </c>
      <c r="F20" s="3" t="s">
        <v>668</v>
      </c>
      <c r="G20" s="5" t="s">
        <v>669</v>
      </c>
    </row>
    <row r="21" spans="1:7" ht="28.05" customHeight="1" x14ac:dyDescent="0.6">
      <c r="A21" s="12">
        <v>16</v>
      </c>
      <c r="B21" s="10" t="s">
        <v>182</v>
      </c>
      <c r="C21" s="12" t="s">
        <v>653</v>
      </c>
      <c r="D21" s="10" t="s">
        <v>670</v>
      </c>
      <c r="E21" s="3" t="s">
        <v>671</v>
      </c>
      <c r="F21" s="3" t="s">
        <v>672</v>
      </c>
      <c r="G21" s="5" t="s">
        <v>673</v>
      </c>
    </row>
    <row r="22" spans="1:7" ht="28.05" customHeight="1" x14ac:dyDescent="0.6">
      <c r="A22" s="12">
        <v>17</v>
      </c>
      <c r="B22" s="10" t="s">
        <v>182</v>
      </c>
      <c r="C22" s="12" t="s">
        <v>674</v>
      </c>
      <c r="D22" s="10" t="s">
        <v>675</v>
      </c>
      <c r="E22" s="3" t="s">
        <v>676</v>
      </c>
      <c r="F22" s="3" t="s">
        <v>677</v>
      </c>
      <c r="G22" s="5" t="s">
        <v>678</v>
      </c>
    </row>
    <row r="23" spans="1:7" ht="28.05" customHeight="1" x14ac:dyDescent="0.6">
      <c r="A23" s="12">
        <v>18</v>
      </c>
      <c r="B23" s="10" t="s">
        <v>182</v>
      </c>
      <c r="C23" s="12" t="s">
        <v>674</v>
      </c>
      <c r="D23" s="10" t="s">
        <v>679</v>
      </c>
      <c r="E23" s="3" t="s">
        <v>680</v>
      </c>
      <c r="F23" s="3" t="s">
        <v>681</v>
      </c>
      <c r="G23" s="5" t="s">
        <v>682</v>
      </c>
    </row>
    <row r="24" spans="1:7" ht="28.05" customHeight="1" x14ac:dyDescent="0.6">
      <c r="A24" s="12">
        <v>19</v>
      </c>
      <c r="B24" s="10" t="s">
        <v>182</v>
      </c>
      <c r="C24" s="12" t="s">
        <v>674</v>
      </c>
      <c r="D24" s="10" t="s">
        <v>683</v>
      </c>
      <c r="E24" s="3" t="s">
        <v>684</v>
      </c>
      <c r="F24" s="3" t="s">
        <v>685</v>
      </c>
      <c r="G24" s="5" t="s">
        <v>686</v>
      </c>
    </row>
    <row r="25" spans="1:7" ht="28.05" customHeight="1" x14ac:dyDescent="0.6">
      <c r="A25" s="12">
        <v>20</v>
      </c>
      <c r="B25" s="10" t="s">
        <v>176</v>
      </c>
      <c r="C25" s="12" t="s">
        <v>687</v>
      </c>
      <c r="D25" s="10" t="s">
        <v>688</v>
      </c>
      <c r="E25" s="3" t="s">
        <v>689</v>
      </c>
      <c r="F25" s="3" t="s">
        <v>690</v>
      </c>
      <c r="G25" s="5" t="s">
        <v>691</v>
      </c>
    </row>
    <row r="26" spans="1:7" ht="28.05" customHeight="1" x14ac:dyDescent="0.6">
      <c r="A26" s="12">
        <v>21</v>
      </c>
      <c r="B26" s="10" t="s">
        <v>176</v>
      </c>
      <c r="C26" s="12" t="s">
        <v>687</v>
      </c>
      <c r="D26" s="10" t="s">
        <v>692</v>
      </c>
      <c r="E26" s="3" t="s">
        <v>693</v>
      </c>
      <c r="F26" s="3" t="s">
        <v>694</v>
      </c>
      <c r="G26" s="5" t="s">
        <v>695</v>
      </c>
    </row>
    <row r="27" spans="1:7" ht="28.05" customHeight="1" x14ac:dyDescent="0.6">
      <c r="A27" s="12">
        <v>22</v>
      </c>
      <c r="B27" s="10" t="s">
        <v>176</v>
      </c>
      <c r="C27" s="12" t="s">
        <v>687</v>
      </c>
      <c r="D27" s="10" t="s">
        <v>696</v>
      </c>
      <c r="E27" s="3" t="s">
        <v>697</v>
      </c>
      <c r="F27" s="3" t="s">
        <v>698</v>
      </c>
      <c r="G27" s="5" t="s">
        <v>699</v>
      </c>
    </row>
    <row r="28" spans="1:7" ht="28.05" customHeight="1" x14ac:dyDescent="0.6">
      <c r="A28" s="12">
        <v>23</v>
      </c>
      <c r="B28" s="10" t="s">
        <v>176</v>
      </c>
      <c r="C28" s="12" t="s">
        <v>700</v>
      </c>
      <c r="D28" s="10" t="s">
        <v>701</v>
      </c>
      <c r="E28" s="3" t="s">
        <v>702</v>
      </c>
      <c r="F28" s="3" t="s">
        <v>703</v>
      </c>
      <c r="G28" s="5" t="s">
        <v>704</v>
      </c>
    </row>
    <row r="29" spans="1:7" ht="28.05" customHeight="1" x14ac:dyDescent="0.6">
      <c r="A29" s="12">
        <v>24</v>
      </c>
      <c r="B29" s="10" t="s">
        <v>176</v>
      </c>
      <c r="C29" s="12" t="s">
        <v>700</v>
      </c>
      <c r="D29" s="10" t="s">
        <v>705</v>
      </c>
      <c r="E29" s="3" t="s">
        <v>706</v>
      </c>
      <c r="F29" s="3" t="s">
        <v>707</v>
      </c>
      <c r="G29" s="5" t="s">
        <v>708</v>
      </c>
    </row>
    <row r="30" spans="1:7" ht="28.05" customHeight="1" x14ac:dyDescent="0.6">
      <c r="A30" s="12">
        <v>25</v>
      </c>
      <c r="B30" s="10" t="s">
        <v>176</v>
      </c>
      <c r="C30" s="12" t="s">
        <v>709</v>
      </c>
      <c r="D30" s="10" t="s">
        <v>710</v>
      </c>
      <c r="E30" s="3" t="s">
        <v>711</v>
      </c>
      <c r="F30" s="3" t="s">
        <v>712</v>
      </c>
      <c r="G30" s="5" t="s">
        <v>713</v>
      </c>
    </row>
    <row r="31" spans="1:7" ht="28.05" customHeight="1" x14ac:dyDescent="0.6">
      <c r="A31" s="12">
        <v>26</v>
      </c>
      <c r="B31" s="10" t="s">
        <v>176</v>
      </c>
      <c r="C31" s="12" t="s">
        <v>714</v>
      </c>
      <c r="D31" s="10" t="s">
        <v>715</v>
      </c>
      <c r="E31" s="3" t="s">
        <v>716</v>
      </c>
      <c r="F31" s="3" t="s">
        <v>717</v>
      </c>
      <c r="G31" s="5" t="s">
        <v>718</v>
      </c>
    </row>
    <row r="32" spans="1:7" ht="28.05" customHeight="1" x14ac:dyDescent="0.6">
      <c r="A32" s="12">
        <v>27</v>
      </c>
      <c r="B32" s="10" t="s">
        <v>176</v>
      </c>
      <c r="C32" s="12" t="s">
        <v>719</v>
      </c>
      <c r="D32" s="10" t="s">
        <v>720</v>
      </c>
      <c r="E32" s="3" t="s">
        <v>721</v>
      </c>
      <c r="F32" s="3" t="s">
        <v>722</v>
      </c>
      <c r="G32" s="5" t="s">
        <v>723</v>
      </c>
    </row>
    <row r="33" spans="1:7" ht="28.05" customHeight="1" x14ac:dyDescent="0.6">
      <c r="A33" s="12">
        <v>28</v>
      </c>
      <c r="B33" s="10" t="s">
        <v>176</v>
      </c>
      <c r="C33" s="12" t="s">
        <v>719</v>
      </c>
      <c r="D33" s="10" t="s">
        <v>724</v>
      </c>
      <c r="E33" s="3" t="s">
        <v>725</v>
      </c>
      <c r="F33" s="3" t="s">
        <v>726</v>
      </c>
      <c r="G33" s="5" t="s">
        <v>727</v>
      </c>
    </row>
    <row r="34" spans="1:7" ht="28.05" customHeight="1" x14ac:dyDescent="0.6">
      <c r="A34" s="12">
        <v>29</v>
      </c>
      <c r="B34" s="10" t="s">
        <v>176</v>
      </c>
      <c r="C34" s="12" t="s">
        <v>719</v>
      </c>
      <c r="D34" s="10" t="s">
        <v>728</v>
      </c>
      <c r="E34" s="3" t="s">
        <v>729</v>
      </c>
      <c r="F34" s="3" t="s">
        <v>730</v>
      </c>
      <c r="G34" s="5" t="s">
        <v>731</v>
      </c>
    </row>
    <row r="35" spans="1:7" ht="28.05" customHeight="1" x14ac:dyDescent="0.6">
      <c r="A35" s="12">
        <v>30</v>
      </c>
      <c r="B35" s="10" t="s">
        <v>176</v>
      </c>
      <c r="C35" s="12" t="s">
        <v>732</v>
      </c>
      <c r="D35" s="10" t="s">
        <v>733</v>
      </c>
      <c r="E35" s="3" t="s">
        <v>734</v>
      </c>
      <c r="F35" s="3" t="s">
        <v>735</v>
      </c>
      <c r="G35" s="5" t="s">
        <v>736</v>
      </c>
    </row>
    <row r="36" spans="1:7" ht="28.05" customHeight="1" x14ac:dyDescent="0.6">
      <c r="A36" s="12">
        <v>31</v>
      </c>
      <c r="B36" s="10" t="s">
        <v>176</v>
      </c>
      <c r="C36" s="12" t="s">
        <v>732</v>
      </c>
      <c r="D36" s="10" t="s">
        <v>737</v>
      </c>
      <c r="E36" s="3" t="s">
        <v>738</v>
      </c>
      <c r="F36" s="3" t="s">
        <v>739</v>
      </c>
      <c r="G36" s="5" t="s">
        <v>740</v>
      </c>
    </row>
    <row r="37" spans="1:7" ht="28.05" customHeight="1" x14ac:dyDescent="0.6">
      <c r="A37" s="12">
        <v>32</v>
      </c>
      <c r="B37" s="10" t="s">
        <v>176</v>
      </c>
      <c r="C37" s="12" t="s">
        <v>732</v>
      </c>
      <c r="D37" s="10" t="s">
        <v>741</v>
      </c>
      <c r="E37" s="3" t="s">
        <v>742</v>
      </c>
      <c r="F37" s="3" t="s">
        <v>743</v>
      </c>
      <c r="G37" s="5" t="s">
        <v>744</v>
      </c>
    </row>
    <row r="38" spans="1:7" ht="28.05" customHeight="1" x14ac:dyDescent="0.6">
      <c r="A38" s="12">
        <v>33</v>
      </c>
      <c r="B38" s="10" t="s">
        <v>176</v>
      </c>
      <c r="C38" s="12" t="s">
        <v>745</v>
      </c>
      <c r="D38" s="10" t="s">
        <v>746</v>
      </c>
      <c r="E38" s="3" t="s">
        <v>747</v>
      </c>
      <c r="F38" s="3" t="s">
        <v>748</v>
      </c>
      <c r="G38" s="5" t="s">
        <v>749</v>
      </c>
    </row>
    <row r="39" spans="1:7" ht="28.05" customHeight="1" x14ac:dyDescent="0.6">
      <c r="A39" s="12">
        <v>34</v>
      </c>
      <c r="B39" s="10" t="s">
        <v>176</v>
      </c>
      <c r="C39" s="12" t="s">
        <v>745</v>
      </c>
      <c r="D39" s="10" t="s">
        <v>750</v>
      </c>
      <c r="E39" s="3" t="s">
        <v>751</v>
      </c>
      <c r="F39" s="3" t="s">
        <v>752</v>
      </c>
      <c r="G39" s="5" t="s">
        <v>753</v>
      </c>
    </row>
    <row r="40" spans="1:7" ht="28.05" customHeight="1" x14ac:dyDescent="0.6">
      <c r="A40" s="12">
        <v>35</v>
      </c>
      <c r="B40" s="10" t="s">
        <v>161</v>
      </c>
      <c r="C40" s="12" t="s">
        <v>754</v>
      </c>
      <c r="D40" s="10" t="s">
        <v>755</v>
      </c>
      <c r="E40" s="3" t="s">
        <v>756</v>
      </c>
      <c r="F40" s="3" t="s">
        <v>757</v>
      </c>
      <c r="G40" s="5" t="s">
        <v>758</v>
      </c>
    </row>
    <row r="41" spans="1:7" ht="28.05" customHeight="1" x14ac:dyDescent="0.6">
      <c r="A41" s="12">
        <v>36</v>
      </c>
      <c r="B41" s="10" t="s">
        <v>161</v>
      </c>
      <c r="C41" s="12" t="s">
        <v>754</v>
      </c>
      <c r="D41" s="10" t="s">
        <v>759</v>
      </c>
      <c r="E41" s="3" t="s">
        <v>760</v>
      </c>
      <c r="F41" s="3" t="s">
        <v>761</v>
      </c>
      <c r="G41" s="5" t="s">
        <v>762</v>
      </c>
    </row>
    <row r="42" spans="1:7" ht="28.05" customHeight="1" x14ac:dyDescent="0.6">
      <c r="A42" s="12">
        <v>37</v>
      </c>
      <c r="B42" s="10" t="s">
        <v>161</v>
      </c>
      <c r="C42" s="12" t="s">
        <v>754</v>
      </c>
      <c r="D42" s="10" t="s">
        <v>763</v>
      </c>
      <c r="E42" s="3" t="s">
        <v>764</v>
      </c>
      <c r="F42" s="3" t="s">
        <v>765</v>
      </c>
      <c r="G42" s="5" t="s">
        <v>766</v>
      </c>
    </row>
    <row r="43" spans="1:7" ht="28.05" customHeight="1" x14ac:dyDescent="0.6">
      <c r="A43" s="12">
        <v>38</v>
      </c>
      <c r="B43" s="10" t="s">
        <v>161</v>
      </c>
      <c r="C43" s="12" t="s">
        <v>767</v>
      </c>
      <c r="D43" s="10" t="s">
        <v>768</v>
      </c>
      <c r="E43" s="3" t="s">
        <v>769</v>
      </c>
      <c r="F43" s="3" t="s">
        <v>770</v>
      </c>
      <c r="G43" s="5" t="s">
        <v>771</v>
      </c>
    </row>
    <row r="44" spans="1:7" ht="28.05" customHeight="1" x14ac:dyDescent="0.6">
      <c r="A44" s="12">
        <v>39</v>
      </c>
      <c r="B44" s="10" t="s">
        <v>161</v>
      </c>
      <c r="C44" s="12" t="s">
        <v>767</v>
      </c>
      <c r="D44" s="10" t="s">
        <v>772</v>
      </c>
      <c r="E44" s="3" t="s">
        <v>773</v>
      </c>
      <c r="F44" s="3" t="s">
        <v>774</v>
      </c>
      <c r="G44" s="5" t="s">
        <v>775</v>
      </c>
    </row>
    <row r="45" spans="1:7" ht="28.05" customHeight="1" x14ac:dyDescent="0.6">
      <c r="A45" s="12">
        <v>40</v>
      </c>
      <c r="B45" s="10" t="s">
        <v>161</v>
      </c>
      <c r="C45" s="12" t="s">
        <v>776</v>
      </c>
      <c r="D45" s="10" t="s">
        <v>777</v>
      </c>
      <c r="E45" s="3" t="s">
        <v>778</v>
      </c>
      <c r="F45" s="3" t="s">
        <v>779</v>
      </c>
      <c r="G45" s="5" t="s">
        <v>780</v>
      </c>
    </row>
    <row r="46" spans="1:7" ht="28.05" customHeight="1" x14ac:dyDescent="0.6">
      <c r="A46" s="12">
        <v>41</v>
      </c>
      <c r="B46" s="10" t="s">
        <v>161</v>
      </c>
      <c r="C46" s="12" t="s">
        <v>776</v>
      </c>
      <c r="D46" s="10" t="s">
        <v>781</v>
      </c>
      <c r="E46" s="3" t="s">
        <v>782</v>
      </c>
      <c r="F46" s="3" t="s">
        <v>783</v>
      </c>
      <c r="G46" s="5" t="s">
        <v>784</v>
      </c>
    </row>
    <row r="47" spans="1:7" ht="28.05" customHeight="1" x14ac:dyDescent="0.6">
      <c r="A47" s="12">
        <v>42</v>
      </c>
      <c r="B47" s="10" t="s">
        <v>565</v>
      </c>
      <c r="C47" s="12" t="s">
        <v>785</v>
      </c>
      <c r="D47" s="10" t="s">
        <v>786</v>
      </c>
      <c r="E47" s="3" t="s">
        <v>787</v>
      </c>
      <c r="F47" s="3" t="s">
        <v>788</v>
      </c>
      <c r="G47" s="5" t="s">
        <v>789</v>
      </c>
    </row>
    <row r="48" spans="1:7" ht="28.05" customHeight="1" x14ac:dyDescent="0.6">
      <c r="A48" s="12">
        <v>43</v>
      </c>
      <c r="B48" s="10" t="s">
        <v>565</v>
      </c>
      <c r="C48" s="12" t="s">
        <v>785</v>
      </c>
      <c r="D48" s="10" t="s">
        <v>790</v>
      </c>
      <c r="E48" s="3" t="s">
        <v>791</v>
      </c>
      <c r="F48" s="3" t="s">
        <v>792</v>
      </c>
      <c r="G48" s="5" t="s">
        <v>793</v>
      </c>
    </row>
    <row r="49" spans="1:7" ht="28.05" customHeight="1" x14ac:dyDescent="0.6">
      <c r="A49" s="12">
        <v>44</v>
      </c>
      <c r="B49" s="10" t="s">
        <v>565</v>
      </c>
      <c r="C49" s="12" t="s">
        <v>794</v>
      </c>
      <c r="D49" s="10" t="s">
        <v>795</v>
      </c>
      <c r="E49" s="3" t="s">
        <v>796</v>
      </c>
      <c r="F49" s="3" t="s">
        <v>797</v>
      </c>
      <c r="G49" s="5" t="s">
        <v>798</v>
      </c>
    </row>
    <row r="50" spans="1:7" ht="28.05" customHeight="1" x14ac:dyDescent="0.6">
      <c r="A50" s="12">
        <v>45</v>
      </c>
      <c r="B50" s="10" t="s">
        <v>565</v>
      </c>
      <c r="C50" s="12" t="s">
        <v>799</v>
      </c>
      <c r="D50" s="10" t="s">
        <v>800</v>
      </c>
      <c r="E50" s="3" t="s">
        <v>801</v>
      </c>
      <c r="F50" s="3" t="s">
        <v>802</v>
      </c>
      <c r="G50" s="5" t="s">
        <v>803</v>
      </c>
    </row>
    <row r="51" spans="1:7" ht="28.05" customHeight="1" x14ac:dyDescent="0.6">
      <c r="A51" s="12">
        <v>46</v>
      </c>
      <c r="B51" s="10" t="s">
        <v>195</v>
      </c>
      <c r="C51" s="12" t="s">
        <v>804</v>
      </c>
      <c r="D51" s="10" t="s">
        <v>805</v>
      </c>
      <c r="E51" s="3" t="s">
        <v>806</v>
      </c>
      <c r="F51" s="3" t="s">
        <v>807</v>
      </c>
      <c r="G51" s="5" t="s">
        <v>808</v>
      </c>
    </row>
    <row r="52" spans="1:7" ht="28.05" customHeight="1" x14ac:dyDescent="0.6">
      <c r="A52" s="12">
        <v>47</v>
      </c>
      <c r="B52" s="10" t="s">
        <v>195</v>
      </c>
      <c r="C52" s="12" t="s">
        <v>804</v>
      </c>
      <c r="D52" s="10" t="s">
        <v>809</v>
      </c>
      <c r="E52" s="3" t="s">
        <v>810</v>
      </c>
      <c r="F52" s="3" t="s">
        <v>811</v>
      </c>
      <c r="G52" s="5" t="s">
        <v>812</v>
      </c>
    </row>
    <row r="53" spans="1:7" ht="28.05" customHeight="1" x14ac:dyDescent="0.6">
      <c r="A53" s="12">
        <v>48</v>
      </c>
      <c r="B53" s="10" t="s">
        <v>195</v>
      </c>
      <c r="C53" s="12" t="s">
        <v>813</v>
      </c>
      <c r="D53" s="10" t="s">
        <v>814</v>
      </c>
      <c r="E53" s="3" t="s">
        <v>815</v>
      </c>
      <c r="F53" s="3" t="s">
        <v>816</v>
      </c>
      <c r="G53" s="5" t="s">
        <v>817</v>
      </c>
    </row>
    <row r="54" spans="1:7" ht="28.05" customHeight="1" x14ac:dyDescent="0.6">
      <c r="A54" s="12">
        <v>49</v>
      </c>
      <c r="B54" s="10" t="s">
        <v>195</v>
      </c>
      <c r="C54" s="12" t="s">
        <v>813</v>
      </c>
      <c r="D54" s="10" t="s">
        <v>818</v>
      </c>
      <c r="E54" s="3" t="s">
        <v>819</v>
      </c>
      <c r="F54" s="3" t="s">
        <v>818</v>
      </c>
      <c r="G54" s="5" t="s">
        <v>820</v>
      </c>
    </row>
    <row r="55" spans="1:7" ht="28.05" customHeight="1" x14ac:dyDescent="0.6">
      <c r="A55" s="12">
        <v>50</v>
      </c>
      <c r="B55" s="10" t="s">
        <v>195</v>
      </c>
      <c r="C55" s="12" t="s">
        <v>813</v>
      </c>
      <c r="D55" s="10" t="s">
        <v>821</v>
      </c>
      <c r="E55" s="3" t="s">
        <v>822</v>
      </c>
      <c r="F55" s="3" t="s">
        <v>823</v>
      </c>
      <c r="G55" s="5" t="s">
        <v>824</v>
      </c>
    </row>
    <row r="56" spans="1:7" ht="28.05" customHeight="1" x14ac:dyDescent="0.6">
      <c r="A56" s="12">
        <v>51</v>
      </c>
      <c r="B56" s="10" t="s">
        <v>195</v>
      </c>
      <c r="C56" s="12" t="s">
        <v>825</v>
      </c>
      <c r="D56" s="10" t="s">
        <v>826</v>
      </c>
      <c r="E56" s="3" t="s">
        <v>827</v>
      </c>
      <c r="F56" s="3" t="s">
        <v>828</v>
      </c>
      <c r="G56" s="5" t="s">
        <v>829</v>
      </c>
    </row>
    <row r="57" spans="1:7" ht="28.05" customHeight="1" x14ac:dyDescent="0.6">
      <c r="A57" s="12">
        <v>52</v>
      </c>
      <c r="B57" s="10" t="s">
        <v>202</v>
      </c>
      <c r="C57" s="12" t="s">
        <v>202</v>
      </c>
      <c r="D57" s="10" t="s">
        <v>830</v>
      </c>
      <c r="E57" s="3" t="s">
        <v>831</v>
      </c>
      <c r="F57" s="3" t="s">
        <v>832</v>
      </c>
      <c r="G57" s="5" t="s">
        <v>833</v>
      </c>
    </row>
    <row r="58" spans="1:7" ht="28.05" customHeight="1" x14ac:dyDescent="0.6">
      <c r="A58" s="12">
        <v>53</v>
      </c>
      <c r="B58" s="10" t="s">
        <v>202</v>
      </c>
      <c r="C58" s="12" t="s">
        <v>202</v>
      </c>
      <c r="D58" s="10" t="s">
        <v>834</v>
      </c>
      <c r="E58" s="3" t="s">
        <v>835</v>
      </c>
      <c r="F58" s="3" t="s">
        <v>836</v>
      </c>
      <c r="G58" s="5" t="s">
        <v>837</v>
      </c>
    </row>
    <row r="59" spans="1:7" ht="28.05" customHeight="1" x14ac:dyDescent="0.6">
      <c r="A59" s="12">
        <v>54</v>
      </c>
      <c r="B59" s="10" t="s">
        <v>202</v>
      </c>
      <c r="C59" s="12" t="s">
        <v>202</v>
      </c>
      <c r="D59" s="10" t="s">
        <v>838</v>
      </c>
      <c r="E59" s="3" t="s">
        <v>839</v>
      </c>
      <c r="F59" s="3" t="s">
        <v>840</v>
      </c>
      <c r="G59" s="5" t="s">
        <v>841</v>
      </c>
    </row>
    <row r="60" spans="1:7" ht="28.05" customHeight="1" x14ac:dyDescent="0.6">
      <c r="A60" s="12">
        <v>55</v>
      </c>
      <c r="B60" s="10" t="s">
        <v>202</v>
      </c>
      <c r="C60" s="12" t="s">
        <v>842</v>
      </c>
      <c r="D60" s="10" t="s">
        <v>843</v>
      </c>
      <c r="E60" s="3" t="s">
        <v>844</v>
      </c>
      <c r="F60" s="3" t="s">
        <v>845</v>
      </c>
      <c r="G60" s="5" t="s">
        <v>846</v>
      </c>
    </row>
    <row r="61" spans="1:7" ht="28.05" customHeight="1" x14ac:dyDescent="0.6">
      <c r="A61" s="12">
        <v>56</v>
      </c>
      <c r="B61" s="10" t="s">
        <v>202</v>
      </c>
      <c r="C61" s="12" t="s">
        <v>842</v>
      </c>
      <c r="D61" s="10" t="s">
        <v>847</v>
      </c>
      <c r="E61" s="3" t="s">
        <v>848</v>
      </c>
      <c r="F61" s="3" t="s">
        <v>849</v>
      </c>
      <c r="G61" s="5" t="s">
        <v>850</v>
      </c>
    </row>
    <row r="62" spans="1:7" ht="28.05" customHeight="1" x14ac:dyDescent="0.6">
      <c r="A62" s="12">
        <v>57</v>
      </c>
      <c r="B62" s="10" t="s">
        <v>169</v>
      </c>
      <c r="C62" s="12" t="s">
        <v>851</v>
      </c>
      <c r="D62" s="10" t="s">
        <v>852</v>
      </c>
      <c r="E62" s="3" t="s">
        <v>853</v>
      </c>
      <c r="F62" s="3" t="s">
        <v>854</v>
      </c>
      <c r="G62" s="5" t="s">
        <v>855</v>
      </c>
    </row>
    <row r="63" spans="1:7" ht="28.05" customHeight="1" x14ac:dyDescent="0.6">
      <c r="A63" s="12">
        <v>58</v>
      </c>
      <c r="B63" s="10" t="s">
        <v>169</v>
      </c>
      <c r="C63" s="12" t="s">
        <v>851</v>
      </c>
      <c r="D63" s="10" t="s">
        <v>856</v>
      </c>
      <c r="E63" s="3" t="s">
        <v>857</v>
      </c>
      <c r="F63" s="3" t="s">
        <v>858</v>
      </c>
      <c r="G63" s="5" t="s">
        <v>859</v>
      </c>
    </row>
    <row r="64" spans="1:7" ht="28.05" customHeight="1" x14ac:dyDescent="0.6">
      <c r="A64" s="12">
        <v>59</v>
      </c>
      <c r="B64" s="10" t="s">
        <v>169</v>
      </c>
      <c r="C64" s="12" t="s">
        <v>851</v>
      </c>
      <c r="D64" s="10" t="s">
        <v>860</v>
      </c>
      <c r="E64" s="3" t="s">
        <v>861</v>
      </c>
      <c r="F64" s="3" t="s">
        <v>862</v>
      </c>
      <c r="G64" s="5" t="s">
        <v>863</v>
      </c>
    </row>
    <row r="65" spans="1:7" ht="28.05" customHeight="1" x14ac:dyDescent="0.6">
      <c r="A65" s="12">
        <v>60</v>
      </c>
      <c r="B65" s="10" t="s">
        <v>169</v>
      </c>
      <c r="C65" s="12" t="s">
        <v>864</v>
      </c>
      <c r="D65" s="10" t="s">
        <v>865</v>
      </c>
      <c r="E65" s="3" t="s">
        <v>866</v>
      </c>
      <c r="F65" s="3" t="s">
        <v>867</v>
      </c>
      <c r="G65" s="5" t="s">
        <v>868</v>
      </c>
    </row>
    <row r="66" spans="1:7" ht="28.05" customHeight="1" x14ac:dyDescent="0.6">
      <c r="A66" s="12">
        <v>61</v>
      </c>
      <c r="B66" s="10" t="s">
        <v>169</v>
      </c>
      <c r="C66" s="12" t="s">
        <v>864</v>
      </c>
      <c r="D66" s="10" t="s">
        <v>869</v>
      </c>
      <c r="E66" s="3" t="s">
        <v>870</v>
      </c>
      <c r="F66" s="3" t="s">
        <v>871</v>
      </c>
      <c r="G66" s="5" t="s">
        <v>872</v>
      </c>
    </row>
    <row r="67" spans="1:7" ht="28.05" customHeight="1" x14ac:dyDescent="0.6">
      <c r="A67" s="12">
        <v>62</v>
      </c>
      <c r="B67" s="10" t="s">
        <v>169</v>
      </c>
      <c r="C67" s="12" t="s">
        <v>864</v>
      </c>
      <c r="D67" s="10" t="s">
        <v>873</v>
      </c>
      <c r="E67" s="3" t="s">
        <v>874</v>
      </c>
      <c r="F67" s="3" t="s">
        <v>875</v>
      </c>
      <c r="G67" s="5" t="s">
        <v>876</v>
      </c>
    </row>
    <row r="68" spans="1:7" ht="28.05" customHeight="1" x14ac:dyDescent="0.6">
      <c r="A68" s="12">
        <v>63</v>
      </c>
      <c r="B68" s="10" t="s">
        <v>169</v>
      </c>
      <c r="C68" s="12" t="s">
        <v>877</v>
      </c>
      <c r="D68" s="10" t="s">
        <v>878</v>
      </c>
      <c r="E68" s="3" t="s">
        <v>879</v>
      </c>
      <c r="F68" s="3" t="s">
        <v>880</v>
      </c>
      <c r="G68" s="5" t="s">
        <v>881</v>
      </c>
    </row>
    <row r="69" spans="1:7" ht="28.05" customHeight="1" x14ac:dyDescent="0.6"/>
    <row r="70" spans="1:7" ht="28.05" customHeight="1" x14ac:dyDescent="0.6"/>
    <row r="71" spans="1:7" ht="28.05" customHeight="1" x14ac:dyDescent="0.6"/>
    <row r="72" spans="1:7" ht="28.05" customHeight="1" x14ac:dyDescent="0.6"/>
    <row r="73" spans="1:7" ht="28.05" customHeight="1" x14ac:dyDescent="0.6"/>
    <row r="74" spans="1:7" ht="28.05" customHeight="1" x14ac:dyDescent="0.6"/>
  </sheetData>
  <mergeCells count="2">
    <mergeCell ref="A2:G2"/>
    <mergeCell ref="A1:G1"/>
  </mergeCells>
  <phoneticPr fontId="16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</sheetPr>
  <dimension ref="A1:Z71"/>
  <sheetViews>
    <sheetView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2" width="10" customWidth="1"/>
    <col min="3" max="4" width="14" customWidth="1"/>
    <col min="5" max="5" width="11" customWidth="1"/>
    <col min="6" max="24" width="9" customWidth="1"/>
  </cols>
  <sheetData>
    <row r="1" spans="1:26" ht="30" customHeight="1" x14ac:dyDescent="0.6">
      <c r="A1" s="82" t="s">
        <v>882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</row>
    <row r="2" spans="1:26" ht="22.05" customHeight="1" x14ac:dyDescent="0.6">
      <c r="A2" s="80" t="s">
        <v>883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7"/>
    </row>
    <row r="3" spans="1:26" ht="22.05" customHeight="1" x14ac:dyDescent="0.6">
      <c r="A3" s="93" t="s">
        <v>884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7"/>
    </row>
    <row r="5" spans="1:26" ht="26" customHeight="1" x14ac:dyDescent="0.6">
      <c r="A5" s="87" t="s">
        <v>885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7"/>
    </row>
    <row r="6" spans="1:26" ht="22.05" customHeight="1" x14ac:dyDescent="0.6">
      <c r="A6" s="91" t="s">
        <v>144</v>
      </c>
      <c r="B6" s="91" t="s">
        <v>145</v>
      </c>
      <c r="C6" s="91" t="s">
        <v>146</v>
      </c>
      <c r="D6" s="91" t="s">
        <v>149</v>
      </c>
      <c r="E6" s="91" t="s">
        <v>421</v>
      </c>
      <c r="F6" s="90" t="s">
        <v>607</v>
      </c>
      <c r="G6" s="66"/>
      <c r="H6" s="66"/>
      <c r="I6" s="66"/>
      <c r="J6" s="66"/>
      <c r="K6" s="67"/>
      <c r="L6" s="90" t="s">
        <v>632</v>
      </c>
      <c r="M6" s="66"/>
      <c r="N6" s="66"/>
      <c r="O6" s="66"/>
      <c r="P6" s="67"/>
      <c r="Q6" s="90" t="s">
        <v>653</v>
      </c>
      <c r="R6" s="66"/>
      <c r="S6" s="66"/>
      <c r="T6" s="66"/>
      <c r="U6" s="67"/>
      <c r="V6" s="90" t="s">
        <v>674</v>
      </c>
      <c r="W6" s="66"/>
      <c r="X6" s="67"/>
    </row>
    <row r="7" spans="1:26" ht="60" customHeight="1" x14ac:dyDescent="0.6">
      <c r="A7" s="92"/>
      <c r="B7" s="92"/>
      <c r="C7" s="92"/>
      <c r="D7" s="92"/>
      <c r="E7" s="92"/>
      <c r="F7" s="42" t="s">
        <v>608</v>
      </c>
      <c r="G7" s="42" t="s">
        <v>612</v>
      </c>
      <c r="H7" s="42" t="s">
        <v>616</v>
      </c>
      <c r="I7" s="42" t="s">
        <v>620</v>
      </c>
      <c r="J7" s="42" t="s">
        <v>624</v>
      </c>
      <c r="K7" s="42" t="s">
        <v>628</v>
      </c>
      <c r="L7" s="42" t="s">
        <v>633</v>
      </c>
      <c r="M7" s="42" t="s">
        <v>637</v>
      </c>
      <c r="N7" s="42" t="s">
        <v>641</v>
      </c>
      <c r="O7" s="42" t="s">
        <v>645</v>
      </c>
      <c r="P7" s="42" t="s">
        <v>649</v>
      </c>
      <c r="Q7" s="42" t="s">
        <v>654</v>
      </c>
      <c r="R7" s="42" t="s">
        <v>658</v>
      </c>
      <c r="S7" s="42" t="s">
        <v>662</v>
      </c>
      <c r="T7" s="42" t="s">
        <v>666</v>
      </c>
      <c r="U7" s="42" t="s">
        <v>670</v>
      </c>
      <c r="V7" s="42" t="s">
        <v>675</v>
      </c>
      <c r="W7" s="42" t="s">
        <v>679</v>
      </c>
      <c r="X7" s="42" t="s">
        <v>683</v>
      </c>
    </row>
    <row r="8" spans="1:26" ht="22.05" customHeight="1" x14ac:dyDescent="0.6">
      <c r="A8" s="12">
        <v>1</v>
      </c>
      <c r="B8" s="25" t="s">
        <v>179</v>
      </c>
      <c r="C8" s="10" t="s">
        <v>886</v>
      </c>
      <c r="D8" s="5" t="s">
        <v>183</v>
      </c>
      <c r="E8" s="40">
        <f>COUNTIF(F8:X8,"O")</f>
        <v>0</v>
      </c>
      <c r="F8" s="17" t="s">
        <v>887</v>
      </c>
      <c r="G8" s="17" t="s">
        <v>887</v>
      </c>
      <c r="H8" s="17" t="s">
        <v>887</v>
      </c>
      <c r="I8" s="17" t="s">
        <v>887</v>
      </c>
      <c r="J8" s="17" t="s">
        <v>887</v>
      </c>
      <c r="K8" s="17" t="s">
        <v>887</v>
      </c>
      <c r="L8" s="17" t="s">
        <v>887</v>
      </c>
      <c r="M8" s="17" t="s">
        <v>887</v>
      </c>
      <c r="N8" s="17" t="s">
        <v>887</v>
      </c>
      <c r="O8" s="17" t="s">
        <v>887</v>
      </c>
      <c r="P8" s="17" t="s">
        <v>887</v>
      </c>
      <c r="Q8" s="17" t="s">
        <v>887</v>
      </c>
      <c r="R8" s="17" t="s">
        <v>887</v>
      </c>
      <c r="S8" s="17" t="s">
        <v>887</v>
      </c>
      <c r="T8" s="17" t="s">
        <v>887</v>
      </c>
      <c r="U8" s="17" t="s">
        <v>887</v>
      </c>
      <c r="V8" s="17" t="s">
        <v>887</v>
      </c>
      <c r="W8" s="17" t="s">
        <v>887</v>
      </c>
      <c r="X8" s="17" t="s">
        <v>887</v>
      </c>
    </row>
    <row r="9" spans="1:26" ht="22.05" customHeight="1" x14ac:dyDescent="0.6">
      <c r="A9" s="12">
        <v>2</v>
      </c>
      <c r="B9" s="25" t="s">
        <v>186</v>
      </c>
      <c r="C9" s="10" t="s">
        <v>888</v>
      </c>
      <c r="D9" s="5" t="s">
        <v>183</v>
      </c>
      <c r="E9" s="40">
        <f>COUNTIF(F9:X9,"O")</f>
        <v>0</v>
      </c>
      <c r="F9" s="17" t="s">
        <v>887</v>
      </c>
      <c r="G9" s="17" t="s">
        <v>887</v>
      </c>
      <c r="H9" s="17" t="s">
        <v>887</v>
      </c>
      <c r="I9" s="17" t="s">
        <v>887</v>
      </c>
      <c r="J9" s="17" t="s">
        <v>887</v>
      </c>
      <c r="K9" s="17" t="s">
        <v>887</v>
      </c>
      <c r="L9" s="17" t="s">
        <v>887</v>
      </c>
      <c r="M9" s="17" t="s">
        <v>887</v>
      </c>
      <c r="N9" s="17" t="s">
        <v>887</v>
      </c>
      <c r="O9" s="17" t="s">
        <v>887</v>
      </c>
      <c r="P9" s="17" t="s">
        <v>887</v>
      </c>
      <c r="Q9" s="17" t="s">
        <v>887</v>
      </c>
      <c r="R9" s="17" t="s">
        <v>887</v>
      </c>
      <c r="S9" s="17" t="s">
        <v>887</v>
      </c>
      <c r="T9" s="17" t="s">
        <v>887</v>
      </c>
      <c r="U9" s="17" t="s">
        <v>887</v>
      </c>
      <c r="V9" s="17" t="s">
        <v>887</v>
      </c>
      <c r="W9" s="17" t="s">
        <v>887</v>
      </c>
      <c r="X9" s="17" t="s">
        <v>887</v>
      </c>
    </row>
    <row r="10" spans="1:26" ht="22.05" customHeight="1" x14ac:dyDescent="0.6">
      <c r="A10" s="12">
        <v>3</v>
      </c>
      <c r="B10" s="25" t="s">
        <v>189</v>
      </c>
      <c r="C10" s="10" t="s">
        <v>889</v>
      </c>
      <c r="D10" s="5" t="s">
        <v>183</v>
      </c>
      <c r="E10" s="40">
        <f>COUNTIF(F10:X10,"O")</f>
        <v>0</v>
      </c>
      <c r="F10" s="17" t="s">
        <v>887</v>
      </c>
      <c r="G10" s="17" t="s">
        <v>887</v>
      </c>
      <c r="H10" s="17" t="s">
        <v>887</v>
      </c>
      <c r="I10" s="17" t="s">
        <v>887</v>
      </c>
      <c r="J10" s="17" t="s">
        <v>887</v>
      </c>
      <c r="K10" s="17" t="s">
        <v>887</v>
      </c>
      <c r="L10" s="17" t="s">
        <v>887</v>
      </c>
      <c r="M10" s="17" t="s">
        <v>887</v>
      </c>
      <c r="N10" s="17" t="s">
        <v>887</v>
      </c>
      <c r="O10" s="17" t="s">
        <v>887</v>
      </c>
      <c r="P10" s="17" t="s">
        <v>887</v>
      </c>
      <c r="Q10" s="17" t="s">
        <v>887</v>
      </c>
      <c r="R10" s="17" t="s">
        <v>887</v>
      </c>
      <c r="S10" s="17" t="s">
        <v>887</v>
      </c>
      <c r="T10" s="17" t="s">
        <v>887</v>
      </c>
      <c r="U10" s="17" t="s">
        <v>887</v>
      </c>
      <c r="V10" s="17" t="s">
        <v>887</v>
      </c>
      <c r="W10" s="17" t="s">
        <v>887</v>
      </c>
      <c r="X10" s="17" t="s">
        <v>887</v>
      </c>
    </row>
    <row r="11" spans="1:26" ht="22.05" customHeight="1" x14ac:dyDescent="0.6">
      <c r="A11" s="12">
        <v>4</v>
      </c>
      <c r="B11" s="25" t="s">
        <v>214</v>
      </c>
      <c r="C11" s="10" t="s">
        <v>890</v>
      </c>
      <c r="D11" s="5" t="s">
        <v>216</v>
      </c>
      <c r="E11" s="40">
        <f>COUNTIF(F11:X11,"O")</f>
        <v>0</v>
      </c>
      <c r="F11" s="17" t="s">
        <v>887</v>
      </c>
      <c r="G11" s="17" t="s">
        <v>887</v>
      </c>
      <c r="H11" s="17" t="s">
        <v>887</v>
      </c>
      <c r="I11" s="17" t="s">
        <v>887</v>
      </c>
      <c r="J11" s="17" t="s">
        <v>887</v>
      </c>
      <c r="K11" s="17" t="s">
        <v>887</v>
      </c>
      <c r="L11" s="17" t="s">
        <v>887</v>
      </c>
      <c r="M11" s="17" t="s">
        <v>887</v>
      </c>
      <c r="N11" s="17" t="s">
        <v>887</v>
      </c>
      <c r="O11" s="17" t="s">
        <v>887</v>
      </c>
      <c r="P11" s="17" t="s">
        <v>887</v>
      </c>
      <c r="Q11" s="17" t="s">
        <v>887</v>
      </c>
      <c r="R11" s="17" t="s">
        <v>887</v>
      </c>
      <c r="S11" s="17" t="s">
        <v>887</v>
      </c>
      <c r="T11" s="17" t="s">
        <v>887</v>
      </c>
      <c r="U11" s="17" t="s">
        <v>887</v>
      </c>
      <c r="V11" s="17" t="s">
        <v>887</v>
      </c>
      <c r="W11" s="17" t="s">
        <v>887</v>
      </c>
      <c r="X11" s="17" t="s">
        <v>887</v>
      </c>
    </row>
    <row r="12" spans="1:26" ht="22.05" customHeight="1" x14ac:dyDescent="0.6">
      <c r="A12" s="12">
        <v>5</v>
      </c>
      <c r="B12" s="25" t="s">
        <v>263</v>
      </c>
      <c r="C12" s="10" t="s">
        <v>891</v>
      </c>
      <c r="D12" s="5" t="s">
        <v>216</v>
      </c>
      <c r="E12" s="40">
        <f>COUNTIF(F12:X12,"O")</f>
        <v>0</v>
      </c>
      <c r="F12" s="17" t="s">
        <v>887</v>
      </c>
      <c r="G12" s="17" t="s">
        <v>887</v>
      </c>
      <c r="H12" s="17" t="s">
        <v>887</v>
      </c>
      <c r="I12" s="17" t="s">
        <v>887</v>
      </c>
      <c r="J12" s="17" t="s">
        <v>887</v>
      </c>
      <c r="K12" s="17" t="s">
        <v>887</v>
      </c>
      <c r="L12" s="17" t="s">
        <v>887</v>
      </c>
      <c r="M12" s="17" t="s">
        <v>887</v>
      </c>
      <c r="N12" s="17" t="s">
        <v>887</v>
      </c>
      <c r="O12" s="17" t="s">
        <v>887</v>
      </c>
      <c r="P12" s="17" t="s">
        <v>887</v>
      </c>
      <c r="Q12" s="17" t="s">
        <v>887</v>
      </c>
      <c r="R12" s="17" t="s">
        <v>887</v>
      </c>
      <c r="S12" s="17" t="s">
        <v>887</v>
      </c>
      <c r="T12" s="17" t="s">
        <v>887</v>
      </c>
      <c r="U12" s="17" t="s">
        <v>887</v>
      </c>
      <c r="V12" s="17" t="s">
        <v>887</v>
      </c>
      <c r="W12" s="17" t="s">
        <v>887</v>
      </c>
      <c r="X12" s="17" t="s">
        <v>887</v>
      </c>
    </row>
    <row r="15" spans="1:26" ht="26" customHeight="1" x14ac:dyDescent="0.6">
      <c r="A15" s="87" t="s">
        <v>892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26" ht="22.05" customHeight="1" x14ac:dyDescent="0.6">
      <c r="A16" s="91" t="s">
        <v>144</v>
      </c>
      <c r="B16" s="91" t="s">
        <v>145</v>
      </c>
      <c r="C16" s="91" t="s">
        <v>146</v>
      </c>
      <c r="D16" s="91" t="s">
        <v>149</v>
      </c>
      <c r="E16" s="91" t="s">
        <v>421</v>
      </c>
      <c r="F16" s="90" t="s">
        <v>754</v>
      </c>
      <c r="G16" s="66"/>
      <c r="H16" s="67"/>
      <c r="I16" s="90" t="s">
        <v>767</v>
      </c>
      <c r="J16" s="67"/>
      <c r="K16" s="90" t="s">
        <v>776</v>
      </c>
      <c r="L16" s="67"/>
    </row>
    <row r="17" spans="1:20" ht="60" customHeight="1" x14ac:dyDescent="0.6">
      <c r="A17" s="92"/>
      <c r="B17" s="92"/>
      <c r="C17" s="92"/>
      <c r="D17" s="92"/>
      <c r="E17" s="92"/>
      <c r="F17" s="42" t="s">
        <v>755</v>
      </c>
      <c r="G17" s="42" t="s">
        <v>759</v>
      </c>
      <c r="H17" s="42" t="s">
        <v>763</v>
      </c>
      <c r="I17" s="42" t="s">
        <v>768</v>
      </c>
      <c r="J17" s="42" t="s">
        <v>772</v>
      </c>
      <c r="K17" s="42" t="s">
        <v>777</v>
      </c>
      <c r="L17" s="42" t="s">
        <v>781</v>
      </c>
    </row>
    <row r="18" spans="1:20" ht="22.05" customHeight="1" x14ac:dyDescent="0.6">
      <c r="A18" s="12">
        <v>1</v>
      </c>
      <c r="B18" s="25" t="s">
        <v>158</v>
      </c>
      <c r="C18" s="10" t="s">
        <v>893</v>
      </c>
      <c r="D18" s="5" t="s">
        <v>162</v>
      </c>
      <c r="E18" s="40">
        <f>COUNTIF(F18:L18,"O")</f>
        <v>0</v>
      </c>
      <c r="F18" s="17" t="s">
        <v>887</v>
      </c>
      <c r="G18" s="17" t="s">
        <v>887</v>
      </c>
      <c r="H18" s="17" t="s">
        <v>887</v>
      </c>
      <c r="I18" s="17" t="s">
        <v>887</v>
      </c>
      <c r="J18" s="17" t="s">
        <v>887</v>
      </c>
      <c r="K18" s="17" t="s">
        <v>887</v>
      </c>
      <c r="L18" s="17" t="s">
        <v>887</v>
      </c>
    </row>
    <row r="21" spans="1:20" ht="26" customHeight="1" x14ac:dyDescent="0.6">
      <c r="A21" s="87" t="s">
        <v>894</v>
      </c>
      <c r="B21" s="66"/>
      <c r="C21" s="66"/>
      <c r="D21" s="66"/>
      <c r="E21" s="66"/>
      <c r="F21" s="66"/>
      <c r="G21" s="66"/>
      <c r="H21" s="66"/>
      <c r="I21" s="67"/>
    </row>
    <row r="22" spans="1:20" ht="22.05" customHeight="1" x14ac:dyDescent="0.6">
      <c r="A22" s="91" t="s">
        <v>144</v>
      </c>
      <c r="B22" s="91" t="s">
        <v>145</v>
      </c>
      <c r="C22" s="91" t="s">
        <v>146</v>
      </c>
      <c r="D22" s="91" t="s">
        <v>149</v>
      </c>
      <c r="E22" s="91" t="s">
        <v>421</v>
      </c>
      <c r="F22" s="90" t="s">
        <v>785</v>
      </c>
      <c r="G22" s="67"/>
      <c r="H22" s="26" t="s">
        <v>794</v>
      </c>
      <c r="I22" s="26" t="s">
        <v>799</v>
      </c>
    </row>
    <row r="23" spans="1:20" ht="60" customHeight="1" x14ac:dyDescent="0.6">
      <c r="A23" s="92"/>
      <c r="B23" s="92"/>
      <c r="C23" s="92"/>
      <c r="D23" s="92"/>
      <c r="E23" s="92"/>
      <c r="F23" s="42" t="s">
        <v>786</v>
      </c>
      <c r="G23" s="42" t="s">
        <v>790</v>
      </c>
      <c r="H23" s="42" t="s">
        <v>795</v>
      </c>
      <c r="I23" s="42" t="s">
        <v>800</v>
      </c>
    </row>
    <row r="26" spans="1:20" ht="26" customHeight="1" x14ac:dyDescent="0.6">
      <c r="A26" s="87" t="s">
        <v>895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7"/>
    </row>
    <row r="27" spans="1:20" ht="22.05" customHeight="1" x14ac:dyDescent="0.6">
      <c r="A27" s="91" t="s">
        <v>144</v>
      </c>
      <c r="B27" s="91" t="s">
        <v>145</v>
      </c>
      <c r="C27" s="91" t="s">
        <v>146</v>
      </c>
      <c r="D27" s="91" t="s">
        <v>149</v>
      </c>
      <c r="E27" s="91" t="s">
        <v>421</v>
      </c>
      <c r="F27" s="90" t="s">
        <v>687</v>
      </c>
      <c r="G27" s="66"/>
      <c r="H27" s="67"/>
      <c r="I27" s="90" t="s">
        <v>700</v>
      </c>
      <c r="J27" s="67"/>
      <c r="K27" s="26" t="s">
        <v>709</v>
      </c>
      <c r="L27" s="26" t="s">
        <v>714</v>
      </c>
      <c r="M27" s="90" t="s">
        <v>719</v>
      </c>
      <c r="N27" s="66"/>
      <c r="O27" s="67"/>
      <c r="P27" s="90" t="s">
        <v>732</v>
      </c>
      <c r="Q27" s="66"/>
      <c r="R27" s="67"/>
      <c r="S27" s="90" t="s">
        <v>745</v>
      </c>
      <c r="T27" s="67"/>
    </row>
    <row r="28" spans="1:20" ht="60" customHeight="1" x14ac:dyDescent="0.6">
      <c r="A28" s="92"/>
      <c r="B28" s="92"/>
      <c r="C28" s="92"/>
      <c r="D28" s="92"/>
      <c r="E28" s="92"/>
      <c r="F28" s="42" t="s">
        <v>688</v>
      </c>
      <c r="G28" s="42" t="s">
        <v>692</v>
      </c>
      <c r="H28" s="42" t="s">
        <v>696</v>
      </c>
      <c r="I28" s="42" t="s">
        <v>701</v>
      </c>
      <c r="J28" s="42" t="s">
        <v>705</v>
      </c>
      <c r="K28" s="42" t="s">
        <v>710</v>
      </c>
      <c r="L28" s="42" t="s">
        <v>715</v>
      </c>
      <c r="M28" s="42" t="s">
        <v>720</v>
      </c>
      <c r="N28" s="42" t="s">
        <v>724</v>
      </c>
      <c r="O28" s="42" t="s">
        <v>728</v>
      </c>
      <c r="P28" s="42" t="s">
        <v>733</v>
      </c>
      <c r="Q28" s="42" t="s">
        <v>737</v>
      </c>
      <c r="R28" s="42" t="s">
        <v>741</v>
      </c>
      <c r="S28" s="42" t="s">
        <v>746</v>
      </c>
      <c r="T28" s="42" t="s">
        <v>750</v>
      </c>
    </row>
    <row r="29" spans="1:20" ht="22.05" customHeight="1" x14ac:dyDescent="0.6">
      <c r="A29" s="12">
        <v>1</v>
      </c>
      <c r="B29" s="25" t="s">
        <v>173</v>
      </c>
      <c r="C29" s="10" t="s">
        <v>896</v>
      </c>
      <c r="D29" s="5" t="s">
        <v>177</v>
      </c>
      <c r="E29" s="40">
        <f t="shared" ref="E29:E49" si="0">COUNTIF(F29:T29,"O")</f>
        <v>0</v>
      </c>
      <c r="F29" s="17" t="s">
        <v>887</v>
      </c>
      <c r="G29" s="17" t="s">
        <v>887</v>
      </c>
      <c r="H29" s="17" t="s">
        <v>887</v>
      </c>
      <c r="I29" s="17" t="s">
        <v>887</v>
      </c>
      <c r="J29" s="17" t="s">
        <v>887</v>
      </c>
      <c r="K29" s="17" t="s">
        <v>887</v>
      </c>
      <c r="L29" s="17" t="s">
        <v>887</v>
      </c>
      <c r="M29" s="17" t="s">
        <v>887</v>
      </c>
      <c r="N29" s="17" t="s">
        <v>887</v>
      </c>
      <c r="O29" s="17" t="s">
        <v>887</v>
      </c>
      <c r="P29" s="17" t="s">
        <v>887</v>
      </c>
      <c r="Q29" s="17" t="s">
        <v>887</v>
      </c>
      <c r="R29" s="17" t="s">
        <v>887</v>
      </c>
      <c r="S29" s="17" t="s">
        <v>887</v>
      </c>
      <c r="T29" s="17" t="s">
        <v>887</v>
      </c>
    </row>
    <row r="30" spans="1:20" ht="22.05" customHeight="1" x14ac:dyDescent="0.6">
      <c r="A30" s="12">
        <v>2</v>
      </c>
      <c r="B30" s="25" t="s">
        <v>204</v>
      </c>
      <c r="C30" s="10" t="s">
        <v>897</v>
      </c>
      <c r="D30" s="5" t="s">
        <v>177</v>
      </c>
      <c r="E30" s="40">
        <f t="shared" si="0"/>
        <v>0</v>
      </c>
      <c r="F30" s="17" t="s">
        <v>887</v>
      </c>
      <c r="G30" s="17" t="s">
        <v>887</v>
      </c>
      <c r="H30" s="17" t="s">
        <v>887</v>
      </c>
      <c r="I30" s="17" t="s">
        <v>887</v>
      </c>
      <c r="J30" s="17" t="s">
        <v>887</v>
      </c>
      <c r="K30" s="17" t="s">
        <v>887</v>
      </c>
      <c r="L30" s="17" t="s">
        <v>887</v>
      </c>
      <c r="M30" s="17" t="s">
        <v>887</v>
      </c>
      <c r="N30" s="17" t="s">
        <v>887</v>
      </c>
      <c r="O30" s="17" t="s">
        <v>887</v>
      </c>
      <c r="P30" s="17" t="s">
        <v>887</v>
      </c>
      <c r="Q30" s="17" t="s">
        <v>887</v>
      </c>
      <c r="R30" s="17" t="s">
        <v>887</v>
      </c>
      <c r="S30" s="17" t="s">
        <v>887</v>
      </c>
      <c r="T30" s="17" t="s">
        <v>887</v>
      </c>
    </row>
    <row r="31" spans="1:20" ht="22.05" customHeight="1" x14ac:dyDescent="0.6">
      <c r="A31" s="12">
        <v>3</v>
      </c>
      <c r="B31" s="25" t="s">
        <v>207</v>
      </c>
      <c r="C31" s="10" t="s">
        <v>898</v>
      </c>
      <c r="D31" s="5" t="s">
        <v>177</v>
      </c>
      <c r="E31" s="40">
        <f t="shared" si="0"/>
        <v>0</v>
      </c>
      <c r="F31" s="17" t="s">
        <v>887</v>
      </c>
      <c r="G31" s="17" t="s">
        <v>887</v>
      </c>
      <c r="H31" s="17" t="s">
        <v>887</v>
      </c>
      <c r="I31" s="17" t="s">
        <v>887</v>
      </c>
      <c r="J31" s="17" t="s">
        <v>887</v>
      </c>
      <c r="K31" s="17" t="s">
        <v>887</v>
      </c>
      <c r="L31" s="17" t="s">
        <v>887</v>
      </c>
      <c r="M31" s="17" t="s">
        <v>887</v>
      </c>
      <c r="N31" s="17" t="s">
        <v>887</v>
      </c>
      <c r="O31" s="17" t="s">
        <v>887</v>
      </c>
      <c r="P31" s="17" t="s">
        <v>887</v>
      </c>
      <c r="Q31" s="17" t="s">
        <v>887</v>
      </c>
      <c r="R31" s="17" t="s">
        <v>887</v>
      </c>
      <c r="S31" s="17" t="s">
        <v>887</v>
      </c>
      <c r="T31" s="17" t="s">
        <v>887</v>
      </c>
    </row>
    <row r="32" spans="1:20" ht="22.05" customHeight="1" x14ac:dyDescent="0.6">
      <c r="A32" s="12">
        <v>4</v>
      </c>
      <c r="B32" s="25" t="s">
        <v>211</v>
      </c>
      <c r="C32" s="10" t="s">
        <v>899</v>
      </c>
      <c r="D32" s="5" t="s">
        <v>177</v>
      </c>
      <c r="E32" s="40">
        <f t="shared" si="0"/>
        <v>0</v>
      </c>
      <c r="F32" s="17" t="s">
        <v>887</v>
      </c>
      <c r="G32" s="17" t="s">
        <v>887</v>
      </c>
      <c r="H32" s="17" t="s">
        <v>887</v>
      </c>
      <c r="I32" s="17" t="s">
        <v>887</v>
      </c>
      <c r="J32" s="17" t="s">
        <v>887</v>
      </c>
      <c r="K32" s="17" t="s">
        <v>887</v>
      </c>
      <c r="L32" s="17" t="s">
        <v>887</v>
      </c>
      <c r="M32" s="17" t="s">
        <v>887</v>
      </c>
      <c r="N32" s="17" t="s">
        <v>887</v>
      </c>
      <c r="O32" s="17" t="s">
        <v>887</v>
      </c>
      <c r="P32" s="17" t="s">
        <v>887</v>
      </c>
      <c r="Q32" s="17" t="s">
        <v>887</v>
      </c>
      <c r="R32" s="17" t="s">
        <v>887</v>
      </c>
      <c r="S32" s="17" t="s">
        <v>887</v>
      </c>
      <c r="T32" s="17" t="s">
        <v>887</v>
      </c>
    </row>
    <row r="33" spans="1:20" ht="22.05" customHeight="1" x14ac:dyDescent="0.6">
      <c r="A33" s="12">
        <v>5</v>
      </c>
      <c r="B33" s="25" t="s">
        <v>218</v>
      </c>
      <c r="C33" s="10" t="s">
        <v>900</v>
      </c>
      <c r="D33" s="5" t="s">
        <v>177</v>
      </c>
      <c r="E33" s="40">
        <f t="shared" si="0"/>
        <v>0</v>
      </c>
      <c r="F33" s="17" t="s">
        <v>887</v>
      </c>
      <c r="G33" s="17" t="s">
        <v>887</v>
      </c>
      <c r="H33" s="17" t="s">
        <v>887</v>
      </c>
      <c r="I33" s="17" t="s">
        <v>887</v>
      </c>
      <c r="J33" s="17" t="s">
        <v>887</v>
      </c>
      <c r="K33" s="17" t="s">
        <v>887</v>
      </c>
      <c r="L33" s="17" t="s">
        <v>887</v>
      </c>
      <c r="M33" s="17" t="s">
        <v>887</v>
      </c>
      <c r="N33" s="17" t="s">
        <v>887</v>
      </c>
      <c r="O33" s="17" t="s">
        <v>887</v>
      </c>
      <c r="P33" s="17" t="s">
        <v>887</v>
      </c>
      <c r="Q33" s="17" t="s">
        <v>887</v>
      </c>
      <c r="R33" s="17" t="s">
        <v>887</v>
      </c>
      <c r="S33" s="17" t="s">
        <v>887</v>
      </c>
      <c r="T33" s="17" t="s">
        <v>887</v>
      </c>
    </row>
    <row r="34" spans="1:20" ht="22.05" customHeight="1" x14ac:dyDescent="0.6">
      <c r="A34" s="12">
        <v>6</v>
      </c>
      <c r="B34" s="25" t="s">
        <v>221</v>
      </c>
      <c r="C34" s="10" t="s">
        <v>901</v>
      </c>
      <c r="D34" s="5" t="s">
        <v>177</v>
      </c>
      <c r="E34" s="40">
        <f t="shared" si="0"/>
        <v>0</v>
      </c>
      <c r="F34" s="17" t="s">
        <v>887</v>
      </c>
      <c r="G34" s="17" t="s">
        <v>887</v>
      </c>
      <c r="H34" s="17" t="s">
        <v>887</v>
      </c>
      <c r="I34" s="17" t="s">
        <v>887</v>
      </c>
      <c r="J34" s="17" t="s">
        <v>887</v>
      </c>
      <c r="K34" s="17" t="s">
        <v>887</v>
      </c>
      <c r="L34" s="17" t="s">
        <v>887</v>
      </c>
      <c r="M34" s="17" t="s">
        <v>887</v>
      </c>
      <c r="N34" s="17" t="s">
        <v>887</v>
      </c>
      <c r="O34" s="17" t="s">
        <v>887</v>
      </c>
      <c r="P34" s="17" t="s">
        <v>887</v>
      </c>
      <c r="Q34" s="17" t="s">
        <v>887</v>
      </c>
      <c r="R34" s="17" t="s">
        <v>887</v>
      </c>
      <c r="S34" s="17" t="s">
        <v>887</v>
      </c>
      <c r="T34" s="17" t="s">
        <v>887</v>
      </c>
    </row>
    <row r="35" spans="1:20" ht="22.05" customHeight="1" x14ac:dyDescent="0.6">
      <c r="A35" s="12">
        <v>7</v>
      </c>
      <c r="B35" s="25" t="s">
        <v>224</v>
      </c>
      <c r="C35" s="10" t="s">
        <v>902</v>
      </c>
      <c r="D35" s="5" t="s">
        <v>177</v>
      </c>
      <c r="E35" s="40">
        <f t="shared" si="0"/>
        <v>0</v>
      </c>
      <c r="F35" s="17" t="s">
        <v>887</v>
      </c>
      <c r="G35" s="17" t="s">
        <v>887</v>
      </c>
      <c r="H35" s="17" t="s">
        <v>887</v>
      </c>
      <c r="I35" s="17" t="s">
        <v>887</v>
      </c>
      <c r="J35" s="17" t="s">
        <v>887</v>
      </c>
      <c r="K35" s="17" t="s">
        <v>887</v>
      </c>
      <c r="L35" s="17" t="s">
        <v>887</v>
      </c>
      <c r="M35" s="17" t="s">
        <v>887</v>
      </c>
      <c r="N35" s="17" t="s">
        <v>887</v>
      </c>
      <c r="O35" s="17" t="s">
        <v>887</v>
      </c>
      <c r="P35" s="17" t="s">
        <v>887</v>
      </c>
      <c r="Q35" s="17" t="s">
        <v>887</v>
      </c>
      <c r="R35" s="17" t="s">
        <v>887</v>
      </c>
      <c r="S35" s="17" t="s">
        <v>887</v>
      </c>
      <c r="T35" s="17" t="s">
        <v>887</v>
      </c>
    </row>
    <row r="36" spans="1:20" ht="22.05" customHeight="1" x14ac:dyDescent="0.6">
      <c r="A36" s="12">
        <v>8</v>
      </c>
      <c r="B36" s="25" t="s">
        <v>228</v>
      </c>
      <c r="C36" s="10" t="s">
        <v>903</v>
      </c>
      <c r="D36" s="5" t="s">
        <v>177</v>
      </c>
      <c r="E36" s="40">
        <f t="shared" si="0"/>
        <v>0</v>
      </c>
      <c r="F36" s="17" t="s">
        <v>887</v>
      </c>
      <c r="G36" s="17" t="s">
        <v>887</v>
      </c>
      <c r="H36" s="17" t="s">
        <v>887</v>
      </c>
      <c r="I36" s="17" t="s">
        <v>887</v>
      </c>
      <c r="J36" s="17" t="s">
        <v>887</v>
      </c>
      <c r="K36" s="17" t="s">
        <v>887</v>
      </c>
      <c r="L36" s="17" t="s">
        <v>887</v>
      </c>
      <c r="M36" s="17" t="s">
        <v>887</v>
      </c>
      <c r="N36" s="17" t="s">
        <v>887</v>
      </c>
      <c r="O36" s="17" t="s">
        <v>887</v>
      </c>
      <c r="P36" s="17" t="s">
        <v>887</v>
      </c>
      <c r="Q36" s="17" t="s">
        <v>887</v>
      </c>
      <c r="R36" s="17" t="s">
        <v>887</v>
      </c>
      <c r="S36" s="17" t="s">
        <v>887</v>
      </c>
      <c r="T36" s="17" t="s">
        <v>887</v>
      </c>
    </row>
    <row r="37" spans="1:20" ht="22.05" customHeight="1" x14ac:dyDescent="0.6">
      <c r="A37" s="12">
        <v>9</v>
      </c>
      <c r="B37" s="25" t="s">
        <v>236</v>
      </c>
      <c r="C37" s="10" t="s">
        <v>904</v>
      </c>
      <c r="D37" s="5" t="s">
        <v>177</v>
      </c>
      <c r="E37" s="40">
        <f t="shared" si="0"/>
        <v>0</v>
      </c>
      <c r="F37" s="17" t="s">
        <v>887</v>
      </c>
      <c r="G37" s="17" t="s">
        <v>887</v>
      </c>
      <c r="H37" s="17" t="s">
        <v>887</v>
      </c>
      <c r="I37" s="17" t="s">
        <v>887</v>
      </c>
      <c r="J37" s="17" t="s">
        <v>887</v>
      </c>
      <c r="K37" s="17" t="s">
        <v>887</v>
      </c>
      <c r="L37" s="17" t="s">
        <v>887</v>
      </c>
      <c r="M37" s="17" t="s">
        <v>887</v>
      </c>
      <c r="N37" s="17" t="s">
        <v>887</v>
      </c>
      <c r="O37" s="17" t="s">
        <v>887</v>
      </c>
      <c r="P37" s="17" t="s">
        <v>887</v>
      </c>
      <c r="Q37" s="17" t="s">
        <v>887</v>
      </c>
      <c r="R37" s="17" t="s">
        <v>887</v>
      </c>
      <c r="S37" s="17" t="s">
        <v>887</v>
      </c>
      <c r="T37" s="17" t="s">
        <v>887</v>
      </c>
    </row>
    <row r="38" spans="1:20" ht="22.05" customHeight="1" x14ac:dyDescent="0.6">
      <c r="A38" s="12">
        <v>10</v>
      </c>
      <c r="B38" s="25" t="s">
        <v>239</v>
      </c>
      <c r="C38" s="10" t="s">
        <v>905</v>
      </c>
      <c r="D38" s="5" t="s">
        <v>177</v>
      </c>
      <c r="E38" s="40">
        <f t="shared" si="0"/>
        <v>0</v>
      </c>
      <c r="F38" s="17" t="s">
        <v>887</v>
      </c>
      <c r="G38" s="17" t="s">
        <v>887</v>
      </c>
      <c r="H38" s="17" t="s">
        <v>887</v>
      </c>
      <c r="I38" s="17" t="s">
        <v>887</v>
      </c>
      <c r="J38" s="17" t="s">
        <v>887</v>
      </c>
      <c r="K38" s="17" t="s">
        <v>887</v>
      </c>
      <c r="L38" s="17" t="s">
        <v>887</v>
      </c>
      <c r="M38" s="17" t="s">
        <v>887</v>
      </c>
      <c r="N38" s="17" t="s">
        <v>887</v>
      </c>
      <c r="O38" s="17" t="s">
        <v>887</v>
      </c>
      <c r="P38" s="17" t="s">
        <v>887</v>
      </c>
      <c r="Q38" s="17" t="s">
        <v>887</v>
      </c>
      <c r="R38" s="17" t="s">
        <v>887</v>
      </c>
      <c r="S38" s="17" t="s">
        <v>887</v>
      </c>
      <c r="T38" s="17" t="s">
        <v>887</v>
      </c>
    </row>
    <row r="39" spans="1:20" ht="22.05" customHeight="1" x14ac:dyDescent="0.6">
      <c r="A39" s="12">
        <v>11</v>
      </c>
      <c r="B39" s="25" t="s">
        <v>247</v>
      </c>
      <c r="C39" s="10" t="s">
        <v>906</v>
      </c>
      <c r="D39" s="5" t="s">
        <v>177</v>
      </c>
      <c r="E39" s="40">
        <f t="shared" si="0"/>
        <v>0</v>
      </c>
      <c r="F39" s="17" t="s">
        <v>887</v>
      </c>
      <c r="G39" s="17" t="s">
        <v>887</v>
      </c>
      <c r="H39" s="17" t="s">
        <v>887</v>
      </c>
      <c r="I39" s="17" t="s">
        <v>887</v>
      </c>
      <c r="J39" s="17" t="s">
        <v>887</v>
      </c>
      <c r="K39" s="17" t="s">
        <v>887</v>
      </c>
      <c r="L39" s="17" t="s">
        <v>887</v>
      </c>
      <c r="M39" s="17" t="s">
        <v>887</v>
      </c>
      <c r="N39" s="17" t="s">
        <v>887</v>
      </c>
      <c r="O39" s="17" t="s">
        <v>887</v>
      </c>
      <c r="P39" s="17" t="s">
        <v>887</v>
      </c>
      <c r="Q39" s="17" t="s">
        <v>887</v>
      </c>
      <c r="R39" s="17" t="s">
        <v>887</v>
      </c>
      <c r="S39" s="17" t="s">
        <v>887</v>
      </c>
      <c r="T39" s="17" t="s">
        <v>887</v>
      </c>
    </row>
    <row r="40" spans="1:20" ht="22.05" customHeight="1" x14ac:dyDescent="0.6">
      <c r="A40" s="12">
        <v>12</v>
      </c>
      <c r="B40" s="25" t="s">
        <v>251</v>
      </c>
      <c r="C40" s="10" t="s">
        <v>907</v>
      </c>
      <c r="D40" s="5" t="s">
        <v>177</v>
      </c>
      <c r="E40" s="40">
        <f t="shared" si="0"/>
        <v>0</v>
      </c>
      <c r="F40" s="17" t="s">
        <v>887</v>
      </c>
      <c r="G40" s="17" t="s">
        <v>887</v>
      </c>
      <c r="H40" s="17" t="s">
        <v>887</v>
      </c>
      <c r="I40" s="17" t="s">
        <v>887</v>
      </c>
      <c r="J40" s="17" t="s">
        <v>887</v>
      </c>
      <c r="K40" s="17" t="s">
        <v>887</v>
      </c>
      <c r="L40" s="17" t="s">
        <v>887</v>
      </c>
      <c r="M40" s="17" t="s">
        <v>887</v>
      </c>
      <c r="N40" s="17" t="s">
        <v>887</v>
      </c>
      <c r="O40" s="17" t="s">
        <v>887</v>
      </c>
      <c r="P40" s="17" t="s">
        <v>887</v>
      </c>
      <c r="Q40" s="17" t="s">
        <v>887</v>
      </c>
      <c r="R40" s="17" t="s">
        <v>887</v>
      </c>
      <c r="S40" s="17" t="s">
        <v>887</v>
      </c>
      <c r="T40" s="17" t="s">
        <v>887</v>
      </c>
    </row>
    <row r="41" spans="1:20" ht="22.05" customHeight="1" x14ac:dyDescent="0.6">
      <c r="A41" s="12">
        <v>13</v>
      </c>
      <c r="B41" s="25" t="s">
        <v>254</v>
      </c>
      <c r="C41" s="10" t="s">
        <v>908</v>
      </c>
      <c r="D41" s="5" t="s">
        <v>177</v>
      </c>
      <c r="E41" s="40">
        <f t="shared" si="0"/>
        <v>0</v>
      </c>
      <c r="F41" s="17" t="s">
        <v>887</v>
      </c>
      <c r="G41" s="17" t="s">
        <v>887</v>
      </c>
      <c r="H41" s="17" t="s">
        <v>887</v>
      </c>
      <c r="I41" s="17" t="s">
        <v>887</v>
      </c>
      <c r="J41" s="17" t="s">
        <v>887</v>
      </c>
      <c r="K41" s="17" t="s">
        <v>887</v>
      </c>
      <c r="L41" s="17" t="s">
        <v>887</v>
      </c>
      <c r="M41" s="17" t="s">
        <v>887</v>
      </c>
      <c r="N41" s="17" t="s">
        <v>887</v>
      </c>
      <c r="O41" s="17" t="s">
        <v>887</v>
      </c>
      <c r="P41" s="17" t="s">
        <v>887</v>
      </c>
      <c r="Q41" s="17" t="s">
        <v>887</v>
      </c>
      <c r="R41" s="17" t="s">
        <v>887</v>
      </c>
      <c r="S41" s="17" t="s">
        <v>887</v>
      </c>
      <c r="T41" s="17" t="s">
        <v>887</v>
      </c>
    </row>
    <row r="42" spans="1:20" ht="22.05" customHeight="1" x14ac:dyDescent="0.6">
      <c r="A42" s="12">
        <v>14</v>
      </c>
      <c r="B42" s="25" t="s">
        <v>257</v>
      </c>
      <c r="C42" s="10" t="s">
        <v>909</v>
      </c>
      <c r="D42" s="5" t="s">
        <v>177</v>
      </c>
      <c r="E42" s="40">
        <f t="shared" si="0"/>
        <v>0</v>
      </c>
      <c r="F42" s="17" t="s">
        <v>887</v>
      </c>
      <c r="G42" s="17" t="s">
        <v>887</v>
      </c>
      <c r="H42" s="17" t="s">
        <v>887</v>
      </c>
      <c r="I42" s="17" t="s">
        <v>887</v>
      </c>
      <c r="J42" s="17" t="s">
        <v>887</v>
      </c>
      <c r="K42" s="17" t="s">
        <v>887</v>
      </c>
      <c r="L42" s="17" t="s">
        <v>887</v>
      </c>
      <c r="M42" s="17" t="s">
        <v>887</v>
      </c>
      <c r="N42" s="17" t="s">
        <v>887</v>
      </c>
      <c r="O42" s="17" t="s">
        <v>887</v>
      </c>
      <c r="P42" s="17" t="s">
        <v>887</v>
      </c>
      <c r="Q42" s="17" t="s">
        <v>887</v>
      </c>
      <c r="R42" s="17" t="s">
        <v>887</v>
      </c>
      <c r="S42" s="17" t="s">
        <v>887</v>
      </c>
      <c r="T42" s="17" t="s">
        <v>887</v>
      </c>
    </row>
    <row r="43" spans="1:20" ht="22.05" customHeight="1" x14ac:dyDescent="0.6">
      <c r="A43" s="12">
        <v>15</v>
      </c>
      <c r="B43" s="25" t="s">
        <v>271</v>
      </c>
      <c r="C43" s="10" t="s">
        <v>910</v>
      </c>
      <c r="D43" s="5" t="s">
        <v>177</v>
      </c>
      <c r="E43" s="40">
        <f t="shared" si="0"/>
        <v>0</v>
      </c>
      <c r="F43" s="17" t="s">
        <v>887</v>
      </c>
      <c r="G43" s="17" t="s">
        <v>887</v>
      </c>
      <c r="H43" s="17" t="s">
        <v>887</v>
      </c>
      <c r="I43" s="17" t="s">
        <v>887</v>
      </c>
      <c r="J43" s="17" t="s">
        <v>887</v>
      </c>
      <c r="K43" s="17" t="s">
        <v>887</v>
      </c>
      <c r="L43" s="17" t="s">
        <v>887</v>
      </c>
      <c r="M43" s="17" t="s">
        <v>887</v>
      </c>
      <c r="N43" s="17" t="s">
        <v>887</v>
      </c>
      <c r="O43" s="17" t="s">
        <v>887</v>
      </c>
      <c r="P43" s="17" t="s">
        <v>887</v>
      </c>
      <c r="Q43" s="17" t="s">
        <v>887</v>
      </c>
      <c r="R43" s="17" t="s">
        <v>887</v>
      </c>
      <c r="S43" s="17" t="s">
        <v>887</v>
      </c>
      <c r="T43" s="17" t="s">
        <v>887</v>
      </c>
    </row>
    <row r="44" spans="1:20" ht="22.05" customHeight="1" x14ac:dyDescent="0.6">
      <c r="A44" s="12">
        <v>16</v>
      </c>
      <c r="B44" s="25" t="s">
        <v>274</v>
      </c>
      <c r="C44" s="10" t="s">
        <v>911</v>
      </c>
      <c r="D44" s="5" t="s">
        <v>177</v>
      </c>
      <c r="E44" s="40">
        <f t="shared" si="0"/>
        <v>0</v>
      </c>
      <c r="F44" s="17" t="s">
        <v>887</v>
      </c>
      <c r="G44" s="17" t="s">
        <v>887</v>
      </c>
      <c r="H44" s="17" t="s">
        <v>887</v>
      </c>
      <c r="I44" s="17" t="s">
        <v>887</v>
      </c>
      <c r="J44" s="17" t="s">
        <v>887</v>
      </c>
      <c r="K44" s="17" t="s">
        <v>887</v>
      </c>
      <c r="L44" s="17" t="s">
        <v>887</v>
      </c>
      <c r="M44" s="17" t="s">
        <v>887</v>
      </c>
      <c r="N44" s="17" t="s">
        <v>887</v>
      </c>
      <c r="O44" s="17" t="s">
        <v>887</v>
      </c>
      <c r="P44" s="17" t="s">
        <v>887</v>
      </c>
      <c r="Q44" s="17" t="s">
        <v>887</v>
      </c>
      <c r="R44" s="17" t="s">
        <v>887</v>
      </c>
      <c r="S44" s="17" t="s">
        <v>887</v>
      </c>
      <c r="T44" s="17" t="s">
        <v>887</v>
      </c>
    </row>
    <row r="45" spans="1:20" ht="22.05" customHeight="1" x14ac:dyDescent="0.6">
      <c r="A45" s="12">
        <v>17</v>
      </c>
      <c r="B45" s="25" t="s">
        <v>277</v>
      </c>
      <c r="C45" s="10" t="s">
        <v>912</v>
      </c>
      <c r="D45" s="5" t="s">
        <v>177</v>
      </c>
      <c r="E45" s="40">
        <f t="shared" si="0"/>
        <v>0</v>
      </c>
      <c r="F45" s="17" t="s">
        <v>887</v>
      </c>
      <c r="G45" s="17" t="s">
        <v>887</v>
      </c>
      <c r="H45" s="17" t="s">
        <v>887</v>
      </c>
      <c r="I45" s="17" t="s">
        <v>887</v>
      </c>
      <c r="J45" s="17" t="s">
        <v>887</v>
      </c>
      <c r="K45" s="17" t="s">
        <v>887</v>
      </c>
      <c r="L45" s="17" t="s">
        <v>887</v>
      </c>
      <c r="M45" s="17" t="s">
        <v>887</v>
      </c>
      <c r="N45" s="17" t="s">
        <v>887</v>
      </c>
      <c r="O45" s="17" t="s">
        <v>887</v>
      </c>
      <c r="P45" s="17" t="s">
        <v>887</v>
      </c>
      <c r="Q45" s="17" t="s">
        <v>887</v>
      </c>
      <c r="R45" s="17" t="s">
        <v>887</v>
      </c>
      <c r="S45" s="17" t="s">
        <v>887</v>
      </c>
      <c r="T45" s="17" t="s">
        <v>887</v>
      </c>
    </row>
    <row r="46" spans="1:20" ht="22.05" customHeight="1" x14ac:dyDescent="0.6">
      <c r="A46" s="12">
        <v>18</v>
      </c>
      <c r="B46" s="25" t="s">
        <v>280</v>
      </c>
      <c r="C46" s="10" t="s">
        <v>913</v>
      </c>
      <c r="D46" s="5" t="s">
        <v>177</v>
      </c>
      <c r="E46" s="40">
        <f t="shared" si="0"/>
        <v>0</v>
      </c>
      <c r="F46" s="17" t="s">
        <v>887</v>
      </c>
      <c r="G46" s="17" t="s">
        <v>887</v>
      </c>
      <c r="H46" s="17" t="s">
        <v>887</v>
      </c>
      <c r="I46" s="17" t="s">
        <v>887</v>
      </c>
      <c r="J46" s="17" t="s">
        <v>887</v>
      </c>
      <c r="K46" s="17" t="s">
        <v>887</v>
      </c>
      <c r="L46" s="17" t="s">
        <v>887</v>
      </c>
      <c r="M46" s="17" t="s">
        <v>887</v>
      </c>
      <c r="N46" s="17" t="s">
        <v>887</v>
      </c>
      <c r="O46" s="17" t="s">
        <v>887</v>
      </c>
      <c r="P46" s="17" t="s">
        <v>887</v>
      </c>
      <c r="Q46" s="17" t="s">
        <v>887</v>
      </c>
      <c r="R46" s="17" t="s">
        <v>887</v>
      </c>
      <c r="S46" s="17" t="s">
        <v>887</v>
      </c>
      <c r="T46" s="17" t="s">
        <v>887</v>
      </c>
    </row>
    <row r="47" spans="1:20" ht="22.05" customHeight="1" x14ac:dyDescent="0.6">
      <c r="A47" s="12">
        <v>19</v>
      </c>
      <c r="B47" s="25" t="s">
        <v>283</v>
      </c>
      <c r="C47" s="10" t="s">
        <v>914</v>
      </c>
      <c r="D47" s="5" t="s">
        <v>177</v>
      </c>
      <c r="E47" s="40">
        <f t="shared" si="0"/>
        <v>0</v>
      </c>
      <c r="F47" s="17" t="s">
        <v>887</v>
      </c>
      <c r="G47" s="17" t="s">
        <v>887</v>
      </c>
      <c r="H47" s="17" t="s">
        <v>887</v>
      </c>
      <c r="I47" s="17" t="s">
        <v>887</v>
      </c>
      <c r="J47" s="17" t="s">
        <v>887</v>
      </c>
      <c r="K47" s="17" t="s">
        <v>887</v>
      </c>
      <c r="L47" s="17" t="s">
        <v>887</v>
      </c>
      <c r="M47" s="17" t="s">
        <v>887</v>
      </c>
      <c r="N47" s="17" t="s">
        <v>887</v>
      </c>
      <c r="O47" s="17" t="s">
        <v>887</v>
      </c>
      <c r="P47" s="17" t="s">
        <v>887</v>
      </c>
      <c r="Q47" s="17" t="s">
        <v>887</v>
      </c>
      <c r="R47" s="17" t="s">
        <v>887</v>
      </c>
      <c r="S47" s="17" t="s">
        <v>887</v>
      </c>
      <c r="T47" s="17" t="s">
        <v>887</v>
      </c>
    </row>
    <row r="48" spans="1:20" ht="22.05" customHeight="1" x14ac:dyDescent="0.6">
      <c r="A48" s="12">
        <v>20</v>
      </c>
      <c r="B48" s="25" t="s">
        <v>287</v>
      </c>
      <c r="C48" s="10" t="s">
        <v>915</v>
      </c>
      <c r="D48" s="5" t="s">
        <v>177</v>
      </c>
      <c r="E48" s="40">
        <f t="shared" si="0"/>
        <v>0</v>
      </c>
      <c r="F48" s="17" t="s">
        <v>887</v>
      </c>
      <c r="G48" s="17" t="s">
        <v>887</v>
      </c>
      <c r="H48" s="17" t="s">
        <v>887</v>
      </c>
      <c r="I48" s="17" t="s">
        <v>887</v>
      </c>
      <c r="J48" s="17" t="s">
        <v>887</v>
      </c>
      <c r="K48" s="17" t="s">
        <v>887</v>
      </c>
      <c r="L48" s="17" t="s">
        <v>887</v>
      </c>
      <c r="M48" s="17" t="s">
        <v>887</v>
      </c>
      <c r="N48" s="17" t="s">
        <v>887</v>
      </c>
      <c r="O48" s="17" t="s">
        <v>887</v>
      </c>
      <c r="P48" s="17" t="s">
        <v>887</v>
      </c>
      <c r="Q48" s="17" t="s">
        <v>887</v>
      </c>
      <c r="R48" s="17" t="s">
        <v>887</v>
      </c>
      <c r="S48" s="17" t="s">
        <v>887</v>
      </c>
      <c r="T48" s="17" t="s">
        <v>887</v>
      </c>
    </row>
    <row r="49" spans="1:20" ht="22.05" customHeight="1" x14ac:dyDescent="0.6">
      <c r="A49" s="12">
        <v>21</v>
      </c>
      <c r="B49" s="25" t="s">
        <v>290</v>
      </c>
      <c r="C49" s="10" t="s">
        <v>916</v>
      </c>
      <c r="D49" s="5" t="s">
        <v>177</v>
      </c>
      <c r="E49" s="40">
        <f t="shared" si="0"/>
        <v>0</v>
      </c>
      <c r="F49" s="17" t="s">
        <v>887</v>
      </c>
      <c r="G49" s="17" t="s">
        <v>887</v>
      </c>
      <c r="H49" s="17" t="s">
        <v>887</v>
      </c>
      <c r="I49" s="17" t="s">
        <v>887</v>
      </c>
      <c r="J49" s="17" t="s">
        <v>887</v>
      </c>
      <c r="K49" s="17" t="s">
        <v>887</v>
      </c>
      <c r="L49" s="17" t="s">
        <v>887</v>
      </c>
      <c r="M49" s="17" t="s">
        <v>887</v>
      </c>
      <c r="N49" s="17" t="s">
        <v>887</v>
      </c>
      <c r="O49" s="17" t="s">
        <v>887</v>
      </c>
      <c r="P49" s="17" t="s">
        <v>887</v>
      </c>
      <c r="Q49" s="17" t="s">
        <v>887</v>
      </c>
      <c r="R49" s="17" t="s">
        <v>887</v>
      </c>
      <c r="S49" s="17" t="s">
        <v>887</v>
      </c>
      <c r="T49" s="17" t="s">
        <v>887</v>
      </c>
    </row>
    <row r="52" spans="1:20" ht="26" customHeight="1" x14ac:dyDescent="0.6">
      <c r="A52" s="87" t="s">
        <v>917</v>
      </c>
      <c r="B52" s="66"/>
      <c r="C52" s="66"/>
      <c r="D52" s="66"/>
      <c r="E52" s="66"/>
      <c r="F52" s="66"/>
      <c r="G52" s="66"/>
      <c r="H52" s="66"/>
      <c r="I52" s="66"/>
      <c r="J52" s="66"/>
      <c r="K52" s="67"/>
    </row>
    <row r="53" spans="1:20" ht="22.05" customHeight="1" x14ac:dyDescent="0.6">
      <c r="A53" s="91" t="s">
        <v>144</v>
      </c>
      <c r="B53" s="91" t="s">
        <v>145</v>
      </c>
      <c r="C53" s="91" t="s">
        <v>146</v>
      </c>
      <c r="D53" s="91" t="s">
        <v>149</v>
      </c>
      <c r="E53" s="91" t="s">
        <v>421</v>
      </c>
      <c r="F53" s="90" t="s">
        <v>804</v>
      </c>
      <c r="G53" s="67"/>
      <c r="H53" s="90" t="s">
        <v>813</v>
      </c>
      <c r="I53" s="66"/>
      <c r="J53" s="67"/>
      <c r="K53" s="26" t="s">
        <v>825</v>
      </c>
    </row>
    <row r="54" spans="1:20" ht="60" customHeight="1" x14ac:dyDescent="0.6">
      <c r="A54" s="92"/>
      <c r="B54" s="92"/>
      <c r="C54" s="92"/>
      <c r="D54" s="92"/>
      <c r="E54" s="92"/>
      <c r="F54" s="42" t="s">
        <v>805</v>
      </c>
      <c r="G54" s="42" t="s">
        <v>809</v>
      </c>
      <c r="H54" s="42" t="s">
        <v>814</v>
      </c>
      <c r="I54" s="42" t="s">
        <v>818</v>
      </c>
      <c r="J54" s="42" t="s">
        <v>821</v>
      </c>
      <c r="K54" s="42" t="s">
        <v>826</v>
      </c>
    </row>
    <row r="55" spans="1:20" ht="22.05" customHeight="1" x14ac:dyDescent="0.6">
      <c r="A55" s="12">
        <v>1</v>
      </c>
      <c r="B55" s="25" t="s">
        <v>192</v>
      </c>
      <c r="C55" s="10" t="s">
        <v>918</v>
      </c>
      <c r="D55" s="5" t="s">
        <v>196</v>
      </c>
      <c r="E55" s="40">
        <f>COUNTIF(F55:K55,"O")</f>
        <v>0</v>
      </c>
      <c r="F55" s="17" t="s">
        <v>887</v>
      </c>
      <c r="G55" s="17" t="s">
        <v>887</v>
      </c>
      <c r="H55" s="17" t="s">
        <v>887</v>
      </c>
      <c r="I55" s="17" t="s">
        <v>887</v>
      </c>
      <c r="J55" s="17" t="s">
        <v>887</v>
      </c>
      <c r="K55" s="17" t="s">
        <v>887</v>
      </c>
    </row>
    <row r="56" spans="1:20" ht="22.05" customHeight="1" x14ac:dyDescent="0.6">
      <c r="A56" s="12">
        <v>2</v>
      </c>
      <c r="B56" s="25" t="s">
        <v>231</v>
      </c>
      <c r="C56" s="10" t="s">
        <v>919</v>
      </c>
      <c r="D56" s="5" t="s">
        <v>196</v>
      </c>
      <c r="E56" s="40">
        <f>COUNTIF(F56:K56,"O")</f>
        <v>0</v>
      </c>
      <c r="F56" s="17" t="s">
        <v>887</v>
      </c>
      <c r="G56" s="17" t="s">
        <v>887</v>
      </c>
      <c r="H56" s="17" t="s">
        <v>887</v>
      </c>
      <c r="I56" s="17" t="s">
        <v>887</v>
      </c>
      <c r="J56" s="17" t="s">
        <v>887</v>
      </c>
      <c r="K56" s="17" t="s">
        <v>887</v>
      </c>
    </row>
    <row r="57" spans="1:20" ht="22.05" customHeight="1" x14ac:dyDescent="0.6">
      <c r="A57" s="12">
        <v>3</v>
      </c>
      <c r="B57" s="25" t="s">
        <v>268</v>
      </c>
      <c r="C57" s="10" t="s">
        <v>920</v>
      </c>
      <c r="D57" s="5" t="s">
        <v>196</v>
      </c>
      <c r="E57" s="40">
        <f>COUNTIF(F57:K57,"O")</f>
        <v>0</v>
      </c>
      <c r="F57" s="17" t="s">
        <v>887</v>
      </c>
      <c r="G57" s="17" t="s">
        <v>887</v>
      </c>
      <c r="H57" s="17" t="s">
        <v>887</v>
      </c>
      <c r="I57" s="17" t="s">
        <v>887</v>
      </c>
      <c r="J57" s="17" t="s">
        <v>887</v>
      </c>
      <c r="K57" s="17" t="s">
        <v>887</v>
      </c>
    </row>
    <row r="60" spans="1:20" ht="26" customHeight="1" x14ac:dyDescent="0.6">
      <c r="A60" s="87" t="s">
        <v>921</v>
      </c>
      <c r="B60" s="66"/>
      <c r="C60" s="66"/>
      <c r="D60" s="66"/>
      <c r="E60" s="66"/>
      <c r="F60" s="66"/>
      <c r="G60" s="66"/>
      <c r="H60" s="66"/>
      <c r="I60" s="66"/>
      <c r="J60" s="67"/>
    </row>
    <row r="61" spans="1:20" ht="22.05" customHeight="1" x14ac:dyDescent="0.6">
      <c r="A61" s="91" t="s">
        <v>144</v>
      </c>
      <c r="B61" s="91" t="s">
        <v>145</v>
      </c>
      <c r="C61" s="91" t="s">
        <v>146</v>
      </c>
      <c r="D61" s="91" t="s">
        <v>149</v>
      </c>
      <c r="E61" s="91" t="s">
        <v>421</v>
      </c>
      <c r="F61" s="90" t="s">
        <v>202</v>
      </c>
      <c r="G61" s="66"/>
      <c r="H61" s="67"/>
      <c r="I61" s="90" t="s">
        <v>842</v>
      </c>
      <c r="J61" s="67"/>
    </row>
    <row r="62" spans="1:20" ht="60" customHeight="1" x14ac:dyDescent="0.6">
      <c r="A62" s="92"/>
      <c r="B62" s="92"/>
      <c r="C62" s="92"/>
      <c r="D62" s="92"/>
      <c r="E62" s="92"/>
      <c r="F62" s="42" t="s">
        <v>830</v>
      </c>
      <c r="G62" s="42" t="s">
        <v>834</v>
      </c>
      <c r="H62" s="42" t="s">
        <v>838</v>
      </c>
      <c r="I62" s="42" t="s">
        <v>843</v>
      </c>
      <c r="J62" s="42" t="s">
        <v>847</v>
      </c>
    </row>
    <row r="63" spans="1:20" ht="22.05" customHeight="1" x14ac:dyDescent="0.6">
      <c r="A63" s="12">
        <v>1</v>
      </c>
      <c r="B63" s="25" t="s">
        <v>200</v>
      </c>
      <c r="C63" s="10" t="s">
        <v>922</v>
      </c>
      <c r="D63" s="5" t="s">
        <v>196</v>
      </c>
      <c r="E63" s="40">
        <f>COUNTIF(F63:J63,"O")</f>
        <v>0</v>
      </c>
      <c r="F63" s="17" t="s">
        <v>887</v>
      </c>
      <c r="G63" s="17" t="s">
        <v>887</v>
      </c>
      <c r="H63" s="17" t="s">
        <v>887</v>
      </c>
      <c r="I63" s="17" t="s">
        <v>887</v>
      </c>
      <c r="J63" s="17" t="s">
        <v>887</v>
      </c>
    </row>
    <row r="64" spans="1:20" ht="22.05" customHeight="1" x14ac:dyDescent="0.6">
      <c r="A64" s="12">
        <v>2</v>
      </c>
      <c r="B64" s="25" t="s">
        <v>243</v>
      </c>
      <c r="C64" s="10" t="s">
        <v>923</v>
      </c>
      <c r="D64" s="5" t="s">
        <v>196</v>
      </c>
      <c r="E64" s="40">
        <f>COUNTIF(F64:J64,"O")</f>
        <v>0</v>
      </c>
      <c r="F64" s="17" t="s">
        <v>887</v>
      </c>
      <c r="G64" s="17" t="s">
        <v>887</v>
      </c>
      <c r="H64" s="17" t="s">
        <v>887</v>
      </c>
      <c r="I64" s="17" t="s">
        <v>887</v>
      </c>
      <c r="J64" s="17" t="s">
        <v>887</v>
      </c>
    </row>
    <row r="67" spans="1:12" ht="26" customHeight="1" x14ac:dyDescent="0.6">
      <c r="A67" s="87" t="s">
        <v>924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7"/>
    </row>
    <row r="68" spans="1:12" ht="22.05" customHeight="1" x14ac:dyDescent="0.6">
      <c r="A68" s="91" t="s">
        <v>144</v>
      </c>
      <c r="B68" s="91" t="s">
        <v>145</v>
      </c>
      <c r="C68" s="91" t="s">
        <v>146</v>
      </c>
      <c r="D68" s="91" t="s">
        <v>149</v>
      </c>
      <c r="E68" s="91" t="s">
        <v>421</v>
      </c>
      <c r="F68" s="90" t="s">
        <v>851</v>
      </c>
      <c r="G68" s="66"/>
      <c r="H68" s="67"/>
      <c r="I68" s="90" t="s">
        <v>864</v>
      </c>
      <c r="J68" s="66"/>
      <c r="K68" s="67"/>
      <c r="L68" s="26" t="s">
        <v>877</v>
      </c>
    </row>
    <row r="69" spans="1:12" ht="60" customHeight="1" x14ac:dyDescent="0.6">
      <c r="A69" s="92"/>
      <c r="B69" s="92"/>
      <c r="C69" s="92"/>
      <c r="D69" s="92"/>
      <c r="E69" s="92"/>
      <c r="F69" s="42" t="s">
        <v>852</v>
      </c>
      <c r="G69" s="42" t="s">
        <v>856</v>
      </c>
      <c r="H69" s="42" t="s">
        <v>860</v>
      </c>
      <c r="I69" s="42" t="s">
        <v>865</v>
      </c>
      <c r="J69" s="42" t="s">
        <v>869</v>
      </c>
      <c r="K69" s="42" t="s">
        <v>873</v>
      </c>
      <c r="L69" s="42" t="s">
        <v>878</v>
      </c>
    </row>
    <row r="70" spans="1:12" ht="22.05" customHeight="1" x14ac:dyDescent="0.6">
      <c r="A70" s="12">
        <v>1</v>
      </c>
      <c r="B70" s="25" t="s">
        <v>166</v>
      </c>
      <c r="C70" s="10" t="s">
        <v>925</v>
      </c>
      <c r="D70" s="5" t="s">
        <v>170</v>
      </c>
      <c r="E70" s="40">
        <f>COUNTIF(F70:L70,"O")</f>
        <v>0</v>
      </c>
      <c r="F70" s="17" t="s">
        <v>887</v>
      </c>
      <c r="G70" s="17" t="s">
        <v>887</v>
      </c>
      <c r="H70" s="17" t="s">
        <v>887</v>
      </c>
      <c r="I70" s="17" t="s">
        <v>887</v>
      </c>
      <c r="J70" s="17" t="s">
        <v>887</v>
      </c>
      <c r="K70" s="17" t="s">
        <v>887</v>
      </c>
      <c r="L70" s="17" t="s">
        <v>887</v>
      </c>
    </row>
    <row r="71" spans="1:12" ht="22.05" customHeight="1" x14ac:dyDescent="0.6">
      <c r="A71" s="12">
        <v>2</v>
      </c>
      <c r="B71" s="25" t="s">
        <v>260</v>
      </c>
      <c r="C71" s="10" t="s">
        <v>926</v>
      </c>
      <c r="D71" s="5" t="s">
        <v>177</v>
      </c>
      <c r="E71" s="40">
        <f>COUNTIF(F71:L71,"O")</f>
        <v>0</v>
      </c>
      <c r="F71" s="17" t="s">
        <v>887</v>
      </c>
      <c r="G71" s="17" t="s">
        <v>887</v>
      </c>
      <c r="H71" s="17" t="s">
        <v>887</v>
      </c>
      <c r="I71" s="17" t="s">
        <v>887</v>
      </c>
      <c r="J71" s="17" t="s">
        <v>887</v>
      </c>
      <c r="K71" s="17" t="s">
        <v>887</v>
      </c>
      <c r="L71" s="17" t="s">
        <v>887</v>
      </c>
    </row>
  </sheetData>
  <mergeCells count="64">
    <mergeCell ref="F68:H68"/>
    <mergeCell ref="F6:K6"/>
    <mergeCell ref="B22:B23"/>
    <mergeCell ref="L6:P6"/>
    <mergeCell ref="E22:E23"/>
    <mergeCell ref="C68:C69"/>
    <mergeCell ref="A52:K52"/>
    <mergeCell ref="E68:E69"/>
    <mergeCell ref="B16:B17"/>
    <mergeCell ref="C6:C7"/>
    <mergeCell ref="D6:D7"/>
    <mergeCell ref="F53:G53"/>
    <mergeCell ref="D22:D23"/>
    <mergeCell ref="A1:Z1"/>
    <mergeCell ref="I16:J16"/>
    <mergeCell ref="F27:H27"/>
    <mergeCell ref="D16:D17"/>
    <mergeCell ref="E6:E7"/>
    <mergeCell ref="A5:X5"/>
    <mergeCell ref="B6:B7"/>
    <mergeCell ref="E27:E28"/>
    <mergeCell ref="A22:A23"/>
    <mergeCell ref="A26:T26"/>
    <mergeCell ref="A3:Z3"/>
    <mergeCell ref="C27:C28"/>
    <mergeCell ref="Q6:U6"/>
    <mergeCell ref="F22:G22"/>
    <mergeCell ref="A2:Z2"/>
    <mergeCell ref="E16:E17"/>
    <mergeCell ref="V6:X6"/>
    <mergeCell ref="I68:K68"/>
    <mergeCell ref="C22:C23"/>
    <mergeCell ref="A27:A28"/>
    <mergeCell ref="M27:O27"/>
    <mergeCell ref="F61:H61"/>
    <mergeCell ref="B68:B69"/>
    <mergeCell ref="A60:J60"/>
    <mergeCell ref="B53:B54"/>
    <mergeCell ref="D68:D69"/>
    <mergeCell ref="D53:D54"/>
    <mergeCell ref="C61:C62"/>
    <mergeCell ref="E61:E62"/>
    <mergeCell ref="A67:L67"/>
    <mergeCell ref="H53:J53"/>
    <mergeCell ref="A68:A69"/>
    <mergeCell ref="A6:A7"/>
    <mergeCell ref="C16:C17"/>
    <mergeCell ref="S27:T27"/>
    <mergeCell ref="I61:J61"/>
    <mergeCell ref="A21:I21"/>
    <mergeCell ref="A53:A54"/>
    <mergeCell ref="C53:C54"/>
    <mergeCell ref="F16:H16"/>
    <mergeCell ref="A15:L15"/>
    <mergeCell ref="E53:E54"/>
    <mergeCell ref="K16:L16"/>
    <mergeCell ref="B27:B28"/>
    <mergeCell ref="D27:D28"/>
    <mergeCell ref="A61:A62"/>
    <mergeCell ref="P27:R27"/>
    <mergeCell ref="B61:B62"/>
    <mergeCell ref="I27:J27"/>
    <mergeCell ref="D61:D62"/>
    <mergeCell ref="A16:A17"/>
  </mergeCells>
  <phoneticPr fontId="16" type="noConversion"/>
  <conditionalFormatting sqref="F63:J64">
    <cfRule type="cellIs" dxfId="11" priority="95" operator="equal">
      <formula>"O"</formula>
    </cfRule>
    <cfRule type="cellIs" dxfId="10" priority="96" operator="equal">
      <formula>"X"</formula>
    </cfRule>
  </conditionalFormatting>
  <conditionalFormatting sqref="F55:K57">
    <cfRule type="cellIs" dxfId="9" priority="83" operator="equal">
      <formula>"O"</formula>
    </cfRule>
    <cfRule type="cellIs" dxfId="8" priority="84" operator="equal">
      <formula>"X"</formula>
    </cfRule>
  </conditionalFormatting>
  <conditionalFormatting sqref="F18:L18">
    <cfRule type="cellIs" dxfId="7" priority="39" operator="equal">
      <formula>"O"</formula>
    </cfRule>
    <cfRule type="cellIs" dxfId="6" priority="40" operator="equal">
      <formula>"X"</formula>
    </cfRule>
  </conditionalFormatting>
  <conditionalFormatting sqref="F70:L71">
    <cfRule type="cellIs" dxfId="5" priority="105" operator="equal">
      <formula>"O"</formula>
    </cfRule>
    <cfRule type="cellIs" dxfId="4" priority="106" operator="equal">
      <formula>"X"</formula>
    </cfRule>
  </conditionalFormatting>
  <conditionalFormatting sqref="F29:T49">
    <cfRule type="cellIs" dxfId="3" priority="53" operator="equal">
      <formula>"O"</formula>
    </cfRule>
    <cfRule type="cellIs" dxfId="2" priority="54" operator="equal">
      <formula>"X"</formula>
    </cfRule>
  </conditionalFormatting>
  <conditionalFormatting sqref="F8:X12">
    <cfRule type="cellIs" dxfId="1" priority="1" operator="equal">
      <formula>"O"</formula>
    </cfRule>
    <cfRule type="cellIs" dxfId="0" priority="2" operator="equal">
      <formula>"X"</formula>
    </cfRule>
  </conditionalFormatting>
  <dataValidations count="1">
    <dataValidation type="list" sqref="F8:X12 F70:L71 F63:J64 F55:K57 F29:T49 F18:L18" xr:uid="{00000000-0002-0000-1100-000000000000}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00_운영가이드</vt:lpstr>
      <vt:lpstr>00_운영현황판</vt:lpstr>
      <vt:lpstr>01_인적정보</vt:lpstr>
      <vt:lpstr>02_의사결정·종합결과</vt:lpstr>
      <vt:lpstr>03_전사업적평가</vt:lpstr>
      <vt:lpstr>04_역할평가</vt:lpstr>
      <vt:lpstr>05_공통역량평가</vt:lpstr>
      <vt:lpstr>06_직무역량평가</vt:lpstr>
      <vt:lpstr>07a_상반기입력</vt:lpstr>
      <vt:lpstr>07b_하반기입력</vt:lpstr>
      <vt:lpstr>08_종합평가</vt:lpstr>
      <vt:lpstr>09_보상연계</vt:lpstr>
      <vt:lpstr>10_성과급관리</vt:lpstr>
      <vt:lpstr>11_페이밴드검증</vt:lpstr>
      <vt:lpstr>12_시뮬레이션</vt:lpstr>
      <vt:lpstr>13_직무역할DB</vt:lpstr>
      <vt:lpstr>14_직무책무DB</vt:lpstr>
      <vt:lpstr>15_직원별책무매핑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2026-05-13T02:51:18Z</dcterms:created>
  <dcterms:modified xsi:type="dcterms:W3CDTF">2026-05-13T05:06:11Z</dcterms:modified>
</cp:coreProperties>
</file>