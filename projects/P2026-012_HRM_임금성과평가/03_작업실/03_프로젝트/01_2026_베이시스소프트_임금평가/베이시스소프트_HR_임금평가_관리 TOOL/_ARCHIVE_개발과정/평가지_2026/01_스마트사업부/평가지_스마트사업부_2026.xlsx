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6553f64e91d015d/바탕 화면/2025년/[25N000] 일터혁신 상생컨설팅_직업능력개발본부/03_컨설팅 수행/4차수_베이시스소프트/사후 컨설팅/HR_임금평가_관리 TOOL/평가지_2026/01_스마트사업부/"/>
    </mc:Choice>
  </mc:AlternateContent>
  <xr:revisionPtr revIDLastSave="0" documentId="11_E36AD0201E2DC989A500C227001A1E342EA2AC43" xr6:coauthVersionLast="47" xr6:coauthVersionMax="47" xr10:uidLastSave="{00000000-0000-0000-0000-000000000000}"/>
  <bookViews>
    <workbookView xWindow="-38520" yWindow="-16350" windowWidth="38640" windowHeight="21120" activeTab="4" xr2:uid="{00000000-000D-0000-FFFF-FFFF00000000}"/>
  </bookViews>
  <sheets>
    <sheet name="00_작성안내" sheetId="1" r:id="rId1"/>
    <sheet name="01_평가자정보" sheetId="2" r:id="rId2"/>
    <sheet name="02_평가대상자명단" sheetId="3" r:id="rId3"/>
    <sheet name="프로젝트영업_G1" sheetId="4" r:id="rId4"/>
    <sheet name="프로젝트영업_G2" sheetId="5" r:id="rId5"/>
    <sheet name="프로젝트영업_G3" sheetId="6" r:id="rId6"/>
    <sheet name="프로젝트영업_G4" sheetId="7" r:id="rId7"/>
    <sheet name="프로젝트영업_G5" sheetId="8" r:id="rId8"/>
    <sheet name="프로젝트영업_G6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7" i="9" l="1"/>
  <c r="D65" i="9" s="1"/>
  <c r="H46" i="9"/>
  <c r="H47" i="9" s="1"/>
  <c r="F64" i="9" s="1"/>
  <c r="I29" i="9"/>
  <c r="I30" i="9" s="1"/>
  <c r="F63" i="9" s="1"/>
  <c r="D63" i="8"/>
  <c r="F57" i="8"/>
  <c r="D65" i="8" s="1"/>
  <c r="H46" i="8"/>
  <c r="H47" i="8" s="1"/>
  <c r="F64" i="8" s="1"/>
  <c r="I29" i="8"/>
  <c r="I30" i="8" s="1"/>
  <c r="F63" i="8" s="1"/>
  <c r="F57" i="7"/>
  <c r="D65" i="7" s="1"/>
  <c r="H46" i="7"/>
  <c r="D64" i="7" s="1"/>
  <c r="I30" i="7"/>
  <c r="F63" i="7" s="1"/>
  <c r="I29" i="7"/>
  <c r="D63" i="7" s="1"/>
  <c r="D64" i="6"/>
  <c r="D63" i="6"/>
  <c r="F57" i="6"/>
  <c r="D65" i="6" s="1"/>
  <c r="H46" i="6"/>
  <c r="H47" i="6" s="1"/>
  <c r="F64" i="6" s="1"/>
  <c r="I29" i="6"/>
  <c r="I30" i="6" s="1"/>
  <c r="F63" i="6" s="1"/>
  <c r="D64" i="5"/>
  <c r="D63" i="5"/>
  <c r="F57" i="5"/>
  <c r="D65" i="5" s="1"/>
  <c r="H47" i="5"/>
  <c r="F64" i="5" s="1"/>
  <c r="H46" i="5"/>
  <c r="I30" i="5"/>
  <c r="F63" i="5" s="1"/>
  <c r="I29" i="5"/>
  <c r="D65" i="4"/>
  <c r="D64" i="4"/>
  <c r="D63" i="4"/>
  <c r="F57" i="4"/>
  <c r="F58" i="4" s="1"/>
  <c r="F65" i="4" s="1"/>
  <c r="H46" i="4"/>
  <c r="H47" i="4" s="1"/>
  <c r="F64" i="4" s="1"/>
  <c r="I29" i="4"/>
  <c r="I30" i="4" s="1"/>
  <c r="F63" i="4" s="1"/>
  <c r="F58" i="6" l="1"/>
  <c r="F65" i="6" s="1"/>
  <c r="F58" i="8"/>
  <c r="F65" i="8" s="1"/>
  <c r="D64" i="8"/>
  <c r="H47" i="7"/>
  <c r="F64" i="7" s="1"/>
  <c r="F58" i="7"/>
  <c r="F65" i="7" s="1"/>
  <c r="F58" i="5"/>
  <c r="F65" i="5" s="1"/>
  <c r="F58" i="9"/>
  <c r="F65" i="9" s="1"/>
  <c r="D63" i="9"/>
  <c r="D64" i="9"/>
</calcChain>
</file>

<file path=xl/sharedStrings.xml><?xml version="1.0" encoding="utf-8"?>
<sst xmlns="http://schemas.openxmlformats.org/spreadsheetml/2006/main" count="1257" uniqueCount="235">
  <si>
    <t xml:space="preserve">  베이시스소프트 2026년 성과평가 — 스마트사업부</t>
  </si>
  <si>
    <t xml:space="preserve">  본 파일을 받으신 평가자(부서장·1차/2차 평가자)분께서는 안내에 따라 평가를 진행해 주세요</t>
  </si>
  <si>
    <t xml:space="preserve">  ▶ 본 파일 사용 방법</t>
  </si>
  <si>
    <t>① [01_평가자정보] 시트에 1차 평가자(직속상사)·2차 평가자(조정자) 정보 기재</t>
  </si>
  <si>
    <t>② [02_평가대상자명단] 시트에서 본인이 평가할 임직원 명단 확인 (HR에서 미리 작성하여 전달)</t>
  </si>
  <si>
    <t>③ 명단의 각 임직원에 대해 직무·역할등급에 맞는 양식 시트(③·④·⑤... 직무_등급 시트)를 우클릭 → '복사본 만들기'</t>
  </si>
  <si>
    <t>④ 복사한 시트의 시트명을 '{직무}_{등급}_{사번}' 형식으로 변경 (예: BIM컨설팅_G5_BSS-009)</t>
  </si>
  <si>
    <t>⑤ 복사한 시트에서 [평가 대상자 정보]에 사번·이름 등 입력, [평가자 정보]에 평가자 본인 기재</t>
  </si>
  <si>
    <t>⑥ 3축(역할·공통역량·직무역량) 평가 — 각 항목에 등급(S/A/B/C/D) 입력 → 자동 산출 확인</t>
  </si>
  <si>
    <t>⑦ 평가 완료 후 본 파일을 인사담당자에게 제출 (이메일 또는 공유 폴더)</t>
  </si>
  <si>
    <t xml:space="preserve">  ▶ HR 마스터 시스템과의 연결 (HR 담당자용)</t>
  </si>
  <si>
    <t>본 파일의 각 평가지 시트 하단 [3축 종합 평가 결과] 영역의 등급을 HR 마스터의 [07_결과취합] 시트에 옮겨 입력</t>
  </si>
  <si>
    <t xml:space="preserve">  · 역할평가 종합 → [07_결과취합]의 역할 1차/2차 컬럼 (1차=상반기 시점, 2차=하반기 시점)</t>
  </si>
  <si>
    <t xml:space="preserve">  · 공통역량 11개 등급 → [07_결과취합]의 직무전문성~지속가능기여 11개 컬럼</t>
  </si>
  <si>
    <t xml:space="preserve">  · 직무역량 종합 → [07_결과취합]의 직무 1차/2차 컬럼</t>
  </si>
  <si>
    <t xml:space="preserve">  · 입력 후 [04_역할평가], [05_공통역량평가], [06_직무역량평가], [08_종합평가]가 자동 갱신됩니다</t>
  </si>
  <si>
    <t xml:space="preserve">  ▶ 평가 등급 체계</t>
  </si>
  <si>
    <t>S (탁월) — 역할·책무·역량을 현저히 초과 달성. 조직 전체 파급 + 모범 사례</t>
  </si>
  <si>
    <t>A (우수) — 기대 수준을 상회. 자기주도적·선제적 성과</t>
  </si>
  <si>
    <t>B (양호) — 기대 수준에 부합. 책임과 과제를 기한 내 완수</t>
  </si>
  <si>
    <t>C (미흡) — 기대 수준 대비 부분적 미흡. 추가 지도·지원 필요</t>
  </si>
  <si>
    <t>D (부족) — 전반적 미흡. 구체적 개선 계획 필요</t>
  </si>
  <si>
    <t xml:space="preserve">  ▶ 색상 범례</t>
  </si>
  <si>
    <t xml:space="preserve">  주황색 셀: 평가 대상자 정보 입력 (평가자가 입력)</t>
  </si>
  <si>
    <t xml:space="preserve">  노란색 셀: 등급 입력 (S/A/B/C/D 드롭다운)</t>
  </si>
  <si>
    <t xml:space="preserve">  연두색 셀: 자동 계산 (수정 금지)</t>
  </si>
  <si>
    <t xml:space="preserve">  파랑색/흰색 셀: 라벨·헤더 (수정 금지)</t>
  </si>
  <si>
    <t xml:space="preserve">  ▶ 제출 기한</t>
  </si>
  <si>
    <t>상반기 평가: 2026년 6월 30일까지</t>
  </si>
  <si>
    <t>하반기 평가: 2026년 12월 31일까지</t>
  </si>
  <si>
    <t>문의: HR 담당 인사팀</t>
  </si>
  <si>
    <t xml:space="preserve">  평가자 정보 — 스마트사업부</t>
  </si>
  <si>
    <t xml:space="preserve">  평가자 본인 정보를 입력하세요. 1차 평가자(직속상사)와 2차 평가자(조정자)를 각각 기재</t>
  </si>
  <si>
    <t xml:space="preserve">  ▶ 평가자 정보</t>
  </si>
  <si>
    <t>구분</t>
  </si>
  <si>
    <t>1차 평가자 (직속상사)</t>
  </si>
  <si>
    <t>2차 평가자 (조정자)</t>
  </si>
  <si>
    <t>사번</t>
  </si>
  <si>
    <t>성명</t>
  </si>
  <si>
    <t>직책</t>
  </si>
  <si>
    <t>이메일</t>
  </si>
  <si>
    <t>연락처</t>
  </si>
  <si>
    <t xml:space="preserve">  ▶ 평가 기간 정보</t>
  </si>
  <si>
    <t>평가 차수</t>
  </si>
  <si>
    <t>상반기</t>
  </si>
  <si>
    <t>평가 일자</t>
  </si>
  <si>
    <t>평가 완료일</t>
  </si>
  <si>
    <t xml:space="preserve">  평가 대상자 명단 — 스마트사업부 (1명)</t>
  </si>
  <si>
    <t xml:space="preserve">  ✻ 이 명단은 HR에서 미리 작성해 보내드린 것입니다. 평가자는 본 명단을 참고하여 각 임직원에 맞는 양식을 사용하세요.</t>
  </si>
  <si>
    <t xml:space="preserve">  ▶ 스마트사업부 평가 대상자 (1명) — 직무·역할등급별 사용 양식 표기</t>
  </si>
  <si>
    <t>No.</t>
  </si>
  <si>
    <t>기존 직급</t>
  </si>
  <si>
    <t>직군</t>
  </si>
  <si>
    <t>직무</t>
  </si>
  <si>
    <t>역할등급</t>
  </si>
  <si>
    <t>사용 양식 시트명</t>
  </si>
  <si>
    <t>비고</t>
  </si>
  <si>
    <t>BSS-001</t>
  </si>
  <si>
    <t>이화형</t>
  </si>
  <si>
    <t>전무</t>
  </si>
  <si>
    <t>영업</t>
  </si>
  <si>
    <t>프로젝트영업</t>
  </si>
  <si>
    <t>G6</t>
  </si>
  <si>
    <t>프로젝트영업_G6</t>
  </si>
  <si>
    <t xml:space="preserve">  ▶ 본 파일에 포함된 양식 (직무 × 역할등급)</t>
  </si>
  <si>
    <t>역할명</t>
  </si>
  <si>
    <t>책무 수</t>
  </si>
  <si>
    <t>해당 인원</t>
  </si>
  <si>
    <t>G1</t>
  </si>
  <si>
    <t>실무 보조</t>
  </si>
  <si>
    <t>0명</t>
  </si>
  <si>
    <t>G2</t>
  </si>
  <si>
    <t>실무</t>
  </si>
  <si>
    <t>G3</t>
  </si>
  <si>
    <t>핵심 실무</t>
  </si>
  <si>
    <t>G4</t>
  </si>
  <si>
    <t>실무 책임(PM)</t>
  </si>
  <si>
    <t>G5</t>
  </si>
  <si>
    <t>직무 관리(부서장)</t>
  </si>
  <si>
    <t>사업·조직 관리</t>
  </si>
  <si>
    <t>1명</t>
  </si>
  <si>
    <t xml:space="preserve">  성과평가지 — 프로젝트영업 / G1 (실무 보조)</t>
  </si>
  <si>
    <t xml:space="preserve">  ✻ 평가 대상자 정보는 평가자가 직접 입력. 한 사람을 평가할 때 본 시트를 복사하여 사용하세요.</t>
  </si>
  <si>
    <t xml:space="preserve">  ▶ 이 양식의 사용 방법</t>
  </si>
  <si>
    <t xml:space="preserve">  ① 본 시트를 우클릭 → '시트 이동/복사' → '복사본 만들기' 체크 → 시트명을 '{직무}_{등급}_{사번}'으로 변경</t>
  </si>
  <si>
    <t xml:space="preserve">  ② 복사한 시트의 [평가 대상자 정보] 영역에 사번·성명 등 입력 (HR이 보낸 [02_평가대상자명단] 참조)</t>
  </si>
  <si>
    <t xml:space="preserve">  ③ ① 역할평가 → ② 공통역량 → ③ 직무역량 순으로 등급(S/A/B/C/D) 입력</t>
  </si>
  <si>
    <t xml:space="preserve">  ④ 자동 산출된 종합 결과 확인 후 종합 소견 작성</t>
  </si>
  <si>
    <t xml:space="preserve">  ⑤ 평가 완료 후 본 파일을 인사담당자에게 제출</t>
  </si>
  <si>
    <t xml:space="preserve">  ▶ 평가 대상자 정보 (평가자가 입력)  ※ 주황색 셀에 입력</t>
  </si>
  <si>
    <t>부서</t>
  </si>
  <si>
    <t>입사일</t>
  </si>
  <si>
    <t>근속연수</t>
  </si>
  <si>
    <t>본 양식 기준</t>
  </si>
  <si>
    <t>프로젝트영업 × G1 (실무 보조)</t>
  </si>
  <si>
    <t xml:space="preserve">  ▶ 평가자 정보 (평가자가 입력)</t>
  </si>
  <si>
    <t xml:space="preserve">  ① 역할평가 — 5개 평가 항목  |  역할정의 기준</t>
  </si>
  <si>
    <t>역할정의 (자동 표시)</t>
  </si>
  <si>
    <t>영업팀 활동 지원, 자료 정리 및 기본적 고객 응대 보조.</t>
  </si>
  <si>
    <t>평가 항목</t>
  </si>
  <si>
    <t>평가 정의</t>
  </si>
  <si>
    <t>S/A/B/C/D 행동기준 (BARS)</t>
  </si>
  <si>
    <t>R-1</t>
  </si>
  <si>
    <t>책임범위 이행도</t>
  </si>
  <si>
    <t>역할등급에 부합하는 책임 범위 내 업무를 빠짐없이·정확히 수행</t>
  </si>
  <si>
    <t>S: 기대 수준 현저히 초과 / A: 자기주도적 우수 성과 / B: 기대 부합 / C: 부분적 미흡 / D: 전반적 미흡</t>
  </si>
  <si>
    <t>R-2</t>
  </si>
  <si>
    <t>의사결정 적절성</t>
  </si>
  <si>
    <t>권한 수준 내에서 시의적절하고 합리적인 의사결정 수행</t>
  </si>
  <si>
    <t>R-3</t>
  </si>
  <si>
    <t>성과 기여도</t>
  </si>
  <si>
    <t>조직·프로젝트 목표 달성에 실질적·정량적으로 기여</t>
  </si>
  <si>
    <t>R-4</t>
  </si>
  <si>
    <t>조직·후배 코칭</t>
  </si>
  <si>
    <t>상위·하위 역할과의 효과적 협업 및 후배·동료 코칭·전파</t>
  </si>
  <si>
    <t>R-5</t>
  </si>
  <si>
    <t>산출물 완성도</t>
  </si>
  <si>
    <t>역할 정의에 따른 산출물의 품질·완성도와 기한 준수</t>
  </si>
  <si>
    <t>① 역할평가 종합 (5개 평균)</t>
  </si>
  <si>
    <t>점수</t>
  </si>
  <si>
    <t>역할평가 등급 (자동)</t>
  </si>
  <si>
    <t>자동 등급</t>
  </si>
  <si>
    <t>확정</t>
  </si>
  <si>
    <t>역할평가 소견</t>
  </si>
  <si>
    <t xml:space="preserve">  ② 공통역량평가 — 전사 공통 11개 역량</t>
  </si>
  <si>
    <t>역량군</t>
  </si>
  <si>
    <t>핵심 역량</t>
  </si>
  <si>
    <t>역량 설명</t>
  </si>
  <si>
    <t>S/A/B/C/D 행동기준</t>
  </si>
  <si>
    <t>등급</t>
  </si>
  <si>
    <t>소견</t>
  </si>
  <si>
    <t>C-1</t>
  </si>
  <si>
    <t>업무역량</t>
  </si>
  <si>
    <t>직무 전문성</t>
  </si>
  <si>
    <t>직무에 필요한 전문 지식 및 기술을 충분히 보유하고 실무에 적절히 적용하고 있는지 평가</t>
  </si>
  <si>
    <t>S: 모범 사례 / A: 자기주도적 우수 / B: 정상 수행 / C: 부분 보완 / D: 근본 개선</t>
  </si>
  <si>
    <t>15%</t>
  </si>
  <si>
    <t>C-2</t>
  </si>
  <si>
    <t>분석력</t>
  </si>
  <si>
    <t>데이터·수치를 기반으로 사고하며 업무 효율을 높이는 능력</t>
  </si>
  <si>
    <t>10%</t>
  </si>
  <si>
    <t>C-3</t>
  </si>
  <si>
    <t>기획/실행력</t>
  </si>
  <si>
    <t>실행 가능한 목표 설정·계획 수립·체계적 실행 능력</t>
  </si>
  <si>
    <t>C-4</t>
  </si>
  <si>
    <t>조직역량</t>
  </si>
  <si>
    <t>자원·시간 관리</t>
  </si>
  <si>
    <t>업무 우선순위 설정 및 시간 내 효과적 업무 완수 능력</t>
  </si>
  <si>
    <t>C-5</t>
  </si>
  <si>
    <t>협업 능력</t>
  </si>
  <si>
    <t>팀원·타 부서와의 협업 태도와 적극적 협력</t>
  </si>
  <si>
    <t>C-6</t>
  </si>
  <si>
    <t>소통 능력</t>
  </si>
  <si>
    <t>명확한 의견 전달·경청·효과적 커뮤니케이션</t>
  </si>
  <si>
    <t>C-7</t>
  </si>
  <si>
    <t>인성역량</t>
  </si>
  <si>
    <t>윤리/책임감</t>
  </si>
  <si>
    <t>공정·투명한 업무 처리와 책임감 있는 업무 수행</t>
  </si>
  <si>
    <t>C-8</t>
  </si>
  <si>
    <t>업무 태도</t>
  </si>
  <si>
    <t>성실·주도적 태도, 변화에 대한 유연성</t>
  </si>
  <si>
    <t>C-9</t>
  </si>
  <si>
    <t>미래역량</t>
  </si>
  <si>
    <t>혁신 역량</t>
  </si>
  <si>
    <t>AI·자동화 등 최신 기술을 실무에 접목</t>
  </si>
  <si>
    <t>5%</t>
  </si>
  <si>
    <t>C-10</t>
  </si>
  <si>
    <t>프로세스 개선</t>
  </si>
  <si>
    <t>업무 절차 분석 및 비효율 개선 아이디어 제시·실행</t>
  </si>
  <si>
    <t>C-11</t>
  </si>
  <si>
    <t>지속가능 기여</t>
  </si>
  <si>
    <t>장기적 성과 향상·조직 기여도</t>
  </si>
  <si>
    <t>② 공통역량 종합 (가중합산)</t>
  </si>
  <si>
    <t>가중합산</t>
  </si>
  <si>
    <t>공통역량 등급 (자동)</t>
  </si>
  <si>
    <t>공통역량 소견</t>
  </si>
  <si>
    <t xml:space="preserve">  ③ 직무역량평가 — 프로젝트영업 핵심 책무 5개 (직무 프로파일 기반)</t>
  </si>
  <si>
    <t>전문영역</t>
  </si>
  <si>
    <t>핵심 책무</t>
  </si>
  <si>
    <t>핵심 과업 (평가 기준)</t>
  </si>
  <si>
    <t>필요 스킬</t>
  </si>
  <si>
    <t>J-1</t>
  </si>
  <si>
    <t>공공/건설프로젝트영업</t>
  </si>
  <si>
    <t>영업 전략 수립</t>
  </si>
  <si>
    <t>• 발주처·시장 동향 조사
• 공공·건설 프로젝트 기회 발굴
• 경쟁사 분석 및 입찰 전략 수립</t>
  </si>
  <si>
    <t>분석력, 전략적 사고</t>
  </si>
  <si>
    <t>J-2</t>
  </si>
  <si>
    <t>제안 및 수주 활동</t>
  </si>
  <si>
    <t>• 입찰 제안서 작성 및 PT
• 발주처 요구사항 대응
• 계약 조건 협상 및 수주 성사</t>
  </si>
  <si>
    <t>제안서 작성 능력, 프레젠테이션, 협상력</t>
  </si>
  <si>
    <t>J-3</t>
  </si>
  <si>
    <t>고객·관계 관리</t>
  </si>
  <si>
    <t>• 주요 발주처 및 협력사 관계 유지
• 정기 미팅 및 프로젝트 현안 대응
• 고객 만족도 조사 및 개선 제안</t>
  </si>
  <si>
    <t>소통 능력, 관계 관리, 문제 해결력</t>
  </si>
  <si>
    <t>J-4</t>
  </si>
  <si>
    <t>프로젝트 지원 및 수금 관리</t>
  </si>
  <si>
    <t>• 계약 후 실행 단계 모니터링
• 이슈 발생 시 내부 협업·조율
• 수금 일정 관리 및 실행</t>
  </si>
  <si>
    <t>협업 능력, 일정 관리, 리스크 대응</t>
  </si>
  <si>
    <t>J-5</t>
  </si>
  <si>
    <t>협력사/내부 부서 협업</t>
  </si>
  <si>
    <t>• 파트너사와 공동 제안 협력
• 기술·재무 부서 협업 통한 솔루션 제안
• 계약 이행 관련 행정 협조</t>
  </si>
  <si>
    <t>협업 능력, 조정 능력</t>
  </si>
  <si>
    <t>③ 직무역량 종합 (5개 평균)</t>
  </si>
  <si>
    <t>평균 점수</t>
  </si>
  <si>
    <t>직무역량 등급 (자동)</t>
  </si>
  <si>
    <t>직무역량 소견</t>
  </si>
  <si>
    <t xml:space="preserve">  ▶ 3축 종합 평가 결과 → HR 마스터 07_결과취합 시트에 옮겨 입력</t>
  </si>
  <si>
    <t>축</t>
  </si>
  <si>
    <t>①</t>
  </si>
  <si>
    <t>역할평가</t>
  </si>
  <si>
    <t>5개 항목 평균 → 07_결과취합의 [역할 1차/2차]에 입력</t>
  </si>
  <si>
    <t>②</t>
  </si>
  <si>
    <t>공통역량평가</t>
  </si>
  <si>
    <t>각 11개 등급은 07_결과취합의 [직무전문성~지속가능기여] 11개 컬럼에 입력</t>
  </si>
  <si>
    <t>③</t>
  </si>
  <si>
    <t>직무역량평가</t>
  </si>
  <si>
    <t>종합 등급은 07_결과취합의 [직무 1차/2차]에 입력</t>
  </si>
  <si>
    <t>강점</t>
  </si>
  <si>
    <t>개선 필요 사항</t>
  </si>
  <si>
    <t>향후 육성 방향</t>
  </si>
  <si>
    <t xml:space="preserve">  성과평가지 — 프로젝트영업 / G2 (실무)</t>
  </si>
  <si>
    <t>프로젝트영업 × G2 (실무)</t>
  </si>
  <si>
    <t>영업 기회 발굴, 제안 자료 작성, 고객 커뮤니케이션 지원 등 실무적 영업 활동 담당.</t>
  </si>
  <si>
    <t xml:space="preserve">  성과평가지 — 프로젝트영업 / G3 (핵심 실무)</t>
  </si>
  <si>
    <t>프로젝트영업 × G3 (핵심 실무)</t>
  </si>
  <si>
    <t>핵심 영업 과업(제안, 계약 관리 등)을 수행하고, 고객 요구 충족 및 프로젝트 진행을 지원.</t>
  </si>
  <si>
    <t xml:space="preserve">  성과평가지 — 프로젝트영업 / G4 (실무 책임(PM))</t>
  </si>
  <si>
    <t>프로젝트영업 × G4 (실무 책임(PM))</t>
  </si>
  <si>
    <t>프로젝트 영업 활동을 주도하며, 매출·수익성 목표 달성과 주요 고객 관리 책임.</t>
  </si>
  <si>
    <t xml:space="preserve">  성과평가지 — 프로젝트영업 / G5 (직무 관리(부서장))</t>
  </si>
  <si>
    <t>프로젝트영업 × G5 (직무 관리(부서장))</t>
  </si>
  <si>
    <t>영업 성과목표 수립·관리, 프로젝트 포트폴리오 운영, 자원 배분 및 매출 목표 달성 총괄.</t>
  </si>
  <si>
    <t xml:space="preserve">  성과평가지 — 프로젝트영업 / G6 (사업·조직 관리)</t>
  </si>
  <si>
    <t>프로젝트영업 × G6 (사업·조직 관리)</t>
  </si>
  <si>
    <t>회사의 영업전략 수립과 목표 달성을 총괄하며, 주요 고객·파트너십 관리 및 사업 기회를 확대하는 역할.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</si>
</sst>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10"/>
      <color rgb="FF595959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1F4E79"/>
      <name val="맑은 고딕"/>
      <family val="3"/>
      <charset val="129"/>
    </font>
    <font>
      <b/>
      <sz val="10"/>
      <color rgb="FF9C2D14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375623"/>
      <name val="맑은 고딕"/>
      <family val="3"/>
      <charset val="129"/>
    </font>
    <font>
      <b/>
      <sz val="10"/>
      <color rgb="FF9C5700"/>
      <name val="맑은 고딕"/>
      <family val="3"/>
      <charset val="129"/>
    </font>
    <font>
      <sz val="10"/>
      <color rgb="FF375623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DEBF7"/>
      </patternFill>
    </fill>
    <fill>
      <patternFill patternType="solid">
        <fgColor rgb="FFBDD7EE"/>
      </patternFill>
    </fill>
    <fill>
      <patternFill patternType="solid">
        <fgColor rgb="FFFCE4D6"/>
      </patternFill>
    </fill>
    <fill>
      <patternFill patternType="solid">
        <fgColor rgb="FFFFE4D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5FF"/>
      </patternFill>
    </fill>
    <fill>
      <patternFill patternType="solid">
        <fgColor rgb="FFE8DFFB"/>
      </patternFill>
    </fill>
    <fill>
      <patternFill patternType="solid">
        <fgColor rgb="FFFFF0F5"/>
      </patternFill>
    </fill>
  </fills>
  <borders count="4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 wrapText="1"/>
    </xf>
    <xf numFmtId="2" fontId="12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" fontId="12" fillId="8" borderId="1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3" fillId="11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</cellXfs>
  <cellStyles count="1">
    <cellStyle name="표준" xfId="0" builtinId="0"/>
  </cellStyles>
  <dxfs count="4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9BC2E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showGridLines="0" workbookViewId="0">
      <selection activeCell="C38" sqref="C38"/>
    </sheetView>
  </sheetViews>
  <sheetFormatPr defaultRowHeight="16.899999999999999" x14ac:dyDescent="0.6"/>
  <cols>
    <col min="1" max="1" width="20" customWidth="1"/>
    <col min="2" max="2" width="25" customWidth="1"/>
    <col min="3" max="4" width="18" customWidth="1"/>
    <col min="5" max="10" width="14" customWidth="1"/>
  </cols>
  <sheetData>
    <row r="1" spans="1:10" ht="26" customHeight="1" x14ac:dyDescent="0.6">
      <c r="A1" s="15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6">
      <c r="A2" s="16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4" spans="1:10" ht="22.05" customHeight="1" x14ac:dyDescent="0.6">
      <c r="A4" s="14" t="s">
        <v>2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6">
      <c r="A5" s="12" t="s">
        <v>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6">
      <c r="A6" s="12" t="s">
        <v>4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6">
      <c r="A7" s="12" t="s">
        <v>5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6">
      <c r="A8" s="12" t="s">
        <v>6</v>
      </c>
      <c r="B8" s="13"/>
      <c r="C8" s="13"/>
      <c r="D8" s="13"/>
      <c r="E8" s="13"/>
      <c r="F8" s="13"/>
      <c r="G8" s="13"/>
      <c r="H8" s="13"/>
      <c r="I8" s="13"/>
      <c r="J8" s="13"/>
    </row>
    <row r="9" spans="1:10" x14ac:dyDescent="0.6">
      <c r="A9" s="12" t="s">
        <v>7</v>
      </c>
      <c r="B9" s="13"/>
      <c r="C9" s="13"/>
      <c r="D9" s="13"/>
      <c r="E9" s="13"/>
      <c r="F9" s="13"/>
      <c r="G9" s="13"/>
      <c r="H9" s="13"/>
      <c r="I9" s="13"/>
      <c r="J9" s="13"/>
    </row>
    <row r="10" spans="1:10" x14ac:dyDescent="0.6">
      <c r="A10" s="12" t="s">
        <v>8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6">
      <c r="A11" s="12" t="s">
        <v>9</v>
      </c>
      <c r="B11" s="13"/>
      <c r="C11" s="13"/>
      <c r="D11" s="13"/>
      <c r="E11" s="13"/>
      <c r="F11" s="13"/>
      <c r="G11" s="13"/>
      <c r="H11" s="13"/>
      <c r="I11" s="13"/>
      <c r="J11" s="13"/>
    </row>
    <row r="13" spans="1:10" ht="22.05" customHeight="1" x14ac:dyDescent="0.6">
      <c r="A13" s="14" t="s">
        <v>10</v>
      </c>
      <c r="B13" s="13"/>
      <c r="C13" s="13"/>
      <c r="D13" s="13"/>
      <c r="E13" s="13"/>
      <c r="F13" s="13"/>
      <c r="G13" s="13"/>
      <c r="H13" s="13"/>
      <c r="I13" s="13"/>
      <c r="J13" s="13"/>
    </row>
    <row r="14" spans="1:10" x14ac:dyDescent="0.6">
      <c r="A14" s="12" t="s">
        <v>11</v>
      </c>
      <c r="B14" s="13"/>
      <c r="C14" s="13"/>
      <c r="D14" s="13"/>
      <c r="E14" s="13"/>
      <c r="F14" s="13"/>
      <c r="G14" s="13"/>
      <c r="H14" s="13"/>
      <c r="I14" s="13"/>
      <c r="J14" s="13"/>
    </row>
    <row r="15" spans="1:10" x14ac:dyDescent="0.6">
      <c r="A15" s="12" t="s">
        <v>12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0" x14ac:dyDescent="0.6">
      <c r="A16" s="12" t="s">
        <v>13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6">
      <c r="A17" s="12" t="s">
        <v>14</v>
      </c>
      <c r="B17" s="13"/>
      <c r="C17" s="13"/>
      <c r="D17" s="13"/>
      <c r="E17" s="13"/>
      <c r="F17" s="13"/>
      <c r="G17" s="13"/>
      <c r="H17" s="13"/>
      <c r="I17" s="13"/>
      <c r="J17" s="13"/>
    </row>
    <row r="18" spans="1:10" x14ac:dyDescent="0.6">
      <c r="A18" s="12" t="s">
        <v>15</v>
      </c>
      <c r="B18" s="13"/>
      <c r="C18" s="13"/>
      <c r="D18" s="13"/>
      <c r="E18" s="13"/>
      <c r="F18" s="13"/>
      <c r="G18" s="13"/>
      <c r="H18" s="13"/>
      <c r="I18" s="13"/>
      <c r="J18" s="13"/>
    </row>
    <row r="20" spans="1:10" ht="22.05" customHeight="1" x14ac:dyDescent="0.6">
      <c r="A20" s="14" t="s">
        <v>16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 x14ac:dyDescent="0.6">
      <c r="A21" s="12" t="s">
        <v>17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x14ac:dyDescent="0.6">
      <c r="A22" s="12" t="s">
        <v>18</v>
      </c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6">
      <c r="A23" s="12" t="s">
        <v>19</v>
      </c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6">
      <c r="A24" s="12" t="s">
        <v>20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6">
      <c r="A25" s="12" t="s">
        <v>21</v>
      </c>
      <c r="B25" s="13"/>
      <c r="C25" s="13"/>
      <c r="D25" s="13"/>
      <c r="E25" s="13"/>
      <c r="F25" s="13"/>
      <c r="G25" s="13"/>
      <c r="H25" s="13"/>
      <c r="I25" s="13"/>
      <c r="J25" s="13"/>
    </row>
    <row r="27" spans="1:10" ht="22.05" customHeight="1" x14ac:dyDescent="0.6">
      <c r="A27" s="14" t="s">
        <v>22</v>
      </c>
      <c r="B27" s="13"/>
      <c r="C27" s="13"/>
      <c r="D27" s="13"/>
      <c r="E27" s="13"/>
      <c r="F27" s="13"/>
      <c r="G27" s="13"/>
      <c r="H27" s="13"/>
      <c r="I27" s="13"/>
      <c r="J27" s="13"/>
    </row>
    <row r="28" spans="1:10" x14ac:dyDescent="0.6">
      <c r="A28" s="12" t="s">
        <v>23</v>
      </c>
      <c r="B28" s="13"/>
      <c r="C28" s="13"/>
      <c r="D28" s="13"/>
      <c r="E28" s="13"/>
      <c r="F28" s="13"/>
      <c r="G28" s="13"/>
      <c r="H28" s="13"/>
      <c r="I28" s="13"/>
      <c r="J28" s="13"/>
    </row>
    <row r="29" spans="1:10" x14ac:dyDescent="0.6">
      <c r="A29" s="12" t="s">
        <v>24</v>
      </c>
      <c r="B29" s="13"/>
      <c r="C29" s="13"/>
      <c r="D29" s="13"/>
      <c r="E29" s="13"/>
      <c r="F29" s="13"/>
      <c r="G29" s="13"/>
      <c r="H29" s="13"/>
      <c r="I29" s="13"/>
      <c r="J29" s="13"/>
    </row>
    <row r="30" spans="1:10" x14ac:dyDescent="0.6">
      <c r="A30" s="12" t="s">
        <v>25</v>
      </c>
      <c r="B30" s="13"/>
      <c r="C30" s="13"/>
      <c r="D30" s="13"/>
      <c r="E30" s="13"/>
      <c r="F30" s="13"/>
      <c r="G30" s="13"/>
      <c r="H30" s="13"/>
      <c r="I30" s="13"/>
      <c r="J30" s="13"/>
    </row>
    <row r="31" spans="1:10" x14ac:dyDescent="0.6">
      <c r="A31" s="12" t="s">
        <v>26</v>
      </c>
      <c r="B31" s="13"/>
      <c r="C31" s="13"/>
      <c r="D31" s="13"/>
      <c r="E31" s="13"/>
      <c r="F31" s="13"/>
      <c r="G31" s="13"/>
      <c r="H31" s="13"/>
      <c r="I31" s="13"/>
      <c r="J31" s="13"/>
    </row>
    <row r="33" spans="1:10" ht="22.05" customHeight="1" x14ac:dyDescent="0.6">
      <c r="A33" s="14" t="s">
        <v>27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6">
      <c r="A34" s="12" t="s">
        <v>28</v>
      </c>
      <c r="B34" s="13"/>
      <c r="C34" s="13"/>
      <c r="D34" s="13"/>
      <c r="E34" s="13"/>
      <c r="F34" s="13"/>
      <c r="G34" s="13"/>
      <c r="H34" s="13"/>
      <c r="I34" s="13"/>
      <c r="J34" s="13"/>
    </row>
    <row r="35" spans="1:10" x14ac:dyDescent="0.6">
      <c r="A35" s="12" t="s">
        <v>29</v>
      </c>
      <c r="B35" s="13"/>
      <c r="C35" s="13"/>
      <c r="D35" s="13"/>
      <c r="E35" s="13"/>
      <c r="F35" s="13"/>
      <c r="G35" s="13"/>
      <c r="H35" s="13"/>
      <c r="I35" s="13"/>
      <c r="J35" s="13"/>
    </row>
    <row r="36" spans="1:10" x14ac:dyDescent="0.6">
      <c r="A36" s="12" t="s">
        <v>30</v>
      </c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31">
    <mergeCell ref="A1:J1"/>
    <mergeCell ref="A36:J36"/>
    <mergeCell ref="A6:J6"/>
    <mergeCell ref="A7:J7"/>
    <mergeCell ref="A16:J16"/>
    <mergeCell ref="A25:J25"/>
    <mergeCell ref="A18:J18"/>
    <mergeCell ref="A27:J27"/>
    <mergeCell ref="A21:J21"/>
    <mergeCell ref="A2:J2"/>
    <mergeCell ref="A33:J33"/>
    <mergeCell ref="A29:J29"/>
    <mergeCell ref="A4:J4"/>
    <mergeCell ref="A35:J35"/>
    <mergeCell ref="A20:J20"/>
    <mergeCell ref="A10:J10"/>
    <mergeCell ref="A28:J28"/>
    <mergeCell ref="A13:J13"/>
    <mergeCell ref="A31:J31"/>
    <mergeCell ref="A9:J9"/>
    <mergeCell ref="A30:J30"/>
    <mergeCell ref="A34:J34"/>
    <mergeCell ref="A15:J15"/>
    <mergeCell ref="A24:J24"/>
    <mergeCell ref="A11:J11"/>
    <mergeCell ref="A5:J5"/>
    <mergeCell ref="A23:J23"/>
    <mergeCell ref="A8:J8"/>
    <mergeCell ref="A14:J14"/>
    <mergeCell ref="A22:J22"/>
    <mergeCell ref="A17:J17"/>
  </mergeCells>
  <phoneticPr fontId="1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>
      <selection activeCell="E19" sqref="E19"/>
    </sheetView>
  </sheetViews>
  <sheetFormatPr defaultRowHeight="16.899999999999999" x14ac:dyDescent="0.6"/>
  <cols>
    <col min="1" max="1" width="14" customWidth="1"/>
    <col min="2" max="2" width="18" customWidth="1"/>
    <col min="3" max="5" width="14" customWidth="1"/>
    <col min="6" max="6" width="18" customWidth="1"/>
  </cols>
  <sheetData>
    <row r="1" spans="1:6" ht="26" customHeight="1" x14ac:dyDescent="0.6">
      <c r="A1" s="15" t="s">
        <v>31</v>
      </c>
      <c r="B1" s="13"/>
      <c r="C1" s="13"/>
      <c r="D1" s="13"/>
      <c r="E1" s="13"/>
      <c r="F1" s="13"/>
    </row>
    <row r="2" spans="1:6" ht="18" customHeight="1" x14ac:dyDescent="0.6">
      <c r="A2" s="16" t="s">
        <v>32</v>
      </c>
      <c r="B2" s="13"/>
      <c r="C2" s="13"/>
      <c r="D2" s="13"/>
      <c r="E2" s="13"/>
      <c r="F2" s="13"/>
    </row>
    <row r="4" spans="1:6" ht="22.05" customHeight="1" x14ac:dyDescent="0.6">
      <c r="A4" s="14" t="s">
        <v>33</v>
      </c>
      <c r="B4" s="13"/>
      <c r="C4" s="13"/>
      <c r="D4" s="13"/>
      <c r="E4" s="13"/>
      <c r="F4" s="13"/>
    </row>
    <row r="5" spans="1:6" x14ac:dyDescent="0.6">
      <c r="A5" s="1" t="s">
        <v>34</v>
      </c>
      <c r="B5" s="20" t="s">
        <v>35</v>
      </c>
      <c r="C5" s="18"/>
      <c r="D5" s="19"/>
      <c r="E5" s="20" t="s">
        <v>36</v>
      </c>
      <c r="F5" s="19"/>
    </row>
    <row r="6" spans="1:6" x14ac:dyDescent="0.6">
      <c r="A6" s="2" t="s">
        <v>37</v>
      </c>
      <c r="B6" s="17"/>
      <c r="C6" s="18"/>
      <c r="D6" s="19"/>
      <c r="E6" s="17"/>
      <c r="F6" s="19"/>
    </row>
    <row r="7" spans="1:6" x14ac:dyDescent="0.6">
      <c r="A7" s="2" t="s">
        <v>38</v>
      </c>
      <c r="B7" s="17"/>
      <c r="C7" s="18"/>
      <c r="D7" s="19"/>
      <c r="E7" s="17"/>
      <c r="F7" s="19"/>
    </row>
    <row r="8" spans="1:6" x14ac:dyDescent="0.6">
      <c r="A8" s="2" t="s">
        <v>39</v>
      </c>
      <c r="B8" s="17"/>
      <c r="C8" s="18"/>
      <c r="D8" s="19"/>
      <c r="E8" s="17"/>
      <c r="F8" s="19"/>
    </row>
    <row r="9" spans="1:6" x14ac:dyDescent="0.6">
      <c r="A9" s="2" t="s">
        <v>40</v>
      </c>
      <c r="B9" s="17"/>
      <c r="C9" s="18"/>
      <c r="D9" s="19"/>
      <c r="E9" s="17"/>
      <c r="F9" s="19"/>
    </row>
    <row r="10" spans="1:6" x14ac:dyDescent="0.6">
      <c r="A10" s="2" t="s">
        <v>41</v>
      </c>
      <c r="B10" s="17"/>
      <c r="C10" s="18"/>
      <c r="D10" s="19"/>
      <c r="E10" s="17"/>
      <c r="F10" s="19"/>
    </row>
    <row r="12" spans="1:6" ht="22.05" customHeight="1" x14ac:dyDescent="0.6">
      <c r="A12" s="14" t="s">
        <v>42</v>
      </c>
      <c r="B12" s="13"/>
      <c r="C12" s="13"/>
      <c r="D12" s="13"/>
      <c r="E12" s="13"/>
      <c r="F12" s="13"/>
    </row>
    <row r="13" spans="1:6" x14ac:dyDescent="0.6">
      <c r="A13" s="2" t="s">
        <v>43</v>
      </c>
      <c r="B13" s="17" t="s">
        <v>44</v>
      </c>
      <c r="C13" s="18"/>
      <c r="D13" s="18"/>
      <c r="E13" s="18"/>
      <c r="F13" s="19"/>
    </row>
    <row r="14" spans="1:6" x14ac:dyDescent="0.6">
      <c r="A14" s="2" t="s">
        <v>45</v>
      </c>
      <c r="B14" s="17"/>
      <c r="C14" s="18"/>
      <c r="D14" s="19"/>
      <c r="E14" s="17"/>
      <c r="F14" s="19"/>
    </row>
    <row r="15" spans="1:6" x14ac:dyDescent="0.6">
      <c r="A15" s="2" t="s">
        <v>46</v>
      </c>
      <c r="B15" s="17"/>
      <c r="C15" s="18"/>
      <c r="D15" s="19"/>
      <c r="E15" s="17"/>
      <c r="F15" s="19"/>
    </row>
  </sheetData>
  <mergeCells count="21">
    <mergeCell ref="A1:F1"/>
    <mergeCell ref="A2:F2"/>
    <mergeCell ref="E10:F10"/>
    <mergeCell ref="B9:D9"/>
    <mergeCell ref="A4:F4"/>
    <mergeCell ref="B15:D15"/>
    <mergeCell ref="E9:F9"/>
    <mergeCell ref="B6:D6"/>
    <mergeCell ref="B13:F13"/>
    <mergeCell ref="B5:D5"/>
    <mergeCell ref="E6:F6"/>
    <mergeCell ref="E15:F15"/>
    <mergeCell ref="B7:D7"/>
    <mergeCell ref="E7:F7"/>
    <mergeCell ref="B14:D14"/>
    <mergeCell ref="B8:D8"/>
    <mergeCell ref="E5:F5"/>
    <mergeCell ref="A12:F12"/>
    <mergeCell ref="E14:F14"/>
    <mergeCell ref="E8:F8"/>
    <mergeCell ref="B10:D10"/>
  </mergeCells>
  <phoneticPr fontId="13" type="noConversion"/>
  <dataValidations count="1">
    <dataValidation type="list" sqref="B13" xr:uid="{00000000-0002-0000-0100-000000000000}">
      <formula1>"상반기,하반기"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workbookViewId="0">
      <pane ySplit="5" topLeftCell="A6" activePane="bottomLeft" state="frozen"/>
      <selection pane="bottomLeft" sqref="A1:I1"/>
    </sheetView>
  </sheetViews>
  <sheetFormatPr defaultRowHeight="16.899999999999999" x14ac:dyDescent="0.6"/>
  <cols>
    <col min="1" max="1" width="5" customWidth="1"/>
    <col min="2" max="2" width="11" customWidth="1"/>
    <col min="3" max="3" width="12" customWidth="1"/>
    <col min="4" max="4" width="10" customWidth="1"/>
    <col min="5" max="5" width="14" customWidth="1"/>
    <col min="6" max="6" width="16" customWidth="1"/>
    <col min="7" max="7" width="10" customWidth="1"/>
    <col min="8" max="8" width="26" customWidth="1"/>
    <col min="9" max="9" width="18" customWidth="1"/>
  </cols>
  <sheetData>
    <row r="1" spans="1:9" ht="26" customHeight="1" x14ac:dyDescent="0.6">
      <c r="A1" s="15" t="s">
        <v>47</v>
      </c>
      <c r="B1" s="13"/>
      <c r="C1" s="13"/>
      <c r="D1" s="13"/>
      <c r="E1" s="13"/>
      <c r="F1" s="13"/>
      <c r="G1" s="13"/>
      <c r="H1" s="13"/>
      <c r="I1" s="13"/>
    </row>
    <row r="2" spans="1:9" ht="18" customHeight="1" x14ac:dyDescent="0.6">
      <c r="A2" s="16" t="s">
        <v>48</v>
      </c>
      <c r="B2" s="13"/>
      <c r="C2" s="13"/>
      <c r="D2" s="13"/>
      <c r="E2" s="13"/>
      <c r="F2" s="13"/>
      <c r="G2" s="13"/>
      <c r="H2" s="13"/>
      <c r="I2" s="13"/>
    </row>
    <row r="4" spans="1:9" ht="22.05" customHeight="1" x14ac:dyDescent="0.6">
      <c r="A4" s="14" t="s">
        <v>49</v>
      </c>
      <c r="B4" s="13"/>
      <c r="C4" s="13"/>
      <c r="D4" s="13"/>
      <c r="E4" s="13"/>
      <c r="F4" s="13"/>
      <c r="G4" s="13"/>
      <c r="H4" s="13"/>
      <c r="I4" s="13"/>
    </row>
    <row r="5" spans="1:9" x14ac:dyDescent="0.6">
      <c r="A5" s="1" t="s">
        <v>50</v>
      </c>
      <c r="B5" s="1" t="s">
        <v>37</v>
      </c>
      <c r="C5" s="1" t="s">
        <v>38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55</v>
      </c>
      <c r="I5" s="1" t="s">
        <v>56</v>
      </c>
    </row>
    <row r="6" spans="1:9" x14ac:dyDescent="0.6">
      <c r="A6" s="3">
        <v>1</v>
      </c>
      <c r="B6" s="4" t="s">
        <v>57</v>
      </c>
      <c r="C6" s="4" t="s">
        <v>58</v>
      </c>
      <c r="D6" s="3" t="s">
        <v>59</v>
      </c>
      <c r="E6" s="3" t="s">
        <v>60</v>
      </c>
      <c r="F6" s="3" t="s">
        <v>61</v>
      </c>
      <c r="G6" s="5" t="s">
        <v>62</v>
      </c>
      <c r="H6" s="6" t="s">
        <v>63</v>
      </c>
      <c r="I6" s="3"/>
    </row>
    <row r="9" spans="1:9" ht="22.05" customHeight="1" x14ac:dyDescent="0.6">
      <c r="A9" s="14" t="s">
        <v>64</v>
      </c>
      <c r="B9" s="13"/>
      <c r="C9" s="13"/>
      <c r="D9" s="13"/>
      <c r="E9" s="13"/>
      <c r="F9" s="13"/>
      <c r="G9" s="13"/>
      <c r="H9" s="13"/>
      <c r="I9" s="13"/>
    </row>
    <row r="10" spans="1:9" x14ac:dyDescent="0.6">
      <c r="A10" s="1" t="s">
        <v>50</v>
      </c>
      <c r="B10" s="1" t="s">
        <v>53</v>
      </c>
      <c r="C10" s="1" t="s">
        <v>54</v>
      </c>
      <c r="D10" s="1" t="s">
        <v>65</v>
      </c>
      <c r="E10" s="1" t="s">
        <v>66</v>
      </c>
      <c r="F10" s="1" t="s">
        <v>67</v>
      </c>
      <c r="G10" s="20" t="s">
        <v>56</v>
      </c>
      <c r="H10" s="18"/>
      <c r="I10" s="19"/>
    </row>
    <row r="11" spans="1:9" x14ac:dyDescent="0.6">
      <c r="A11" s="3">
        <v>1</v>
      </c>
      <c r="B11" s="4" t="s">
        <v>61</v>
      </c>
      <c r="C11" s="5" t="s">
        <v>68</v>
      </c>
      <c r="D11" s="7" t="s">
        <v>69</v>
      </c>
      <c r="E11" s="3">
        <v>5</v>
      </c>
      <c r="F11" s="4" t="s">
        <v>70</v>
      </c>
      <c r="G11" s="21"/>
      <c r="H11" s="18"/>
      <c r="I11" s="19"/>
    </row>
    <row r="12" spans="1:9" x14ac:dyDescent="0.6">
      <c r="A12" s="3">
        <v>2</v>
      </c>
      <c r="B12" s="4" t="s">
        <v>61</v>
      </c>
      <c r="C12" s="5" t="s">
        <v>71</v>
      </c>
      <c r="D12" s="7" t="s">
        <v>72</v>
      </c>
      <c r="E12" s="3">
        <v>5</v>
      </c>
      <c r="F12" s="4" t="s">
        <v>70</v>
      </c>
      <c r="G12" s="21"/>
      <c r="H12" s="18"/>
      <c r="I12" s="19"/>
    </row>
    <row r="13" spans="1:9" x14ac:dyDescent="0.6">
      <c r="A13" s="3">
        <v>3</v>
      </c>
      <c r="B13" s="4" t="s">
        <v>61</v>
      </c>
      <c r="C13" s="5" t="s">
        <v>73</v>
      </c>
      <c r="D13" s="7" t="s">
        <v>74</v>
      </c>
      <c r="E13" s="3">
        <v>5</v>
      </c>
      <c r="F13" s="4" t="s">
        <v>70</v>
      </c>
      <c r="G13" s="21"/>
      <c r="H13" s="18"/>
      <c r="I13" s="19"/>
    </row>
    <row r="14" spans="1:9" ht="31.5" x14ac:dyDescent="0.6">
      <c r="A14" s="3">
        <v>4</v>
      </c>
      <c r="B14" s="4" t="s">
        <v>61</v>
      </c>
      <c r="C14" s="5" t="s">
        <v>75</v>
      </c>
      <c r="D14" s="7" t="s">
        <v>76</v>
      </c>
      <c r="E14" s="3">
        <v>5</v>
      </c>
      <c r="F14" s="4" t="s">
        <v>70</v>
      </c>
      <c r="G14" s="21"/>
      <c r="H14" s="18"/>
      <c r="I14" s="19"/>
    </row>
    <row r="15" spans="1:9" ht="31.5" x14ac:dyDescent="0.6">
      <c r="A15" s="3">
        <v>5</v>
      </c>
      <c r="B15" s="4" t="s">
        <v>61</v>
      </c>
      <c r="C15" s="5" t="s">
        <v>77</v>
      </c>
      <c r="D15" s="7" t="s">
        <v>78</v>
      </c>
      <c r="E15" s="3">
        <v>5</v>
      </c>
      <c r="F15" s="4" t="s">
        <v>70</v>
      </c>
      <c r="G15" s="21"/>
      <c r="H15" s="18"/>
      <c r="I15" s="19"/>
    </row>
    <row r="16" spans="1:9" ht="31.5" x14ac:dyDescent="0.6">
      <c r="A16" s="3">
        <v>6</v>
      </c>
      <c r="B16" s="4" t="s">
        <v>61</v>
      </c>
      <c r="C16" s="5" t="s">
        <v>62</v>
      </c>
      <c r="D16" s="7" t="s">
        <v>79</v>
      </c>
      <c r="E16" s="3">
        <v>5</v>
      </c>
      <c r="F16" s="4" t="s">
        <v>80</v>
      </c>
      <c r="G16" s="21" t="s">
        <v>58</v>
      </c>
      <c r="H16" s="18"/>
      <c r="I16" s="19"/>
    </row>
  </sheetData>
  <mergeCells count="11">
    <mergeCell ref="A1:I1"/>
    <mergeCell ref="A9:I9"/>
    <mergeCell ref="G12:I12"/>
    <mergeCell ref="A4:I4"/>
    <mergeCell ref="G15:I15"/>
    <mergeCell ref="G11:I11"/>
    <mergeCell ref="G16:I16"/>
    <mergeCell ref="A2:I2"/>
    <mergeCell ref="G10:I10"/>
    <mergeCell ref="G14:I14"/>
    <mergeCell ref="G13:I13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9"/>
  <sheetViews>
    <sheetView showGridLines="0" workbookViewId="0">
      <pane ySplit="3" topLeftCell="A21" activePane="bottomLeft" state="frozen"/>
      <selection pane="bottomLeft" sqref="A1:J1"/>
    </sheetView>
  </sheetViews>
  <sheetFormatPr defaultRowHeight="16.899999999999999" x14ac:dyDescent="0.6"/>
  <cols>
    <col min="1" max="1" width="6" customWidth="1"/>
    <col min="2" max="2" width="11" customWidth="1"/>
    <col min="3" max="3" width="14" customWidth="1"/>
    <col min="4" max="4" width="30" customWidth="1"/>
    <col min="5" max="5" width="22" customWidth="1"/>
    <col min="6" max="9" width="10" customWidth="1"/>
    <col min="10" max="10" width="18" customWidth="1"/>
  </cols>
  <sheetData>
    <row r="1" spans="1:10" ht="26" customHeight="1" x14ac:dyDescent="0.6">
      <c r="A1" s="15" t="s">
        <v>81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6">
      <c r="A2" s="16" t="s">
        <v>82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2.05" customHeight="1" x14ac:dyDescent="0.6">
      <c r="A3" s="26" t="s">
        <v>83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6">
      <c r="A4" s="12" t="s">
        <v>84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6">
      <c r="A5" s="12" t="s">
        <v>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6">
      <c r="A6" s="12" t="s">
        <v>86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6">
      <c r="A7" s="12" t="s">
        <v>87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6">
      <c r="A8" s="12" t="s">
        <v>88</v>
      </c>
      <c r="B8" s="13"/>
      <c r="C8" s="13"/>
      <c r="D8" s="13"/>
      <c r="E8" s="13"/>
      <c r="F8" s="13"/>
      <c r="G8" s="13"/>
      <c r="H8" s="13"/>
      <c r="I8" s="13"/>
      <c r="J8" s="13"/>
    </row>
    <row r="10" spans="1:10" ht="22.05" customHeight="1" x14ac:dyDescent="0.6">
      <c r="A10" s="28" t="s">
        <v>89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6">
      <c r="A11" s="22" t="s">
        <v>37</v>
      </c>
      <c r="B11" s="18"/>
      <c r="C11" s="19"/>
      <c r="D11" s="22" t="s">
        <v>38</v>
      </c>
      <c r="E11" s="19"/>
      <c r="F11" s="17"/>
      <c r="G11" s="22" t="s">
        <v>51</v>
      </c>
      <c r="H11" s="19"/>
      <c r="I11" s="17"/>
      <c r="J11" s="19"/>
    </row>
    <row r="12" spans="1:10" x14ac:dyDescent="0.6">
      <c r="A12" s="22" t="s">
        <v>52</v>
      </c>
      <c r="B12" s="18"/>
      <c r="C12" s="19"/>
      <c r="D12" s="22" t="s">
        <v>53</v>
      </c>
      <c r="E12" s="19"/>
      <c r="F12" s="17"/>
      <c r="G12" s="22" t="s">
        <v>54</v>
      </c>
      <c r="H12" s="19"/>
      <c r="I12" s="17"/>
      <c r="J12" s="19"/>
    </row>
    <row r="13" spans="1:10" x14ac:dyDescent="0.6">
      <c r="A13" s="22" t="s">
        <v>90</v>
      </c>
      <c r="B13" s="18"/>
      <c r="C13" s="19"/>
      <c r="D13" s="22" t="s">
        <v>91</v>
      </c>
      <c r="E13" s="19"/>
      <c r="F13" s="17"/>
      <c r="G13" s="22" t="s">
        <v>92</v>
      </c>
      <c r="H13" s="19"/>
      <c r="I13" s="17"/>
      <c r="J13" s="19"/>
    </row>
    <row r="14" spans="1:10" x14ac:dyDescent="0.6">
      <c r="A14" s="22" t="s">
        <v>93</v>
      </c>
      <c r="B14" s="18"/>
      <c r="C14" s="19"/>
      <c r="D14" s="30" t="s">
        <v>94</v>
      </c>
      <c r="E14" s="18"/>
      <c r="F14" s="18"/>
      <c r="G14" s="18"/>
      <c r="H14" s="18"/>
      <c r="I14" s="18"/>
      <c r="J14" s="19"/>
    </row>
    <row r="16" spans="1:10" ht="22.05" customHeight="1" x14ac:dyDescent="0.6">
      <c r="A16" s="28" t="s">
        <v>95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6">
      <c r="A17" s="22" t="s">
        <v>35</v>
      </c>
      <c r="B17" s="18"/>
      <c r="C17" s="18"/>
      <c r="D17" s="19"/>
      <c r="E17" s="22" t="s">
        <v>37</v>
      </c>
      <c r="F17" s="18"/>
      <c r="G17" s="19"/>
      <c r="H17" s="17"/>
      <c r="I17" s="18"/>
      <c r="J17" s="19"/>
    </row>
    <row r="18" spans="1:10" x14ac:dyDescent="0.6">
      <c r="A18" s="22" t="s">
        <v>36</v>
      </c>
      <c r="B18" s="18"/>
      <c r="C18" s="18"/>
      <c r="D18" s="19"/>
      <c r="E18" s="22" t="s">
        <v>37</v>
      </c>
      <c r="F18" s="18"/>
      <c r="G18" s="19"/>
      <c r="H18" s="17"/>
      <c r="I18" s="18"/>
      <c r="J18" s="19"/>
    </row>
    <row r="19" spans="1:10" x14ac:dyDescent="0.6">
      <c r="A19" s="22" t="s">
        <v>43</v>
      </c>
      <c r="B19" s="18"/>
      <c r="C19" s="18"/>
      <c r="D19" s="19"/>
      <c r="E19" s="17"/>
      <c r="F19" s="18"/>
      <c r="G19" s="19"/>
      <c r="H19" s="17"/>
      <c r="I19" s="18"/>
      <c r="J19" s="19"/>
    </row>
    <row r="21" spans="1:10" ht="22.05" customHeight="1" x14ac:dyDescent="0.6">
      <c r="A21" s="33" t="s">
        <v>96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28.05" customHeight="1" x14ac:dyDescent="0.6">
      <c r="A22" s="22" t="s">
        <v>97</v>
      </c>
      <c r="B22" s="19"/>
      <c r="C22" s="21" t="s">
        <v>98</v>
      </c>
      <c r="D22" s="18"/>
      <c r="E22" s="18"/>
      <c r="F22" s="18"/>
      <c r="G22" s="18"/>
      <c r="H22" s="18"/>
      <c r="I22" s="18"/>
      <c r="J22" s="19"/>
    </row>
    <row r="23" spans="1:10" x14ac:dyDescent="0.6">
      <c r="A23" s="1" t="s">
        <v>50</v>
      </c>
      <c r="B23" s="1" t="s">
        <v>99</v>
      </c>
      <c r="C23" s="1" t="s">
        <v>100</v>
      </c>
      <c r="D23" s="20" t="s">
        <v>101</v>
      </c>
      <c r="E23" s="18"/>
      <c r="F23" s="18"/>
      <c r="G23" s="18"/>
      <c r="H23" s="19"/>
    </row>
    <row r="24" spans="1:10" ht="42" customHeight="1" x14ac:dyDescent="0.6">
      <c r="A24" s="3" t="s">
        <v>102</v>
      </c>
      <c r="B24" s="8" t="s">
        <v>103</v>
      </c>
      <c r="C24" s="7" t="s">
        <v>104</v>
      </c>
      <c r="D24" s="21" t="s">
        <v>105</v>
      </c>
      <c r="E24" s="18"/>
      <c r="F24" s="18"/>
      <c r="G24" s="18"/>
      <c r="H24" s="19"/>
      <c r="I24" s="9"/>
      <c r="J24" s="9"/>
    </row>
    <row r="25" spans="1:10" ht="42" customHeight="1" x14ac:dyDescent="0.6">
      <c r="A25" s="3" t="s">
        <v>106</v>
      </c>
      <c r="B25" s="8" t="s">
        <v>107</v>
      </c>
      <c r="C25" s="7" t="s">
        <v>108</v>
      </c>
      <c r="D25" s="21" t="s">
        <v>105</v>
      </c>
      <c r="E25" s="18"/>
      <c r="F25" s="18"/>
      <c r="G25" s="18"/>
      <c r="H25" s="19"/>
      <c r="I25" s="9"/>
      <c r="J25" s="9"/>
    </row>
    <row r="26" spans="1:10" ht="42" customHeight="1" x14ac:dyDescent="0.6">
      <c r="A26" s="3" t="s">
        <v>109</v>
      </c>
      <c r="B26" s="8" t="s">
        <v>110</v>
      </c>
      <c r="C26" s="7" t="s">
        <v>111</v>
      </c>
      <c r="D26" s="21" t="s">
        <v>105</v>
      </c>
      <c r="E26" s="18"/>
      <c r="F26" s="18"/>
      <c r="G26" s="18"/>
      <c r="H26" s="19"/>
      <c r="I26" s="9"/>
      <c r="J26" s="9"/>
    </row>
    <row r="27" spans="1:10" ht="42" customHeight="1" x14ac:dyDescent="0.6">
      <c r="A27" s="3" t="s">
        <v>112</v>
      </c>
      <c r="B27" s="8" t="s">
        <v>113</v>
      </c>
      <c r="C27" s="7" t="s">
        <v>114</v>
      </c>
      <c r="D27" s="21" t="s">
        <v>105</v>
      </c>
      <c r="E27" s="18"/>
      <c r="F27" s="18"/>
      <c r="G27" s="18"/>
      <c r="H27" s="19"/>
      <c r="I27" s="9"/>
      <c r="J27" s="9"/>
    </row>
    <row r="28" spans="1:10" ht="42" customHeight="1" x14ac:dyDescent="0.6">
      <c r="A28" s="3" t="s">
        <v>115</v>
      </c>
      <c r="B28" s="8" t="s">
        <v>116</v>
      </c>
      <c r="C28" s="7" t="s">
        <v>117</v>
      </c>
      <c r="D28" s="21" t="s">
        <v>105</v>
      </c>
      <c r="E28" s="18"/>
      <c r="F28" s="18"/>
      <c r="G28" s="18"/>
      <c r="H28" s="19"/>
      <c r="I28" s="9"/>
      <c r="J28" s="9"/>
    </row>
    <row r="29" spans="1:10" x14ac:dyDescent="0.6">
      <c r="A29" s="22" t="s">
        <v>118</v>
      </c>
      <c r="B29" s="18"/>
      <c r="C29" s="18"/>
      <c r="D29" s="18"/>
      <c r="E29" s="18"/>
      <c r="F29" s="18"/>
      <c r="G29" s="19"/>
      <c r="H29" s="2" t="s">
        <v>119</v>
      </c>
      <c r="I29" s="10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>0</v>
      </c>
    </row>
    <row r="30" spans="1:10" x14ac:dyDescent="0.6">
      <c r="A30" s="22" t="s">
        <v>120</v>
      </c>
      <c r="B30" s="18"/>
      <c r="C30" s="18"/>
      <c r="D30" s="18"/>
      <c r="E30" s="18"/>
      <c r="F30" s="18"/>
      <c r="G30" s="19"/>
      <c r="H30" s="2" t="s">
        <v>121</v>
      </c>
      <c r="I30" s="11" t="str">
        <f>IF(I29="","",IF(I29&gt;=4.5,"S",IF(I29&gt;=3.5,"A",IF(I29&gt;=2.5,"B",IF(I29&gt;=1.5,"C","D")))))</f>
        <v>D</v>
      </c>
      <c r="J30" s="2" t="s">
        <v>122</v>
      </c>
    </row>
    <row r="31" spans="1:10" ht="42" customHeight="1" x14ac:dyDescent="0.6">
      <c r="A31" s="22" t="s">
        <v>123</v>
      </c>
      <c r="B31" s="19"/>
      <c r="C31" s="23"/>
      <c r="D31" s="18"/>
      <c r="E31" s="18"/>
      <c r="F31" s="18"/>
      <c r="G31" s="18"/>
      <c r="H31" s="18"/>
      <c r="I31" s="18"/>
      <c r="J31" s="19"/>
    </row>
    <row r="33" spans="1:10" ht="22.05" customHeight="1" x14ac:dyDescent="0.6">
      <c r="A33" s="32" t="s">
        <v>124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6">
      <c r="A34" s="1" t="s">
        <v>50</v>
      </c>
      <c r="B34" s="1" t="s">
        <v>125</v>
      </c>
      <c r="C34" s="1" t="s">
        <v>126</v>
      </c>
      <c r="D34" s="1" t="s">
        <v>127</v>
      </c>
      <c r="E34" s="20" t="s">
        <v>128</v>
      </c>
      <c r="F34" s="19"/>
      <c r="G34" s="1" t="s">
        <v>129</v>
      </c>
      <c r="H34" s="1" t="s">
        <v>130</v>
      </c>
    </row>
    <row r="35" spans="1:10" ht="38" customHeight="1" x14ac:dyDescent="0.6">
      <c r="A35" s="3" t="s">
        <v>131</v>
      </c>
      <c r="B35" s="7" t="s">
        <v>132</v>
      </c>
      <c r="C35" s="8" t="s">
        <v>133</v>
      </c>
      <c r="D35" s="7" t="s">
        <v>134</v>
      </c>
      <c r="E35" s="21" t="s">
        <v>135</v>
      </c>
      <c r="F35" s="19"/>
      <c r="G35" s="4" t="s">
        <v>136</v>
      </c>
      <c r="H35" s="9"/>
      <c r="I35" s="23"/>
      <c r="J35" s="19"/>
    </row>
    <row r="36" spans="1:10" ht="38" customHeight="1" x14ac:dyDescent="0.6">
      <c r="A36" s="3" t="s">
        <v>137</v>
      </c>
      <c r="B36" s="7" t="s">
        <v>132</v>
      </c>
      <c r="C36" s="8" t="s">
        <v>138</v>
      </c>
      <c r="D36" s="7" t="s">
        <v>139</v>
      </c>
      <c r="E36" s="21" t="s">
        <v>135</v>
      </c>
      <c r="F36" s="19"/>
      <c r="G36" s="4" t="s">
        <v>140</v>
      </c>
      <c r="H36" s="9"/>
      <c r="I36" s="23"/>
      <c r="J36" s="19"/>
    </row>
    <row r="37" spans="1:10" ht="38" customHeight="1" x14ac:dyDescent="0.6">
      <c r="A37" s="3" t="s">
        <v>141</v>
      </c>
      <c r="B37" s="7" t="s">
        <v>132</v>
      </c>
      <c r="C37" s="8" t="s">
        <v>142</v>
      </c>
      <c r="D37" s="7" t="s">
        <v>143</v>
      </c>
      <c r="E37" s="21" t="s">
        <v>135</v>
      </c>
      <c r="F37" s="19"/>
      <c r="G37" s="4" t="s">
        <v>140</v>
      </c>
      <c r="H37" s="9"/>
      <c r="I37" s="23"/>
      <c r="J37" s="19"/>
    </row>
    <row r="38" spans="1:10" ht="38" customHeight="1" x14ac:dyDescent="0.6">
      <c r="A38" s="3" t="s">
        <v>144</v>
      </c>
      <c r="B38" s="7" t="s">
        <v>145</v>
      </c>
      <c r="C38" s="8" t="s">
        <v>146</v>
      </c>
      <c r="D38" s="7" t="s">
        <v>147</v>
      </c>
      <c r="E38" s="21" t="s">
        <v>135</v>
      </c>
      <c r="F38" s="19"/>
      <c r="G38" s="4" t="s">
        <v>140</v>
      </c>
      <c r="H38" s="9"/>
      <c r="I38" s="23"/>
      <c r="J38" s="19"/>
    </row>
    <row r="39" spans="1:10" ht="38" customHeight="1" x14ac:dyDescent="0.6">
      <c r="A39" s="3" t="s">
        <v>148</v>
      </c>
      <c r="B39" s="7" t="s">
        <v>145</v>
      </c>
      <c r="C39" s="8" t="s">
        <v>149</v>
      </c>
      <c r="D39" s="7" t="s">
        <v>150</v>
      </c>
      <c r="E39" s="21" t="s">
        <v>135</v>
      </c>
      <c r="F39" s="19"/>
      <c r="G39" s="4" t="s">
        <v>140</v>
      </c>
      <c r="H39" s="9"/>
      <c r="I39" s="23"/>
      <c r="J39" s="19"/>
    </row>
    <row r="40" spans="1:10" ht="38" customHeight="1" x14ac:dyDescent="0.6">
      <c r="A40" s="3" t="s">
        <v>151</v>
      </c>
      <c r="B40" s="7" t="s">
        <v>145</v>
      </c>
      <c r="C40" s="8" t="s">
        <v>152</v>
      </c>
      <c r="D40" s="7" t="s">
        <v>153</v>
      </c>
      <c r="E40" s="21" t="s">
        <v>135</v>
      </c>
      <c r="F40" s="19"/>
      <c r="G40" s="4" t="s">
        <v>140</v>
      </c>
      <c r="H40" s="9"/>
      <c r="I40" s="23"/>
      <c r="J40" s="19"/>
    </row>
    <row r="41" spans="1:10" ht="38" customHeight="1" x14ac:dyDescent="0.6">
      <c r="A41" s="3" t="s">
        <v>154</v>
      </c>
      <c r="B41" s="7" t="s">
        <v>155</v>
      </c>
      <c r="C41" s="8" t="s">
        <v>156</v>
      </c>
      <c r="D41" s="7" t="s">
        <v>157</v>
      </c>
      <c r="E41" s="21" t="s">
        <v>135</v>
      </c>
      <c r="F41" s="19"/>
      <c r="G41" s="4" t="s">
        <v>140</v>
      </c>
      <c r="H41" s="9"/>
      <c r="I41" s="23"/>
      <c r="J41" s="19"/>
    </row>
    <row r="42" spans="1:10" ht="38" customHeight="1" x14ac:dyDescent="0.6">
      <c r="A42" s="3" t="s">
        <v>158</v>
      </c>
      <c r="B42" s="7" t="s">
        <v>155</v>
      </c>
      <c r="C42" s="8" t="s">
        <v>159</v>
      </c>
      <c r="D42" s="7" t="s">
        <v>160</v>
      </c>
      <c r="E42" s="21" t="s">
        <v>135</v>
      </c>
      <c r="F42" s="19"/>
      <c r="G42" s="4" t="s">
        <v>140</v>
      </c>
      <c r="H42" s="9"/>
      <c r="I42" s="23"/>
      <c r="J42" s="19"/>
    </row>
    <row r="43" spans="1:10" ht="38" customHeight="1" x14ac:dyDescent="0.6">
      <c r="A43" s="3" t="s">
        <v>161</v>
      </c>
      <c r="B43" s="7" t="s">
        <v>162</v>
      </c>
      <c r="C43" s="8" t="s">
        <v>163</v>
      </c>
      <c r="D43" s="7" t="s">
        <v>164</v>
      </c>
      <c r="E43" s="21" t="s">
        <v>135</v>
      </c>
      <c r="F43" s="19"/>
      <c r="G43" s="4" t="s">
        <v>165</v>
      </c>
      <c r="H43" s="9"/>
      <c r="I43" s="23"/>
      <c r="J43" s="19"/>
    </row>
    <row r="44" spans="1:10" ht="38" customHeight="1" x14ac:dyDescent="0.6">
      <c r="A44" s="3" t="s">
        <v>166</v>
      </c>
      <c r="B44" s="7" t="s">
        <v>162</v>
      </c>
      <c r="C44" s="8" t="s">
        <v>167</v>
      </c>
      <c r="D44" s="7" t="s">
        <v>168</v>
      </c>
      <c r="E44" s="21" t="s">
        <v>135</v>
      </c>
      <c r="F44" s="19"/>
      <c r="G44" s="4" t="s">
        <v>165</v>
      </c>
      <c r="H44" s="9"/>
      <c r="I44" s="23"/>
      <c r="J44" s="19"/>
    </row>
    <row r="45" spans="1:10" ht="38" customHeight="1" x14ac:dyDescent="0.6">
      <c r="A45" s="3" t="s">
        <v>169</v>
      </c>
      <c r="B45" s="7" t="s">
        <v>162</v>
      </c>
      <c r="C45" s="8" t="s">
        <v>170</v>
      </c>
      <c r="D45" s="7" t="s">
        <v>171</v>
      </c>
      <c r="E45" s="21" t="s">
        <v>135</v>
      </c>
      <c r="F45" s="19"/>
      <c r="G45" s="4" t="s">
        <v>165</v>
      </c>
      <c r="H45" s="9"/>
      <c r="I45" s="23"/>
      <c r="J45" s="19"/>
    </row>
    <row r="46" spans="1:10" x14ac:dyDescent="0.6">
      <c r="A46" s="22" t="s">
        <v>172</v>
      </c>
      <c r="B46" s="18"/>
      <c r="C46" s="18"/>
      <c r="D46" s="18"/>
      <c r="E46" s="18"/>
      <c r="F46" s="19"/>
      <c r="G46" s="2" t="s">
        <v>173</v>
      </c>
      <c r="H46" s="10" t="str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 spans="1:10" x14ac:dyDescent="0.6">
      <c r="A47" s="22" t="s">
        <v>174</v>
      </c>
      <c r="B47" s="18"/>
      <c r="C47" s="18"/>
      <c r="D47" s="18"/>
      <c r="E47" s="18"/>
      <c r="F47" s="19"/>
      <c r="G47" s="2" t="s">
        <v>121</v>
      </c>
      <c r="H47" s="11" t="str">
        <f>IF(H46="","",IF(H46&gt;=4.5,"S",IF(H46&gt;=3.5,"A",IF(H46&gt;=2.5,"B",IF(H46&gt;=1.5,"C","D")))))</f>
        <v/>
      </c>
      <c r="I47" s="22" t="s">
        <v>122</v>
      </c>
      <c r="J47" s="19"/>
    </row>
    <row r="48" spans="1:10" ht="42" customHeight="1" x14ac:dyDescent="0.6">
      <c r="A48" s="22" t="s">
        <v>175</v>
      </c>
      <c r="B48" s="19"/>
      <c r="C48" s="23"/>
      <c r="D48" s="18"/>
      <c r="E48" s="18"/>
      <c r="F48" s="18"/>
      <c r="G48" s="18"/>
      <c r="H48" s="18"/>
      <c r="I48" s="18"/>
      <c r="J48" s="19"/>
    </row>
    <row r="50" spans="1:10" ht="22.05" customHeight="1" x14ac:dyDescent="0.6">
      <c r="A50" s="29" t="s">
        <v>176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6">
      <c r="A51" s="1" t="s">
        <v>50</v>
      </c>
      <c r="B51" s="1" t="s">
        <v>177</v>
      </c>
      <c r="C51" s="1" t="s">
        <v>178</v>
      </c>
      <c r="D51" s="1" t="s">
        <v>179</v>
      </c>
      <c r="E51" s="1" t="s">
        <v>180</v>
      </c>
      <c r="F51" s="20" t="s">
        <v>129</v>
      </c>
      <c r="G51" s="19"/>
      <c r="H51" s="13"/>
      <c r="I51" s="13"/>
      <c r="J51" s="13"/>
    </row>
    <row r="52" spans="1:10" ht="55.05" customHeight="1" x14ac:dyDescent="0.6">
      <c r="A52" s="3" t="s">
        <v>181</v>
      </c>
      <c r="B52" s="7" t="s">
        <v>182</v>
      </c>
      <c r="C52" s="8" t="s">
        <v>183</v>
      </c>
      <c r="D52" s="7" t="s">
        <v>184</v>
      </c>
      <c r="E52" s="7" t="s">
        <v>185</v>
      </c>
      <c r="F52" s="23"/>
      <c r="G52" s="19"/>
      <c r="H52" s="23"/>
      <c r="I52" s="18"/>
      <c r="J52" s="19"/>
    </row>
    <row r="53" spans="1:10" ht="55.05" customHeight="1" x14ac:dyDescent="0.6">
      <c r="A53" s="3" t="s">
        <v>186</v>
      </c>
      <c r="B53" s="7" t="s">
        <v>182</v>
      </c>
      <c r="C53" s="8" t="s">
        <v>187</v>
      </c>
      <c r="D53" s="7" t="s">
        <v>188</v>
      </c>
      <c r="E53" s="7" t="s">
        <v>189</v>
      </c>
      <c r="F53" s="23"/>
      <c r="G53" s="19"/>
      <c r="H53" s="23"/>
      <c r="I53" s="18"/>
      <c r="J53" s="19"/>
    </row>
    <row r="54" spans="1:10" ht="55.05" customHeight="1" x14ac:dyDescent="0.6">
      <c r="A54" s="3" t="s">
        <v>190</v>
      </c>
      <c r="B54" s="7" t="s">
        <v>182</v>
      </c>
      <c r="C54" s="8" t="s">
        <v>191</v>
      </c>
      <c r="D54" s="7" t="s">
        <v>192</v>
      </c>
      <c r="E54" s="7" t="s">
        <v>193</v>
      </c>
      <c r="F54" s="23"/>
      <c r="G54" s="19"/>
      <c r="H54" s="23"/>
      <c r="I54" s="18"/>
      <c r="J54" s="19"/>
    </row>
    <row r="55" spans="1:10" ht="55.05" customHeight="1" x14ac:dyDescent="0.6">
      <c r="A55" s="3" t="s">
        <v>194</v>
      </c>
      <c r="B55" s="7" t="s">
        <v>182</v>
      </c>
      <c r="C55" s="8" t="s">
        <v>195</v>
      </c>
      <c r="D55" s="7" t="s">
        <v>196</v>
      </c>
      <c r="E55" s="7" t="s">
        <v>197</v>
      </c>
      <c r="F55" s="23"/>
      <c r="G55" s="19"/>
      <c r="H55" s="23"/>
      <c r="I55" s="18"/>
      <c r="J55" s="19"/>
    </row>
    <row r="56" spans="1:10" ht="55.05" customHeight="1" x14ac:dyDescent="0.6">
      <c r="A56" s="3" t="s">
        <v>198</v>
      </c>
      <c r="B56" s="7" t="s">
        <v>182</v>
      </c>
      <c r="C56" s="8" t="s">
        <v>199</v>
      </c>
      <c r="D56" s="7" t="s">
        <v>200</v>
      </c>
      <c r="E56" s="7" t="s">
        <v>201</v>
      </c>
      <c r="F56" s="23"/>
      <c r="G56" s="19"/>
      <c r="H56" s="23"/>
      <c r="I56" s="18"/>
      <c r="J56" s="19"/>
    </row>
    <row r="57" spans="1:10" x14ac:dyDescent="0.6">
      <c r="A57" s="22" t="s">
        <v>202</v>
      </c>
      <c r="B57" s="18"/>
      <c r="C57" s="18"/>
      <c r="D57" s="19"/>
      <c r="E57" s="2" t="s">
        <v>203</v>
      </c>
      <c r="F57" s="25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>0</v>
      </c>
      <c r="G57" s="19"/>
    </row>
    <row r="58" spans="1:10" x14ac:dyDescent="0.6">
      <c r="A58" s="22" t="s">
        <v>204</v>
      </c>
      <c r="B58" s="18"/>
      <c r="C58" s="18"/>
      <c r="D58" s="19"/>
      <c r="E58" s="2" t="s">
        <v>121</v>
      </c>
      <c r="F58" s="27" t="str">
        <f>IF(F57="","",IF(F57&gt;=4.5,"S",IF(F57&gt;=3.5,"A",IF(F57&gt;=2.5,"B",IF(F57&gt;=1.5,"C","D")))))</f>
        <v>D</v>
      </c>
      <c r="G58" s="19"/>
      <c r="H58" s="22" t="s">
        <v>122</v>
      </c>
      <c r="I58" s="18"/>
      <c r="J58" s="19"/>
    </row>
    <row r="59" spans="1:10" ht="42" customHeight="1" x14ac:dyDescent="0.6">
      <c r="A59" s="22" t="s">
        <v>205</v>
      </c>
      <c r="B59" s="19"/>
      <c r="C59" s="23"/>
      <c r="D59" s="18"/>
      <c r="E59" s="18"/>
      <c r="F59" s="18"/>
      <c r="G59" s="18"/>
      <c r="H59" s="18"/>
      <c r="I59" s="18"/>
      <c r="J59" s="19"/>
    </row>
    <row r="61" spans="1:10" ht="22.05" customHeight="1" x14ac:dyDescent="0.6">
      <c r="A61" s="31" t="s">
        <v>206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6">
      <c r="A62" s="1" t="s">
        <v>207</v>
      </c>
      <c r="B62" s="20" t="s">
        <v>34</v>
      </c>
      <c r="C62" s="19"/>
      <c r="D62" s="20" t="s">
        <v>129</v>
      </c>
      <c r="E62" s="19"/>
      <c r="F62" s="13"/>
      <c r="G62" s="13"/>
      <c r="H62" s="13"/>
      <c r="I62" s="13"/>
      <c r="J62" s="13"/>
    </row>
    <row r="63" spans="1:10" x14ac:dyDescent="0.6">
      <c r="A63" s="5" t="s">
        <v>208</v>
      </c>
      <c r="B63" s="24" t="s">
        <v>209</v>
      </c>
      <c r="C63" s="19"/>
      <c r="D63" s="25">
        <f>I29</f>
        <v>0</v>
      </c>
      <c r="E63" s="19"/>
      <c r="F63" s="27" t="str">
        <f>I30</f>
        <v>D</v>
      </c>
      <c r="G63" s="19"/>
      <c r="H63" s="21" t="s">
        <v>210</v>
      </c>
      <c r="I63" s="18"/>
      <c r="J63" s="19"/>
    </row>
    <row r="64" spans="1:10" x14ac:dyDescent="0.6">
      <c r="A64" s="5" t="s">
        <v>211</v>
      </c>
      <c r="B64" s="24" t="s">
        <v>212</v>
      </c>
      <c r="C64" s="19"/>
      <c r="D64" s="25" t="str">
        <f>H46</f>
        <v/>
      </c>
      <c r="E64" s="19"/>
      <c r="F64" s="27" t="str">
        <f>H47</f>
        <v/>
      </c>
      <c r="G64" s="19"/>
      <c r="H64" s="21" t="s">
        <v>213</v>
      </c>
      <c r="I64" s="18"/>
      <c r="J64" s="19"/>
    </row>
    <row r="65" spans="1:10" x14ac:dyDescent="0.6">
      <c r="A65" s="5" t="s">
        <v>214</v>
      </c>
      <c r="B65" s="24" t="s">
        <v>215</v>
      </c>
      <c r="C65" s="19"/>
      <c r="D65" s="25">
        <f>F57</f>
        <v>0</v>
      </c>
      <c r="E65" s="19"/>
      <c r="F65" s="27" t="str">
        <f>F58</f>
        <v>D</v>
      </c>
      <c r="G65" s="19"/>
      <c r="H65" s="21" t="s">
        <v>216</v>
      </c>
      <c r="I65" s="18"/>
      <c r="J65" s="19"/>
    </row>
    <row r="67" spans="1:10" ht="42" customHeight="1" x14ac:dyDescent="0.6">
      <c r="A67" s="22" t="s">
        <v>217</v>
      </c>
      <c r="B67" s="19"/>
      <c r="C67" s="23"/>
      <c r="D67" s="18"/>
      <c r="E67" s="18"/>
      <c r="F67" s="18"/>
      <c r="G67" s="18"/>
      <c r="H67" s="18"/>
      <c r="I67" s="18"/>
      <c r="J67" s="19"/>
    </row>
    <row r="68" spans="1:10" ht="42" customHeight="1" x14ac:dyDescent="0.6">
      <c r="A68" s="22" t="s">
        <v>218</v>
      </c>
      <c r="B68" s="19"/>
      <c r="C68" s="23"/>
      <c r="D68" s="18"/>
      <c r="E68" s="18"/>
      <c r="F68" s="18"/>
      <c r="G68" s="18"/>
      <c r="H68" s="18"/>
      <c r="I68" s="18"/>
      <c r="J68" s="19"/>
    </row>
    <row r="69" spans="1:10" ht="42" customHeight="1" x14ac:dyDescent="0.6">
      <c r="A69" s="22" t="s">
        <v>219</v>
      </c>
      <c r="B69" s="19"/>
      <c r="C69" s="23"/>
      <c r="D69" s="18"/>
      <c r="E69" s="18"/>
      <c r="F69" s="18"/>
      <c r="G69" s="18"/>
      <c r="H69" s="18"/>
      <c r="I69" s="18"/>
      <c r="J69" s="19"/>
    </row>
  </sheetData>
  <mergeCells count="121"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</mergeCells>
  <phoneticPr fontId="13" type="noConversion"/>
  <conditionalFormatting sqref="F10:F70">
    <cfRule type="cellIs" dxfId="47" priority="1" operator="equal">
      <formula>"S"</formula>
    </cfRule>
    <cfRule type="cellIs" dxfId="46" priority="2" operator="equal">
      <formula>"A"</formula>
    </cfRule>
    <cfRule type="cellIs" dxfId="45" priority="3" operator="equal">
      <formula>"C"</formula>
    </cfRule>
    <cfRule type="cellIs" dxfId="44" priority="4" operator="equal">
      <formula>"D"</formula>
    </cfRule>
  </conditionalFormatting>
  <conditionalFormatting sqref="H10:I70">
    <cfRule type="cellIs" dxfId="43" priority="5" operator="equal">
      <formula>"S"</formula>
    </cfRule>
    <cfRule type="cellIs" dxfId="42" priority="6" operator="equal">
      <formula>"A"</formula>
    </cfRule>
    <cfRule type="cellIs" dxfId="41" priority="7" operator="equal">
      <formula>"C"</formula>
    </cfRule>
    <cfRule type="cellIs" dxfId="40" priority="8" operator="equal">
      <formula>"D"</formula>
    </cfRule>
  </conditionalFormatting>
  <dataValidations count="2">
    <dataValidation type="list" sqref="E19" xr:uid="{00000000-0002-0000-0300-000000000000}">
      <formula1>"상반기,하반기"</formula1>
    </dataValidation>
    <dataValidation type="list" allowBlank="1" sqref="I24:I28 F52:F56 H35:H45" xr:uid="{00000000-0002-0000-0300-000001000000}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9"/>
  <sheetViews>
    <sheetView showGridLines="0" tabSelected="1" workbookViewId="0">
      <pane ySplit="3" topLeftCell="A48" activePane="bottomLeft" state="frozen"/>
      <selection pane="bottomLeft" activeCell="A61" sqref="A61:J61"/>
    </sheetView>
  </sheetViews>
  <sheetFormatPr defaultRowHeight="16.899999999999999" x14ac:dyDescent="0.6"/>
  <cols>
    <col min="1" max="1" width="6" customWidth="1"/>
    <col min="2" max="2" width="11" customWidth="1"/>
    <col min="3" max="3" width="14" customWidth="1"/>
    <col min="4" max="4" width="30" customWidth="1"/>
    <col min="5" max="5" width="22" customWidth="1"/>
    <col min="6" max="9" width="10" customWidth="1"/>
    <col min="10" max="10" width="18" customWidth="1"/>
  </cols>
  <sheetData>
    <row r="1" spans="1:10" ht="26" customHeight="1" x14ac:dyDescent="0.6">
      <c r="A1" s="15" t="s">
        <v>220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6">
      <c r="A2" s="16" t="s">
        <v>82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2.05" customHeight="1" x14ac:dyDescent="0.6">
      <c r="A3" s="26" t="s">
        <v>83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6">
      <c r="A4" s="12" t="s">
        <v>84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6">
      <c r="A5" s="12" t="s">
        <v>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6">
      <c r="A6" s="12" t="s">
        <v>86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6">
      <c r="A7" s="12" t="s">
        <v>87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6">
      <c r="A8" s="12" t="s">
        <v>88</v>
      </c>
      <c r="B8" s="13"/>
      <c r="C8" s="13"/>
      <c r="D8" s="13"/>
      <c r="E8" s="13"/>
      <c r="F8" s="13"/>
      <c r="G8" s="13"/>
      <c r="H8" s="13"/>
      <c r="I8" s="13"/>
      <c r="J8" s="13"/>
    </row>
    <row r="10" spans="1:10" ht="22.05" customHeight="1" x14ac:dyDescent="0.6">
      <c r="A10" s="28" t="s">
        <v>89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6">
      <c r="A11" s="22" t="s">
        <v>37</v>
      </c>
      <c r="B11" s="18"/>
      <c r="C11" s="19"/>
      <c r="D11" s="22" t="s">
        <v>38</v>
      </c>
      <c r="E11" s="19"/>
      <c r="F11" s="17"/>
      <c r="G11" s="22" t="s">
        <v>51</v>
      </c>
      <c r="H11" s="19"/>
      <c r="I11" s="17"/>
      <c r="J11" s="19"/>
    </row>
    <row r="12" spans="1:10" x14ac:dyDescent="0.6">
      <c r="A12" s="22" t="s">
        <v>52</v>
      </c>
      <c r="B12" s="18"/>
      <c r="C12" s="19"/>
      <c r="D12" s="22" t="s">
        <v>53</v>
      </c>
      <c r="E12" s="19"/>
      <c r="F12" s="17"/>
      <c r="G12" s="22" t="s">
        <v>54</v>
      </c>
      <c r="H12" s="19"/>
      <c r="I12" s="17"/>
      <c r="J12" s="19"/>
    </row>
    <row r="13" spans="1:10" x14ac:dyDescent="0.6">
      <c r="A13" s="22" t="s">
        <v>90</v>
      </c>
      <c r="B13" s="18"/>
      <c r="C13" s="19"/>
      <c r="D13" s="22" t="s">
        <v>91</v>
      </c>
      <c r="E13" s="19"/>
      <c r="F13" s="17"/>
      <c r="G13" s="22" t="s">
        <v>92</v>
      </c>
      <c r="H13" s="19"/>
      <c r="I13" s="17"/>
      <c r="J13" s="19"/>
    </row>
    <row r="14" spans="1:10" x14ac:dyDescent="0.6">
      <c r="A14" s="22" t="s">
        <v>93</v>
      </c>
      <c r="B14" s="18"/>
      <c r="C14" s="19"/>
      <c r="D14" s="30" t="s">
        <v>221</v>
      </c>
      <c r="E14" s="18"/>
      <c r="F14" s="18"/>
      <c r="G14" s="18"/>
      <c r="H14" s="18"/>
      <c r="I14" s="18"/>
      <c r="J14" s="19"/>
    </row>
    <row r="16" spans="1:10" ht="22.05" customHeight="1" x14ac:dyDescent="0.6">
      <c r="A16" s="28" t="s">
        <v>95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6">
      <c r="A17" s="22" t="s">
        <v>35</v>
      </c>
      <c r="B17" s="18"/>
      <c r="C17" s="18"/>
      <c r="D17" s="19"/>
      <c r="E17" s="22" t="s">
        <v>37</v>
      </c>
      <c r="F17" s="18"/>
      <c r="G17" s="19"/>
      <c r="H17" s="17"/>
      <c r="I17" s="18"/>
      <c r="J17" s="19"/>
    </row>
    <row r="18" spans="1:10" x14ac:dyDescent="0.6">
      <c r="A18" s="22" t="s">
        <v>36</v>
      </c>
      <c r="B18" s="18"/>
      <c r="C18" s="18"/>
      <c r="D18" s="19"/>
      <c r="E18" s="22" t="s">
        <v>37</v>
      </c>
      <c r="F18" s="18"/>
      <c r="G18" s="19"/>
      <c r="H18" s="17"/>
      <c r="I18" s="18"/>
      <c r="J18" s="19"/>
    </row>
    <row r="19" spans="1:10" x14ac:dyDescent="0.6">
      <c r="A19" s="22" t="s">
        <v>43</v>
      </c>
      <c r="B19" s="18"/>
      <c r="C19" s="18"/>
      <c r="D19" s="19"/>
      <c r="E19" s="17"/>
      <c r="F19" s="18"/>
      <c r="G19" s="19"/>
      <c r="H19" s="17"/>
      <c r="I19" s="18"/>
      <c r="J19" s="19"/>
    </row>
    <row r="21" spans="1:10" ht="22.05" customHeight="1" x14ac:dyDescent="0.6">
      <c r="A21" s="33" t="s">
        <v>96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28.05" customHeight="1" x14ac:dyDescent="0.6">
      <c r="A22" s="22" t="s">
        <v>97</v>
      </c>
      <c r="B22" s="19"/>
      <c r="C22" s="21" t="s">
        <v>222</v>
      </c>
      <c r="D22" s="18"/>
      <c r="E22" s="18"/>
      <c r="F22" s="18"/>
      <c r="G22" s="18"/>
      <c r="H22" s="18"/>
      <c r="I22" s="18"/>
      <c r="J22" s="19"/>
    </row>
    <row r="23" spans="1:10" x14ac:dyDescent="0.6">
      <c r="A23" s="1" t="s">
        <v>50</v>
      </c>
      <c r="B23" s="1" t="s">
        <v>99</v>
      </c>
      <c r="C23" s="1" t="s">
        <v>100</v>
      </c>
      <c r="D23" s="20" t="s">
        <v>101</v>
      </c>
      <c r="E23" s="18"/>
      <c r="F23" s="18"/>
      <c r="G23" s="18"/>
      <c r="H23" s="19"/>
    </row>
    <row r="24" spans="1:10" ht="42" customHeight="1" x14ac:dyDescent="0.6">
      <c r="A24" s="3" t="s">
        <v>102</v>
      </c>
      <c r="B24" s="8" t="s">
        <v>103</v>
      </c>
      <c r="C24" s="7" t="s">
        <v>104</v>
      </c>
      <c r="D24" s="21" t="s">
        <v>105</v>
      </c>
      <c r="E24" s="18"/>
      <c r="F24" s="18"/>
      <c r="G24" s="18"/>
      <c r="H24" s="19"/>
      <c r="I24" s="9"/>
      <c r="J24" s="9"/>
    </row>
    <row r="25" spans="1:10" ht="42" customHeight="1" x14ac:dyDescent="0.6">
      <c r="A25" s="3" t="s">
        <v>106</v>
      </c>
      <c r="B25" s="8" t="s">
        <v>107</v>
      </c>
      <c r="C25" s="7" t="s">
        <v>108</v>
      </c>
      <c r="D25" s="21" t="s">
        <v>105</v>
      </c>
      <c r="E25" s="18"/>
      <c r="F25" s="18"/>
      <c r="G25" s="18"/>
      <c r="H25" s="19"/>
      <c r="I25" s="9"/>
      <c r="J25" s="9"/>
    </row>
    <row r="26" spans="1:10" ht="42" customHeight="1" x14ac:dyDescent="0.6">
      <c r="A26" s="3" t="s">
        <v>109</v>
      </c>
      <c r="B26" s="8" t="s">
        <v>110</v>
      </c>
      <c r="C26" s="7" t="s">
        <v>111</v>
      </c>
      <c r="D26" s="21" t="s">
        <v>105</v>
      </c>
      <c r="E26" s="18"/>
      <c r="F26" s="18"/>
      <c r="G26" s="18"/>
      <c r="H26" s="19"/>
      <c r="I26" s="9"/>
      <c r="J26" s="9"/>
    </row>
    <row r="27" spans="1:10" ht="42" customHeight="1" x14ac:dyDescent="0.6">
      <c r="A27" s="3" t="s">
        <v>112</v>
      </c>
      <c r="B27" s="8" t="s">
        <v>113</v>
      </c>
      <c r="C27" s="7" t="s">
        <v>114</v>
      </c>
      <c r="D27" s="21" t="s">
        <v>105</v>
      </c>
      <c r="E27" s="18"/>
      <c r="F27" s="18"/>
      <c r="G27" s="18"/>
      <c r="H27" s="19"/>
      <c r="I27" s="9"/>
      <c r="J27" s="9"/>
    </row>
    <row r="28" spans="1:10" ht="42" customHeight="1" x14ac:dyDescent="0.6">
      <c r="A28" s="3" t="s">
        <v>115</v>
      </c>
      <c r="B28" s="8" t="s">
        <v>116</v>
      </c>
      <c r="C28" s="7" t="s">
        <v>117</v>
      </c>
      <c r="D28" s="21" t="s">
        <v>105</v>
      </c>
      <c r="E28" s="18"/>
      <c r="F28" s="18"/>
      <c r="G28" s="18"/>
      <c r="H28" s="19"/>
      <c r="I28" s="9"/>
      <c r="J28" s="9"/>
    </row>
    <row r="29" spans="1:10" x14ac:dyDescent="0.6">
      <c r="A29" s="22" t="s">
        <v>118</v>
      </c>
      <c r="B29" s="18"/>
      <c r="C29" s="18"/>
      <c r="D29" s="18"/>
      <c r="E29" s="18"/>
      <c r="F29" s="18"/>
      <c r="G29" s="19"/>
      <c r="H29" s="2" t="s">
        <v>119</v>
      </c>
      <c r="I29" s="10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>0</v>
      </c>
    </row>
    <row r="30" spans="1:10" x14ac:dyDescent="0.6">
      <c r="A30" s="22" t="s">
        <v>120</v>
      </c>
      <c r="B30" s="18"/>
      <c r="C30" s="18"/>
      <c r="D30" s="18"/>
      <c r="E30" s="18"/>
      <c r="F30" s="18"/>
      <c r="G30" s="19"/>
      <c r="H30" s="2" t="s">
        <v>121</v>
      </c>
      <c r="I30" s="11" t="str">
        <f>IF(I29="","",IF(I29&gt;=4.5,"S",IF(I29&gt;=3.5,"A",IF(I29&gt;=2.5,"B",IF(I29&gt;=1.5,"C","D")))))</f>
        <v>D</v>
      </c>
      <c r="J30" s="2" t="s">
        <v>122</v>
      </c>
    </row>
    <row r="31" spans="1:10" ht="42" customHeight="1" x14ac:dyDescent="0.6">
      <c r="A31" s="22" t="s">
        <v>123</v>
      </c>
      <c r="B31" s="19"/>
      <c r="C31" s="23"/>
      <c r="D31" s="18"/>
      <c r="E31" s="18"/>
      <c r="F31" s="18"/>
      <c r="G31" s="18"/>
      <c r="H31" s="18"/>
      <c r="I31" s="18"/>
      <c r="J31" s="19"/>
    </row>
    <row r="33" spans="1:10" ht="22.05" customHeight="1" x14ac:dyDescent="0.6">
      <c r="A33" s="32" t="s">
        <v>124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6">
      <c r="A34" s="1" t="s">
        <v>50</v>
      </c>
      <c r="B34" s="1" t="s">
        <v>125</v>
      </c>
      <c r="C34" s="1" t="s">
        <v>126</v>
      </c>
      <c r="D34" s="1" t="s">
        <v>127</v>
      </c>
      <c r="E34" s="20" t="s">
        <v>128</v>
      </c>
      <c r="F34" s="19"/>
      <c r="G34" s="1" t="s">
        <v>129</v>
      </c>
      <c r="H34" s="1" t="s">
        <v>130</v>
      </c>
    </row>
    <row r="35" spans="1:10" ht="38" customHeight="1" x14ac:dyDescent="0.6">
      <c r="A35" s="3" t="s">
        <v>131</v>
      </c>
      <c r="B35" s="7" t="s">
        <v>132</v>
      </c>
      <c r="C35" s="8" t="s">
        <v>133</v>
      </c>
      <c r="D35" s="7" t="s">
        <v>134</v>
      </c>
      <c r="E35" s="21" t="s">
        <v>135</v>
      </c>
      <c r="F35" s="19"/>
      <c r="G35" s="4" t="s">
        <v>136</v>
      </c>
      <c r="H35" s="9"/>
      <c r="I35" s="23"/>
      <c r="J35" s="19"/>
    </row>
    <row r="36" spans="1:10" ht="38" customHeight="1" x14ac:dyDescent="0.6">
      <c r="A36" s="3" t="s">
        <v>137</v>
      </c>
      <c r="B36" s="7" t="s">
        <v>132</v>
      </c>
      <c r="C36" s="8" t="s">
        <v>138</v>
      </c>
      <c r="D36" s="7" t="s">
        <v>139</v>
      </c>
      <c r="E36" s="21" t="s">
        <v>135</v>
      </c>
      <c r="F36" s="19"/>
      <c r="G36" s="4" t="s">
        <v>140</v>
      </c>
      <c r="H36" s="9"/>
      <c r="I36" s="23"/>
      <c r="J36" s="19"/>
    </row>
    <row r="37" spans="1:10" ht="38" customHeight="1" x14ac:dyDescent="0.6">
      <c r="A37" s="3" t="s">
        <v>141</v>
      </c>
      <c r="B37" s="7" t="s">
        <v>132</v>
      </c>
      <c r="C37" s="8" t="s">
        <v>142</v>
      </c>
      <c r="D37" s="7" t="s">
        <v>143</v>
      </c>
      <c r="E37" s="21" t="s">
        <v>135</v>
      </c>
      <c r="F37" s="19"/>
      <c r="G37" s="4" t="s">
        <v>140</v>
      </c>
      <c r="H37" s="9"/>
      <c r="I37" s="23"/>
      <c r="J37" s="19"/>
    </row>
    <row r="38" spans="1:10" ht="38" customHeight="1" x14ac:dyDescent="0.6">
      <c r="A38" s="3" t="s">
        <v>144</v>
      </c>
      <c r="B38" s="7" t="s">
        <v>145</v>
      </c>
      <c r="C38" s="8" t="s">
        <v>146</v>
      </c>
      <c r="D38" s="7" t="s">
        <v>147</v>
      </c>
      <c r="E38" s="21" t="s">
        <v>135</v>
      </c>
      <c r="F38" s="19"/>
      <c r="G38" s="4" t="s">
        <v>140</v>
      </c>
      <c r="H38" s="9"/>
      <c r="I38" s="23"/>
      <c r="J38" s="19"/>
    </row>
    <row r="39" spans="1:10" ht="38" customHeight="1" x14ac:dyDescent="0.6">
      <c r="A39" s="3" t="s">
        <v>148</v>
      </c>
      <c r="B39" s="7" t="s">
        <v>145</v>
      </c>
      <c r="C39" s="8" t="s">
        <v>149</v>
      </c>
      <c r="D39" s="7" t="s">
        <v>150</v>
      </c>
      <c r="E39" s="21" t="s">
        <v>135</v>
      </c>
      <c r="F39" s="19"/>
      <c r="G39" s="4" t="s">
        <v>140</v>
      </c>
      <c r="H39" s="9"/>
      <c r="I39" s="23"/>
      <c r="J39" s="19"/>
    </row>
    <row r="40" spans="1:10" ht="38" customHeight="1" x14ac:dyDescent="0.6">
      <c r="A40" s="3" t="s">
        <v>151</v>
      </c>
      <c r="B40" s="7" t="s">
        <v>145</v>
      </c>
      <c r="C40" s="8" t="s">
        <v>152</v>
      </c>
      <c r="D40" s="7" t="s">
        <v>153</v>
      </c>
      <c r="E40" s="21" t="s">
        <v>135</v>
      </c>
      <c r="F40" s="19"/>
      <c r="G40" s="4" t="s">
        <v>140</v>
      </c>
      <c r="H40" s="9"/>
      <c r="I40" s="23"/>
      <c r="J40" s="19"/>
    </row>
    <row r="41" spans="1:10" ht="38" customHeight="1" x14ac:dyDescent="0.6">
      <c r="A41" s="3" t="s">
        <v>154</v>
      </c>
      <c r="B41" s="7" t="s">
        <v>155</v>
      </c>
      <c r="C41" s="8" t="s">
        <v>156</v>
      </c>
      <c r="D41" s="7" t="s">
        <v>157</v>
      </c>
      <c r="E41" s="21" t="s">
        <v>135</v>
      </c>
      <c r="F41" s="19"/>
      <c r="G41" s="4" t="s">
        <v>140</v>
      </c>
      <c r="H41" s="9"/>
      <c r="I41" s="23"/>
      <c r="J41" s="19"/>
    </row>
    <row r="42" spans="1:10" ht="38" customHeight="1" x14ac:dyDescent="0.6">
      <c r="A42" s="3" t="s">
        <v>158</v>
      </c>
      <c r="B42" s="7" t="s">
        <v>155</v>
      </c>
      <c r="C42" s="8" t="s">
        <v>159</v>
      </c>
      <c r="D42" s="7" t="s">
        <v>160</v>
      </c>
      <c r="E42" s="21" t="s">
        <v>135</v>
      </c>
      <c r="F42" s="19"/>
      <c r="G42" s="4" t="s">
        <v>140</v>
      </c>
      <c r="H42" s="9"/>
      <c r="I42" s="23"/>
      <c r="J42" s="19"/>
    </row>
    <row r="43" spans="1:10" ht="38" customHeight="1" x14ac:dyDescent="0.6">
      <c r="A43" s="3" t="s">
        <v>161</v>
      </c>
      <c r="B43" s="7" t="s">
        <v>162</v>
      </c>
      <c r="C43" s="8" t="s">
        <v>163</v>
      </c>
      <c r="D43" s="7" t="s">
        <v>164</v>
      </c>
      <c r="E43" s="21" t="s">
        <v>135</v>
      </c>
      <c r="F43" s="19"/>
      <c r="G43" s="4" t="s">
        <v>165</v>
      </c>
      <c r="H43" s="9"/>
      <c r="I43" s="23"/>
      <c r="J43" s="19"/>
    </row>
    <row r="44" spans="1:10" ht="38" customHeight="1" x14ac:dyDescent="0.6">
      <c r="A44" s="3" t="s">
        <v>166</v>
      </c>
      <c r="B44" s="7" t="s">
        <v>162</v>
      </c>
      <c r="C44" s="8" t="s">
        <v>167</v>
      </c>
      <c r="D44" s="7" t="s">
        <v>168</v>
      </c>
      <c r="E44" s="21" t="s">
        <v>135</v>
      </c>
      <c r="F44" s="19"/>
      <c r="G44" s="4" t="s">
        <v>165</v>
      </c>
      <c r="H44" s="9"/>
      <c r="I44" s="23"/>
      <c r="J44" s="19"/>
    </row>
    <row r="45" spans="1:10" ht="38" customHeight="1" x14ac:dyDescent="0.6">
      <c r="A45" s="3" t="s">
        <v>169</v>
      </c>
      <c r="B45" s="7" t="s">
        <v>162</v>
      </c>
      <c r="C45" s="8" t="s">
        <v>170</v>
      </c>
      <c r="D45" s="7" t="s">
        <v>171</v>
      </c>
      <c r="E45" s="21" t="s">
        <v>135</v>
      </c>
      <c r="F45" s="19"/>
      <c r="G45" s="4" t="s">
        <v>165</v>
      </c>
      <c r="H45" s="9"/>
      <c r="I45" s="23"/>
      <c r="J45" s="19"/>
    </row>
    <row r="46" spans="1:10" x14ac:dyDescent="0.6">
      <c r="A46" s="22" t="s">
        <v>172</v>
      </c>
      <c r="B46" s="18"/>
      <c r="C46" s="18"/>
      <c r="D46" s="18"/>
      <c r="E46" s="18"/>
      <c r="F46" s="19"/>
      <c r="G46" s="2" t="s">
        <v>173</v>
      </c>
      <c r="H46" s="10" t="str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 spans="1:10" x14ac:dyDescent="0.6">
      <c r="A47" s="22" t="s">
        <v>174</v>
      </c>
      <c r="B47" s="18"/>
      <c r="C47" s="18"/>
      <c r="D47" s="18"/>
      <c r="E47" s="18"/>
      <c r="F47" s="19"/>
      <c r="G47" s="2" t="s">
        <v>121</v>
      </c>
      <c r="H47" s="11" t="str">
        <f>IF(H46="","",IF(H46&gt;=4.5,"S",IF(H46&gt;=3.5,"A",IF(H46&gt;=2.5,"B",IF(H46&gt;=1.5,"C","D")))))</f>
        <v/>
      </c>
      <c r="I47" s="22" t="s">
        <v>122</v>
      </c>
      <c r="J47" s="19"/>
    </row>
    <row r="48" spans="1:10" ht="42" customHeight="1" x14ac:dyDescent="0.6">
      <c r="A48" s="22" t="s">
        <v>175</v>
      </c>
      <c r="B48" s="19"/>
      <c r="C48" s="23"/>
      <c r="D48" s="18"/>
      <c r="E48" s="18"/>
      <c r="F48" s="18"/>
      <c r="G48" s="18"/>
      <c r="H48" s="18"/>
      <c r="I48" s="18"/>
      <c r="J48" s="19"/>
    </row>
    <row r="50" spans="1:10" ht="22.05" customHeight="1" x14ac:dyDescent="0.6">
      <c r="A50" s="29" t="s">
        <v>176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6">
      <c r="A51" s="1" t="s">
        <v>50</v>
      </c>
      <c r="B51" s="1" t="s">
        <v>177</v>
      </c>
      <c r="C51" s="1" t="s">
        <v>178</v>
      </c>
      <c r="D51" s="1" t="s">
        <v>179</v>
      </c>
      <c r="E51" s="1" t="s">
        <v>180</v>
      </c>
      <c r="F51" s="20" t="s">
        <v>129</v>
      </c>
      <c r="G51" s="19"/>
      <c r="H51" s="13"/>
      <c r="I51" s="13"/>
      <c r="J51" s="13"/>
    </row>
    <row r="52" spans="1:10" ht="55.05" customHeight="1" x14ac:dyDescent="0.6">
      <c r="A52" s="3" t="s">
        <v>181</v>
      </c>
      <c r="B52" s="7" t="s">
        <v>182</v>
      </c>
      <c r="C52" s="8" t="s">
        <v>183</v>
      </c>
      <c r="D52" s="7" t="s">
        <v>184</v>
      </c>
      <c r="E52" s="7" t="s">
        <v>185</v>
      </c>
      <c r="F52" s="23"/>
      <c r="G52" s="19"/>
      <c r="H52" s="23"/>
      <c r="I52" s="18"/>
      <c r="J52" s="19"/>
    </row>
    <row r="53" spans="1:10" ht="55.05" customHeight="1" x14ac:dyDescent="0.6">
      <c r="A53" s="3" t="s">
        <v>186</v>
      </c>
      <c r="B53" s="7" t="s">
        <v>182</v>
      </c>
      <c r="C53" s="8" t="s">
        <v>187</v>
      </c>
      <c r="D53" s="7" t="s">
        <v>188</v>
      </c>
      <c r="E53" s="7" t="s">
        <v>189</v>
      </c>
      <c r="F53" s="23"/>
      <c r="G53" s="19"/>
      <c r="H53" s="23"/>
      <c r="I53" s="18"/>
      <c r="J53" s="19"/>
    </row>
    <row r="54" spans="1:10" ht="55.05" customHeight="1" x14ac:dyDescent="0.6">
      <c r="A54" s="3" t="s">
        <v>190</v>
      </c>
      <c r="B54" s="7" t="s">
        <v>182</v>
      </c>
      <c r="C54" s="8" t="s">
        <v>191</v>
      </c>
      <c r="D54" s="7" t="s">
        <v>192</v>
      </c>
      <c r="E54" s="7" t="s">
        <v>193</v>
      </c>
      <c r="F54" s="23"/>
      <c r="G54" s="19"/>
      <c r="H54" s="23"/>
      <c r="I54" s="18"/>
      <c r="J54" s="19"/>
    </row>
    <row r="55" spans="1:10" ht="55.05" customHeight="1" x14ac:dyDescent="0.6">
      <c r="A55" s="3" t="s">
        <v>194</v>
      </c>
      <c r="B55" s="7" t="s">
        <v>182</v>
      </c>
      <c r="C55" s="8" t="s">
        <v>195</v>
      </c>
      <c r="D55" s="7" t="s">
        <v>196</v>
      </c>
      <c r="E55" s="7" t="s">
        <v>197</v>
      </c>
      <c r="F55" s="23"/>
      <c r="G55" s="19"/>
      <c r="H55" s="23"/>
      <c r="I55" s="18"/>
      <c r="J55" s="19"/>
    </row>
    <row r="56" spans="1:10" ht="55.05" customHeight="1" x14ac:dyDescent="0.6">
      <c r="A56" s="3" t="s">
        <v>198</v>
      </c>
      <c r="B56" s="7" t="s">
        <v>182</v>
      </c>
      <c r="C56" s="8" t="s">
        <v>199</v>
      </c>
      <c r="D56" s="7" t="s">
        <v>200</v>
      </c>
      <c r="E56" s="7" t="s">
        <v>201</v>
      </c>
      <c r="F56" s="23"/>
      <c r="G56" s="19"/>
      <c r="H56" s="23"/>
      <c r="I56" s="18"/>
      <c r="J56" s="19"/>
    </row>
    <row r="57" spans="1:10" x14ac:dyDescent="0.6">
      <c r="A57" s="22" t="s">
        <v>202</v>
      </c>
      <c r="B57" s="18"/>
      <c r="C57" s="18"/>
      <c r="D57" s="19"/>
      <c r="E57" s="2" t="s">
        <v>203</v>
      </c>
      <c r="F57" s="25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>0</v>
      </c>
      <c r="G57" s="19"/>
    </row>
    <row r="58" spans="1:10" x14ac:dyDescent="0.6">
      <c r="A58" s="22" t="s">
        <v>204</v>
      </c>
      <c r="B58" s="18"/>
      <c r="C58" s="18"/>
      <c r="D58" s="19"/>
      <c r="E58" s="2" t="s">
        <v>121</v>
      </c>
      <c r="F58" s="27" t="str">
        <f>IF(F57="","",IF(F57&gt;=4.5,"S",IF(F57&gt;=3.5,"A",IF(F57&gt;=2.5,"B",IF(F57&gt;=1.5,"C","D")))))</f>
        <v>D</v>
      </c>
      <c r="G58" s="19"/>
      <c r="H58" s="22" t="s">
        <v>122</v>
      </c>
      <c r="I58" s="18"/>
      <c r="J58" s="19"/>
    </row>
    <row r="59" spans="1:10" ht="42" customHeight="1" x14ac:dyDescent="0.6">
      <c r="A59" s="22" t="s">
        <v>205</v>
      </c>
      <c r="B59" s="19"/>
      <c r="C59" s="23"/>
      <c r="D59" s="18"/>
      <c r="E59" s="18"/>
      <c r="F59" s="18"/>
      <c r="G59" s="18"/>
      <c r="H59" s="18"/>
      <c r="I59" s="18"/>
      <c r="J59" s="19"/>
    </row>
    <row r="61" spans="1:10" ht="22.05" customHeight="1" x14ac:dyDescent="0.6">
      <c r="A61" s="31" t="s">
        <v>206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6">
      <c r="A62" s="1" t="s">
        <v>207</v>
      </c>
      <c r="B62" s="20" t="s">
        <v>34</v>
      </c>
      <c r="C62" s="19"/>
      <c r="D62" s="20" t="s">
        <v>129</v>
      </c>
      <c r="E62" s="19"/>
      <c r="F62" s="13"/>
      <c r="G62" s="13"/>
      <c r="H62" s="13"/>
      <c r="I62" s="13"/>
      <c r="J62" s="13"/>
    </row>
    <row r="63" spans="1:10" x14ac:dyDescent="0.6">
      <c r="A63" s="5" t="s">
        <v>208</v>
      </c>
      <c r="B63" s="24" t="s">
        <v>209</v>
      </c>
      <c r="C63" s="19"/>
      <c r="D63" s="25">
        <f>I29</f>
        <v>0</v>
      </c>
      <c r="E63" s="19"/>
      <c r="F63" s="27" t="str">
        <f>I30</f>
        <v>D</v>
      </c>
      <c r="G63" s="19"/>
      <c r="H63" s="21" t="s">
        <v>210</v>
      </c>
      <c r="I63" s="18"/>
      <c r="J63" s="19"/>
    </row>
    <row r="64" spans="1:10" x14ac:dyDescent="0.6">
      <c r="A64" s="5" t="s">
        <v>211</v>
      </c>
      <c r="B64" s="24" t="s">
        <v>212</v>
      </c>
      <c r="C64" s="19"/>
      <c r="D64" s="25" t="str">
        <f>H46</f>
        <v/>
      </c>
      <c r="E64" s="19"/>
      <c r="F64" s="27" t="str">
        <f>H47</f>
        <v/>
      </c>
      <c r="G64" s="19"/>
      <c r="H64" s="21" t="s">
        <v>213</v>
      </c>
      <c r="I64" s="18"/>
      <c r="J64" s="19"/>
    </row>
    <row r="65" spans="1:10" x14ac:dyDescent="0.6">
      <c r="A65" s="5" t="s">
        <v>214</v>
      </c>
      <c r="B65" s="24" t="s">
        <v>215</v>
      </c>
      <c r="C65" s="19"/>
      <c r="D65" s="25">
        <f>F57</f>
        <v>0</v>
      </c>
      <c r="E65" s="19"/>
      <c r="F65" s="27" t="str">
        <f>F58</f>
        <v>D</v>
      </c>
      <c r="G65" s="19"/>
      <c r="H65" s="21" t="s">
        <v>216</v>
      </c>
      <c r="I65" s="18"/>
      <c r="J65" s="19"/>
    </row>
    <row r="67" spans="1:10" ht="42" customHeight="1" x14ac:dyDescent="0.6">
      <c r="A67" s="22" t="s">
        <v>217</v>
      </c>
      <c r="B67" s="19"/>
      <c r="C67" s="23"/>
      <c r="D67" s="18"/>
      <c r="E67" s="18"/>
      <c r="F67" s="18"/>
      <c r="G67" s="18"/>
      <c r="H67" s="18"/>
      <c r="I67" s="18"/>
      <c r="J67" s="19"/>
    </row>
    <row r="68" spans="1:10" ht="42" customHeight="1" x14ac:dyDescent="0.6">
      <c r="A68" s="22" t="s">
        <v>218</v>
      </c>
      <c r="B68" s="19"/>
      <c r="C68" s="23"/>
      <c r="D68" s="18"/>
      <c r="E68" s="18"/>
      <c r="F68" s="18"/>
      <c r="G68" s="18"/>
      <c r="H68" s="18"/>
      <c r="I68" s="18"/>
      <c r="J68" s="19"/>
    </row>
    <row r="69" spans="1:10" ht="42" customHeight="1" x14ac:dyDescent="0.6">
      <c r="A69" s="22" t="s">
        <v>219</v>
      </c>
      <c r="B69" s="19"/>
      <c r="C69" s="23"/>
      <c r="D69" s="18"/>
      <c r="E69" s="18"/>
      <c r="F69" s="18"/>
      <c r="G69" s="18"/>
      <c r="H69" s="18"/>
      <c r="I69" s="18"/>
      <c r="J69" s="19"/>
    </row>
  </sheetData>
  <mergeCells count="121"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</mergeCells>
  <phoneticPr fontId="13" type="noConversion"/>
  <conditionalFormatting sqref="F10:F70">
    <cfRule type="cellIs" dxfId="39" priority="1" operator="equal">
      <formula>"S"</formula>
    </cfRule>
    <cfRule type="cellIs" dxfId="38" priority="2" operator="equal">
      <formula>"A"</formula>
    </cfRule>
    <cfRule type="cellIs" dxfId="37" priority="3" operator="equal">
      <formula>"C"</formula>
    </cfRule>
    <cfRule type="cellIs" dxfId="36" priority="4" operator="equal">
      <formula>"D"</formula>
    </cfRule>
  </conditionalFormatting>
  <conditionalFormatting sqref="H10:I70">
    <cfRule type="cellIs" dxfId="35" priority="5" operator="equal">
      <formula>"S"</formula>
    </cfRule>
    <cfRule type="cellIs" dxfId="34" priority="6" operator="equal">
      <formula>"A"</formula>
    </cfRule>
    <cfRule type="cellIs" dxfId="33" priority="7" operator="equal">
      <formula>"C"</formula>
    </cfRule>
    <cfRule type="cellIs" dxfId="32" priority="8" operator="equal">
      <formula>"D"</formula>
    </cfRule>
  </conditionalFormatting>
  <dataValidations count="2">
    <dataValidation type="list" sqref="E19" xr:uid="{00000000-0002-0000-0400-000000000000}">
      <formula1>"상반기,하반기"</formula1>
    </dataValidation>
    <dataValidation type="list" allowBlank="1" sqref="I24:I28 F52:F56 H35:H45" xr:uid="{00000000-0002-0000-0400-000001000000}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9"/>
  <sheetViews>
    <sheetView showGridLines="0" workbookViewId="0">
      <pane ySplit="3" topLeftCell="A4" activePane="bottomLeft" state="frozen"/>
      <selection pane="bottomLeft" sqref="A1:J1"/>
    </sheetView>
  </sheetViews>
  <sheetFormatPr defaultRowHeight="16.899999999999999" x14ac:dyDescent="0.6"/>
  <cols>
    <col min="1" max="1" width="6" customWidth="1"/>
    <col min="2" max="2" width="11" customWidth="1"/>
    <col min="3" max="3" width="14" customWidth="1"/>
    <col min="4" max="4" width="30" customWidth="1"/>
    <col min="5" max="5" width="22" customWidth="1"/>
    <col min="6" max="9" width="10" customWidth="1"/>
    <col min="10" max="10" width="18" customWidth="1"/>
  </cols>
  <sheetData>
    <row r="1" spans="1:10" ht="26" customHeight="1" x14ac:dyDescent="0.6">
      <c r="A1" s="15" t="s">
        <v>223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6">
      <c r="A2" s="16" t="s">
        <v>82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2.05" customHeight="1" x14ac:dyDescent="0.6">
      <c r="A3" s="26" t="s">
        <v>83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6">
      <c r="A4" s="12" t="s">
        <v>84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6">
      <c r="A5" s="12" t="s">
        <v>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6">
      <c r="A6" s="12" t="s">
        <v>86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6">
      <c r="A7" s="12" t="s">
        <v>87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6">
      <c r="A8" s="12" t="s">
        <v>88</v>
      </c>
      <c r="B8" s="13"/>
      <c r="C8" s="13"/>
      <c r="D8" s="13"/>
      <c r="E8" s="13"/>
      <c r="F8" s="13"/>
      <c r="G8" s="13"/>
      <c r="H8" s="13"/>
      <c r="I8" s="13"/>
      <c r="J8" s="13"/>
    </row>
    <row r="10" spans="1:10" ht="22.05" customHeight="1" x14ac:dyDescent="0.6">
      <c r="A10" s="28" t="s">
        <v>89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6">
      <c r="A11" s="22" t="s">
        <v>37</v>
      </c>
      <c r="B11" s="18"/>
      <c r="C11" s="19"/>
      <c r="D11" s="22" t="s">
        <v>38</v>
      </c>
      <c r="E11" s="19"/>
      <c r="F11" s="17"/>
      <c r="G11" s="22" t="s">
        <v>51</v>
      </c>
      <c r="H11" s="19"/>
      <c r="I11" s="17"/>
      <c r="J11" s="19"/>
    </row>
    <row r="12" spans="1:10" x14ac:dyDescent="0.6">
      <c r="A12" s="22" t="s">
        <v>52</v>
      </c>
      <c r="B12" s="18"/>
      <c r="C12" s="19"/>
      <c r="D12" s="22" t="s">
        <v>53</v>
      </c>
      <c r="E12" s="19"/>
      <c r="F12" s="17"/>
      <c r="G12" s="22" t="s">
        <v>54</v>
      </c>
      <c r="H12" s="19"/>
      <c r="I12" s="17"/>
      <c r="J12" s="19"/>
    </row>
    <row r="13" spans="1:10" x14ac:dyDescent="0.6">
      <c r="A13" s="22" t="s">
        <v>90</v>
      </c>
      <c r="B13" s="18"/>
      <c r="C13" s="19"/>
      <c r="D13" s="22" t="s">
        <v>91</v>
      </c>
      <c r="E13" s="19"/>
      <c r="F13" s="17"/>
      <c r="G13" s="22" t="s">
        <v>92</v>
      </c>
      <c r="H13" s="19"/>
      <c r="I13" s="17"/>
      <c r="J13" s="19"/>
    </row>
    <row r="14" spans="1:10" x14ac:dyDescent="0.6">
      <c r="A14" s="22" t="s">
        <v>93</v>
      </c>
      <c r="B14" s="18"/>
      <c r="C14" s="19"/>
      <c r="D14" s="30" t="s">
        <v>224</v>
      </c>
      <c r="E14" s="18"/>
      <c r="F14" s="18"/>
      <c r="G14" s="18"/>
      <c r="H14" s="18"/>
      <c r="I14" s="18"/>
      <c r="J14" s="19"/>
    </row>
    <row r="16" spans="1:10" ht="22.05" customHeight="1" x14ac:dyDescent="0.6">
      <c r="A16" s="28" t="s">
        <v>95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6">
      <c r="A17" s="22" t="s">
        <v>35</v>
      </c>
      <c r="B17" s="18"/>
      <c r="C17" s="18"/>
      <c r="D17" s="19"/>
      <c r="E17" s="22" t="s">
        <v>37</v>
      </c>
      <c r="F17" s="18"/>
      <c r="G17" s="19"/>
      <c r="H17" s="17"/>
      <c r="I17" s="18"/>
      <c r="J17" s="19"/>
    </row>
    <row r="18" spans="1:10" x14ac:dyDescent="0.6">
      <c r="A18" s="22" t="s">
        <v>36</v>
      </c>
      <c r="B18" s="18"/>
      <c r="C18" s="18"/>
      <c r="D18" s="19"/>
      <c r="E18" s="22" t="s">
        <v>37</v>
      </c>
      <c r="F18" s="18"/>
      <c r="G18" s="19"/>
      <c r="H18" s="17"/>
      <c r="I18" s="18"/>
      <c r="J18" s="19"/>
    </row>
    <row r="19" spans="1:10" x14ac:dyDescent="0.6">
      <c r="A19" s="22" t="s">
        <v>43</v>
      </c>
      <c r="B19" s="18"/>
      <c r="C19" s="18"/>
      <c r="D19" s="19"/>
      <c r="E19" s="17"/>
      <c r="F19" s="18"/>
      <c r="G19" s="19"/>
      <c r="H19" s="17"/>
      <c r="I19" s="18"/>
      <c r="J19" s="19"/>
    </row>
    <row r="21" spans="1:10" ht="22.05" customHeight="1" x14ac:dyDescent="0.6">
      <c r="A21" s="33" t="s">
        <v>96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28.05" customHeight="1" x14ac:dyDescent="0.6">
      <c r="A22" s="22" t="s">
        <v>97</v>
      </c>
      <c r="B22" s="19"/>
      <c r="C22" s="21" t="s">
        <v>225</v>
      </c>
      <c r="D22" s="18"/>
      <c r="E22" s="18"/>
      <c r="F22" s="18"/>
      <c r="G22" s="18"/>
      <c r="H22" s="18"/>
      <c r="I22" s="18"/>
      <c r="J22" s="19"/>
    </row>
    <row r="23" spans="1:10" x14ac:dyDescent="0.6">
      <c r="A23" s="1" t="s">
        <v>50</v>
      </c>
      <c r="B23" s="1" t="s">
        <v>99</v>
      </c>
      <c r="C23" s="1" t="s">
        <v>100</v>
      </c>
      <c r="D23" s="20" t="s">
        <v>101</v>
      </c>
      <c r="E23" s="18"/>
      <c r="F23" s="18"/>
      <c r="G23" s="18"/>
      <c r="H23" s="19"/>
    </row>
    <row r="24" spans="1:10" ht="42" customHeight="1" x14ac:dyDescent="0.6">
      <c r="A24" s="3" t="s">
        <v>102</v>
      </c>
      <c r="B24" s="8" t="s">
        <v>103</v>
      </c>
      <c r="C24" s="7" t="s">
        <v>104</v>
      </c>
      <c r="D24" s="21" t="s">
        <v>105</v>
      </c>
      <c r="E24" s="18"/>
      <c r="F24" s="18"/>
      <c r="G24" s="18"/>
      <c r="H24" s="19"/>
      <c r="I24" s="9"/>
      <c r="J24" s="9"/>
    </row>
    <row r="25" spans="1:10" ht="42" customHeight="1" x14ac:dyDescent="0.6">
      <c r="A25" s="3" t="s">
        <v>106</v>
      </c>
      <c r="B25" s="8" t="s">
        <v>107</v>
      </c>
      <c r="C25" s="7" t="s">
        <v>108</v>
      </c>
      <c r="D25" s="21" t="s">
        <v>105</v>
      </c>
      <c r="E25" s="18"/>
      <c r="F25" s="18"/>
      <c r="G25" s="18"/>
      <c r="H25" s="19"/>
      <c r="I25" s="9"/>
      <c r="J25" s="9"/>
    </row>
    <row r="26" spans="1:10" ht="42" customHeight="1" x14ac:dyDescent="0.6">
      <c r="A26" s="3" t="s">
        <v>109</v>
      </c>
      <c r="B26" s="8" t="s">
        <v>110</v>
      </c>
      <c r="C26" s="7" t="s">
        <v>111</v>
      </c>
      <c r="D26" s="21" t="s">
        <v>105</v>
      </c>
      <c r="E26" s="18"/>
      <c r="F26" s="18"/>
      <c r="G26" s="18"/>
      <c r="H26" s="19"/>
      <c r="I26" s="9"/>
      <c r="J26" s="9"/>
    </row>
    <row r="27" spans="1:10" ht="42" customHeight="1" x14ac:dyDescent="0.6">
      <c r="A27" s="3" t="s">
        <v>112</v>
      </c>
      <c r="B27" s="8" t="s">
        <v>113</v>
      </c>
      <c r="C27" s="7" t="s">
        <v>114</v>
      </c>
      <c r="D27" s="21" t="s">
        <v>105</v>
      </c>
      <c r="E27" s="18"/>
      <c r="F27" s="18"/>
      <c r="G27" s="18"/>
      <c r="H27" s="19"/>
      <c r="I27" s="9"/>
      <c r="J27" s="9"/>
    </row>
    <row r="28" spans="1:10" ht="42" customHeight="1" x14ac:dyDescent="0.6">
      <c r="A28" s="3" t="s">
        <v>115</v>
      </c>
      <c r="B28" s="8" t="s">
        <v>116</v>
      </c>
      <c r="C28" s="7" t="s">
        <v>117</v>
      </c>
      <c r="D28" s="21" t="s">
        <v>105</v>
      </c>
      <c r="E28" s="18"/>
      <c r="F28" s="18"/>
      <c r="G28" s="18"/>
      <c r="H28" s="19"/>
      <c r="I28" s="9"/>
      <c r="J28" s="9"/>
    </row>
    <row r="29" spans="1:10" x14ac:dyDescent="0.6">
      <c r="A29" s="22" t="s">
        <v>118</v>
      </c>
      <c r="B29" s="18"/>
      <c r="C29" s="18"/>
      <c r="D29" s="18"/>
      <c r="E29" s="18"/>
      <c r="F29" s="18"/>
      <c r="G29" s="19"/>
      <c r="H29" s="2" t="s">
        <v>119</v>
      </c>
      <c r="I29" s="10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>0</v>
      </c>
    </row>
    <row r="30" spans="1:10" x14ac:dyDescent="0.6">
      <c r="A30" s="22" t="s">
        <v>120</v>
      </c>
      <c r="B30" s="18"/>
      <c r="C30" s="18"/>
      <c r="D30" s="18"/>
      <c r="E30" s="18"/>
      <c r="F30" s="18"/>
      <c r="G30" s="19"/>
      <c r="H30" s="2" t="s">
        <v>121</v>
      </c>
      <c r="I30" s="11" t="str">
        <f>IF(I29="","",IF(I29&gt;=4.5,"S",IF(I29&gt;=3.5,"A",IF(I29&gt;=2.5,"B",IF(I29&gt;=1.5,"C","D")))))</f>
        <v>D</v>
      </c>
      <c r="J30" s="2" t="s">
        <v>122</v>
      </c>
    </row>
    <row r="31" spans="1:10" ht="42" customHeight="1" x14ac:dyDescent="0.6">
      <c r="A31" s="22" t="s">
        <v>123</v>
      </c>
      <c r="B31" s="19"/>
      <c r="C31" s="23"/>
      <c r="D31" s="18"/>
      <c r="E31" s="18"/>
      <c r="F31" s="18"/>
      <c r="G31" s="18"/>
      <c r="H31" s="18"/>
      <c r="I31" s="18"/>
      <c r="J31" s="19"/>
    </row>
    <row r="33" spans="1:10" ht="22.05" customHeight="1" x14ac:dyDescent="0.6">
      <c r="A33" s="32" t="s">
        <v>124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6">
      <c r="A34" s="1" t="s">
        <v>50</v>
      </c>
      <c r="B34" s="1" t="s">
        <v>125</v>
      </c>
      <c r="C34" s="1" t="s">
        <v>126</v>
      </c>
      <c r="D34" s="1" t="s">
        <v>127</v>
      </c>
      <c r="E34" s="20" t="s">
        <v>128</v>
      </c>
      <c r="F34" s="19"/>
      <c r="G34" s="1" t="s">
        <v>129</v>
      </c>
      <c r="H34" s="1" t="s">
        <v>130</v>
      </c>
    </row>
    <row r="35" spans="1:10" ht="38" customHeight="1" x14ac:dyDescent="0.6">
      <c r="A35" s="3" t="s">
        <v>131</v>
      </c>
      <c r="B35" s="7" t="s">
        <v>132</v>
      </c>
      <c r="C35" s="8" t="s">
        <v>133</v>
      </c>
      <c r="D35" s="7" t="s">
        <v>134</v>
      </c>
      <c r="E35" s="21" t="s">
        <v>135</v>
      </c>
      <c r="F35" s="19"/>
      <c r="G35" s="4" t="s">
        <v>136</v>
      </c>
      <c r="H35" s="9"/>
      <c r="I35" s="23"/>
      <c r="J35" s="19"/>
    </row>
    <row r="36" spans="1:10" ht="38" customHeight="1" x14ac:dyDescent="0.6">
      <c r="A36" s="3" t="s">
        <v>137</v>
      </c>
      <c r="B36" s="7" t="s">
        <v>132</v>
      </c>
      <c r="C36" s="8" t="s">
        <v>138</v>
      </c>
      <c r="D36" s="7" t="s">
        <v>139</v>
      </c>
      <c r="E36" s="21" t="s">
        <v>135</v>
      </c>
      <c r="F36" s="19"/>
      <c r="G36" s="4" t="s">
        <v>140</v>
      </c>
      <c r="H36" s="9"/>
      <c r="I36" s="23"/>
      <c r="J36" s="19"/>
    </row>
    <row r="37" spans="1:10" ht="38" customHeight="1" x14ac:dyDescent="0.6">
      <c r="A37" s="3" t="s">
        <v>141</v>
      </c>
      <c r="B37" s="7" t="s">
        <v>132</v>
      </c>
      <c r="C37" s="8" t="s">
        <v>142</v>
      </c>
      <c r="D37" s="7" t="s">
        <v>143</v>
      </c>
      <c r="E37" s="21" t="s">
        <v>135</v>
      </c>
      <c r="F37" s="19"/>
      <c r="G37" s="4" t="s">
        <v>140</v>
      </c>
      <c r="H37" s="9"/>
      <c r="I37" s="23"/>
      <c r="J37" s="19"/>
    </row>
    <row r="38" spans="1:10" ht="38" customHeight="1" x14ac:dyDescent="0.6">
      <c r="A38" s="3" t="s">
        <v>144</v>
      </c>
      <c r="B38" s="7" t="s">
        <v>145</v>
      </c>
      <c r="C38" s="8" t="s">
        <v>146</v>
      </c>
      <c r="D38" s="7" t="s">
        <v>147</v>
      </c>
      <c r="E38" s="21" t="s">
        <v>135</v>
      </c>
      <c r="F38" s="19"/>
      <c r="G38" s="4" t="s">
        <v>140</v>
      </c>
      <c r="H38" s="9"/>
      <c r="I38" s="23"/>
      <c r="J38" s="19"/>
    </row>
    <row r="39" spans="1:10" ht="38" customHeight="1" x14ac:dyDescent="0.6">
      <c r="A39" s="3" t="s">
        <v>148</v>
      </c>
      <c r="B39" s="7" t="s">
        <v>145</v>
      </c>
      <c r="C39" s="8" t="s">
        <v>149</v>
      </c>
      <c r="D39" s="7" t="s">
        <v>150</v>
      </c>
      <c r="E39" s="21" t="s">
        <v>135</v>
      </c>
      <c r="F39" s="19"/>
      <c r="G39" s="4" t="s">
        <v>140</v>
      </c>
      <c r="H39" s="9"/>
      <c r="I39" s="23"/>
      <c r="J39" s="19"/>
    </row>
    <row r="40" spans="1:10" ht="38" customHeight="1" x14ac:dyDescent="0.6">
      <c r="A40" s="3" t="s">
        <v>151</v>
      </c>
      <c r="B40" s="7" t="s">
        <v>145</v>
      </c>
      <c r="C40" s="8" t="s">
        <v>152</v>
      </c>
      <c r="D40" s="7" t="s">
        <v>153</v>
      </c>
      <c r="E40" s="21" t="s">
        <v>135</v>
      </c>
      <c r="F40" s="19"/>
      <c r="G40" s="4" t="s">
        <v>140</v>
      </c>
      <c r="H40" s="9"/>
      <c r="I40" s="23"/>
      <c r="J40" s="19"/>
    </row>
    <row r="41" spans="1:10" ht="38" customHeight="1" x14ac:dyDescent="0.6">
      <c r="A41" s="3" t="s">
        <v>154</v>
      </c>
      <c r="B41" s="7" t="s">
        <v>155</v>
      </c>
      <c r="C41" s="8" t="s">
        <v>156</v>
      </c>
      <c r="D41" s="7" t="s">
        <v>157</v>
      </c>
      <c r="E41" s="21" t="s">
        <v>135</v>
      </c>
      <c r="F41" s="19"/>
      <c r="G41" s="4" t="s">
        <v>140</v>
      </c>
      <c r="H41" s="9"/>
      <c r="I41" s="23"/>
      <c r="J41" s="19"/>
    </row>
    <row r="42" spans="1:10" ht="38" customHeight="1" x14ac:dyDescent="0.6">
      <c r="A42" s="3" t="s">
        <v>158</v>
      </c>
      <c r="B42" s="7" t="s">
        <v>155</v>
      </c>
      <c r="C42" s="8" t="s">
        <v>159</v>
      </c>
      <c r="D42" s="7" t="s">
        <v>160</v>
      </c>
      <c r="E42" s="21" t="s">
        <v>135</v>
      </c>
      <c r="F42" s="19"/>
      <c r="G42" s="4" t="s">
        <v>140</v>
      </c>
      <c r="H42" s="9"/>
      <c r="I42" s="23"/>
      <c r="J42" s="19"/>
    </row>
    <row r="43" spans="1:10" ht="38" customHeight="1" x14ac:dyDescent="0.6">
      <c r="A43" s="3" t="s">
        <v>161</v>
      </c>
      <c r="B43" s="7" t="s">
        <v>162</v>
      </c>
      <c r="C43" s="8" t="s">
        <v>163</v>
      </c>
      <c r="D43" s="7" t="s">
        <v>164</v>
      </c>
      <c r="E43" s="21" t="s">
        <v>135</v>
      </c>
      <c r="F43" s="19"/>
      <c r="G43" s="4" t="s">
        <v>165</v>
      </c>
      <c r="H43" s="9"/>
      <c r="I43" s="23"/>
      <c r="J43" s="19"/>
    </row>
    <row r="44" spans="1:10" ht="38" customHeight="1" x14ac:dyDescent="0.6">
      <c r="A44" s="3" t="s">
        <v>166</v>
      </c>
      <c r="B44" s="7" t="s">
        <v>162</v>
      </c>
      <c r="C44" s="8" t="s">
        <v>167</v>
      </c>
      <c r="D44" s="7" t="s">
        <v>168</v>
      </c>
      <c r="E44" s="21" t="s">
        <v>135</v>
      </c>
      <c r="F44" s="19"/>
      <c r="G44" s="4" t="s">
        <v>165</v>
      </c>
      <c r="H44" s="9"/>
      <c r="I44" s="23"/>
      <c r="J44" s="19"/>
    </row>
    <row r="45" spans="1:10" ht="38" customHeight="1" x14ac:dyDescent="0.6">
      <c r="A45" s="3" t="s">
        <v>169</v>
      </c>
      <c r="B45" s="7" t="s">
        <v>162</v>
      </c>
      <c r="C45" s="8" t="s">
        <v>170</v>
      </c>
      <c r="D45" s="7" t="s">
        <v>171</v>
      </c>
      <c r="E45" s="21" t="s">
        <v>135</v>
      </c>
      <c r="F45" s="19"/>
      <c r="G45" s="4" t="s">
        <v>165</v>
      </c>
      <c r="H45" s="9"/>
      <c r="I45" s="23"/>
      <c r="J45" s="19"/>
    </row>
    <row r="46" spans="1:10" x14ac:dyDescent="0.6">
      <c r="A46" s="22" t="s">
        <v>172</v>
      </c>
      <c r="B46" s="18"/>
      <c r="C46" s="18"/>
      <c r="D46" s="18"/>
      <c r="E46" s="18"/>
      <c r="F46" s="19"/>
      <c r="G46" s="2" t="s">
        <v>173</v>
      </c>
      <c r="H46" s="10" t="str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 spans="1:10" x14ac:dyDescent="0.6">
      <c r="A47" s="22" t="s">
        <v>174</v>
      </c>
      <c r="B47" s="18"/>
      <c r="C47" s="18"/>
      <c r="D47" s="18"/>
      <c r="E47" s="18"/>
      <c r="F47" s="19"/>
      <c r="G47" s="2" t="s">
        <v>121</v>
      </c>
      <c r="H47" s="11" t="str">
        <f>IF(H46="","",IF(H46&gt;=4.5,"S",IF(H46&gt;=3.5,"A",IF(H46&gt;=2.5,"B",IF(H46&gt;=1.5,"C","D")))))</f>
        <v/>
      </c>
      <c r="I47" s="22" t="s">
        <v>122</v>
      </c>
      <c r="J47" s="19"/>
    </row>
    <row r="48" spans="1:10" ht="42" customHeight="1" x14ac:dyDescent="0.6">
      <c r="A48" s="22" t="s">
        <v>175</v>
      </c>
      <c r="B48" s="19"/>
      <c r="C48" s="23"/>
      <c r="D48" s="18"/>
      <c r="E48" s="18"/>
      <c r="F48" s="18"/>
      <c r="G48" s="18"/>
      <c r="H48" s="18"/>
      <c r="I48" s="18"/>
      <c r="J48" s="19"/>
    </row>
    <row r="50" spans="1:10" ht="22.05" customHeight="1" x14ac:dyDescent="0.6">
      <c r="A50" s="29" t="s">
        <v>176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6">
      <c r="A51" s="1" t="s">
        <v>50</v>
      </c>
      <c r="B51" s="1" t="s">
        <v>177</v>
      </c>
      <c r="C51" s="1" t="s">
        <v>178</v>
      </c>
      <c r="D51" s="1" t="s">
        <v>179</v>
      </c>
      <c r="E51" s="1" t="s">
        <v>180</v>
      </c>
      <c r="F51" s="20" t="s">
        <v>129</v>
      </c>
      <c r="G51" s="19"/>
      <c r="H51" s="13"/>
      <c r="I51" s="13"/>
      <c r="J51" s="13"/>
    </row>
    <row r="52" spans="1:10" ht="55.05" customHeight="1" x14ac:dyDescent="0.6">
      <c r="A52" s="3" t="s">
        <v>181</v>
      </c>
      <c r="B52" s="7" t="s">
        <v>182</v>
      </c>
      <c r="C52" s="8" t="s">
        <v>183</v>
      </c>
      <c r="D52" s="7" t="s">
        <v>184</v>
      </c>
      <c r="E52" s="7" t="s">
        <v>185</v>
      </c>
      <c r="F52" s="23"/>
      <c r="G52" s="19"/>
      <c r="H52" s="23"/>
      <c r="I52" s="18"/>
      <c r="J52" s="19"/>
    </row>
    <row r="53" spans="1:10" ht="55.05" customHeight="1" x14ac:dyDescent="0.6">
      <c r="A53" s="3" t="s">
        <v>186</v>
      </c>
      <c r="B53" s="7" t="s">
        <v>182</v>
      </c>
      <c r="C53" s="8" t="s">
        <v>187</v>
      </c>
      <c r="D53" s="7" t="s">
        <v>188</v>
      </c>
      <c r="E53" s="7" t="s">
        <v>189</v>
      </c>
      <c r="F53" s="23"/>
      <c r="G53" s="19"/>
      <c r="H53" s="23"/>
      <c r="I53" s="18"/>
      <c r="J53" s="19"/>
    </row>
    <row r="54" spans="1:10" ht="55.05" customHeight="1" x14ac:dyDescent="0.6">
      <c r="A54" s="3" t="s">
        <v>190</v>
      </c>
      <c r="B54" s="7" t="s">
        <v>182</v>
      </c>
      <c r="C54" s="8" t="s">
        <v>191</v>
      </c>
      <c r="D54" s="7" t="s">
        <v>192</v>
      </c>
      <c r="E54" s="7" t="s">
        <v>193</v>
      </c>
      <c r="F54" s="23"/>
      <c r="G54" s="19"/>
      <c r="H54" s="23"/>
      <c r="I54" s="18"/>
      <c r="J54" s="19"/>
    </row>
    <row r="55" spans="1:10" ht="55.05" customHeight="1" x14ac:dyDescent="0.6">
      <c r="A55" s="3" t="s">
        <v>194</v>
      </c>
      <c r="B55" s="7" t="s">
        <v>182</v>
      </c>
      <c r="C55" s="8" t="s">
        <v>195</v>
      </c>
      <c r="D55" s="7" t="s">
        <v>196</v>
      </c>
      <c r="E55" s="7" t="s">
        <v>197</v>
      </c>
      <c r="F55" s="23"/>
      <c r="G55" s="19"/>
      <c r="H55" s="23"/>
      <c r="I55" s="18"/>
      <c r="J55" s="19"/>
    </row>
    <row r="56" spans="1:10" ht="55.05" customHeight="1" x14ac:dyDescent="0.6">
      <c r="A56" s="3" t="s">
        <v>198</v>
      </c>
      <c r="B56" s="7" t="s">
        <v>182</v>
      </c>
      <c r="C56" s="8" t="s">
        <v>199</v>
      </c>
      <c r="D56" s="7" t="s">
        <v>200</v>
      </c>
      <c r="E56" s="7" t="s">
        <v>201</v>
      </c>
      <c r="F56" s="23"/>
      <c r="G56" s="19"/>
      <c r="H56" s="23"/>
      <c r="I56" s="18"/>
      <c r="J56" s="19"/>
    </row>
    <row r="57" spans="1:10" x14ac:dyDescent="0.6">
      <c r="A57" s="22" t="s">
        <v>202</v>
      </c>
      <c r="B57" s="18"/>
      <c r="C57" s="18"/>
      <c r="D57" s="19"/>
      <c r="E57" s="2" t="s">
        <v>203</v>
      </c>
      <c r="F57" s="25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>0</v>
      </c>
      <c r="G57" s="19"/>
    </row>
    <row r="58" spans="1:10" x14ac:dyDescent="0.6">
      <c r="A58" s="22" t="s">
        <v>204</v>
      </c>
      <c r="B58" s="18"/>
      <c r="C58" s="18"/>
      <c r="D58" s="19"/>
      <c r="E58" s="2" t="s">
        <v>121</v>
      </c>
      <c r="F58" s="27" t="str">
        <f>IF(F57="","",IF(F57&gt;=4.5,"S",IF(F57&gt;=3.5,"A",IF(F57&gt;=2.5,"B",IF(F57&gt;=1.5,"C","D")))))</f>
        <v>D</v>
      </c>
      <c r="G58" s="19"/>
      <c r="H58" s="22" t="s">
        <v>122</v>
      </c>
      <c r="I58" s="18"/>
      <c r="J58" s="19"/>
    </row>
    <row r="59" spans="1:10" ht="42" customHeight="1" x14ac:dyDescent="0.6">
      <c r="A59" s="22" t="s">
        <v>205</v>
      </c>
      <c r="B59" s="19"/>
      <c r="C59" s="23"/>
      <c r="D59" s="18"/>
      <c r="E59" s="18"/>
      <c r="F59" s="18"/>
      <c r="G59" s="18"/>
      <c r="H59" s="18"/>
      <c r="I59" s="18"/>
      <c r="J59" s="19"/>
    </row>
    <row r="61" spans="1:10" ht="22.05" customHeight="1" x14ac:dyDescent="0.6">
      <c r="A61" s="31" t="s">
        <v>206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6">
      <c r="A62" s="1" t="s">
        <v>207</v>
      </c>
      <c r="B62" s="20" t="s">
        <v>34</v>
      </c>
      <c r="C62" s="19"/>
      <c r="D62" s="20" t="s">
        <v>129</v>
      </c>
      <c r="E62" s="19"/>
      <c r="F62" s="13"/>
      <c r="G62" s="13"/>
      <c r="H62" s="13"/>
      <c r="I62" s="13"/>
      <c r="J62" s="13"/>
    </row>
    <row r="63" spans="1:10" x14ac:dyDescent="0.6">
      <c r="A63" s="5" t="s">
        <v>208</v>
      </c>
      <c r="B63" s="24" t="s">
        <v>209</v>
      </c>
      <c r="C63" s="19"/>
      <c r="D63" s="25">
        <f>I29</f>
        <v>0</v>
      </c>
      <c r="E63" s="19"/>
      <c r="F63" s="27" t="str">
        <f>I30</f>
        <v>D</v>
      </c>
      <c r="G63" s="19"/>
      <c r="H63" s="21" t="s">
        <v>210</v>
      </c>
      <c r="I63" s="18"/>
      <c r="J63" s="19"/>
    </row>
    <row r="64" spans="1:10" x14ac:dyDescent="0.6">
      <c r="A64" s="5" t="s">
        <v>211</v>
      </c>
      <c r="B64" s="24" t="s">
        <v>212</v>
      </c>
      <c r="C64" s="19"/>
      <c r="D64" s="25" t="str">
        <f>H46</f>
        <v/>
      </c>
      <c r="E64" s="19"/>
      <c r="F64" s="27" t="str">
        <f>H47</f>
        <v/>
      </c>
      <c r="G64" s="19"/>
      <c r="H64" s="21" t="s">
        <v>213</v>
      </c>
      <c r="I64" s="18"/>
      <c r="J64" s="19"/>
    </row>
    <row r="65" spans="1:10" x14ac:dyDescent="0.6">
      <c r="A65" s="5" t="s">
        <v>214</v>
      </c>
      <c r="B65" s="24" t="s">
        <v>215</v>
      </c>
      <c r="C65" s="19"/>
      <c r="D65" s="25">
        <f>F57</f>
        <v>0</v>
      </c>
      <c r="E65" s="19"/>
      <c r="F65" s="27" t="str">
        <f>F58</f>
        <v>D</v>
      </c>
      <c r="G65" s="19"/>
      <c r="H65" s="21" t="s">
        <v>216</v>
      </c>
      <c r="I65" s="18"/>
      <c r="J65" s="19"/>
    </row>
    <row r="67" spans="1:10" ht="42" customHeight="1" x14ac:dyDescent="0.6">
      <c r="A67" s="22" t="s">
        <v>217</v>
      </c>
      <c r="B67" s="19"/>
      <c r="C67" s="23"/>
      <c r="D67" s="18"/>
      <c r="E67" s="18"/>
      <c r="F67" s="18"/>
      <c r="G67" s="18"/>
      <c r="H67" s="18"/>
      <c r="I67" s="18"/>
      <c r="J67" s="19"/>
    </row>
    <row r="68" spans="1:10" ht="42" customHeight="1" x14ac:dyDescent="0.6">
      <c r="A68" s="22" t="s">
        <v>218</v>
      </c>
      <c r="B68" s="19"/>
      <c r="C68" s="23"/>
      <c r="D68" s="18"/>
      <c r="E68" s="18"/>
      <c r="F68" s="18"/>
      <c r="G68" s="18"/>
      <c r="H68" s="18"/>
      <c r="I68" s="18"/>
      <c r="J68" s="19"/>
    </row>
    <row r="69" spans="1:10" ht="42" customHeight="1" x14ac:dyDescent="0.6">
      <c r="A69" s="22" t="s">
        <v>219</v>
      </c>
      <c r="B69" s="19"/>
      <c r="C69" s="23"/>
      <c r="D69" s="18"/>
      <c r="E69" s="18"/>
      <c r="F69" s="18"/>
      <c r="G69" s="18"/>
      <c r="H69" s="18"/>
      <c r="I69" s="18"/>
      <c r="J69" s="19"/>
    </row>
  </sheetData>
  <mergeCells count="121"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</mergeCells>
  <phoneticPr fontId="13" type="noConversion"/>
  <conditionalFormatting sqref="F10:F70">
    <cfRule type="cellIs" dxfId="31" priority="1" operator="equal">
      <formula>"S"</formula>
    </cfRule>
    <cfRule type="cellIs" dxfId="30" priority="2" operator="equal">
      <formula>"A"</formula>
    </cfRule>
    <cfRule type="cellIs" dxfId="29" priority="3" operator="equal">
      <formula>"C"</formula>
    </cfRule>
    <cfRule type="cellIs" dxfId="28" priority="4" operator="equal">
      <formula>"D"</formula>
    </cfRule>
  </conditionalFormatting>
  <conditionalFormatting sqref="H10:I70">
    <cfRule type="cellIs" dxfId="27" priority="5" operator="equal">
      <formula>"S"</formula>
    </cfRule>
    <cfRule type="cellIs" dxfId="26" priority="6" operator="equal">
      <formula>"A"</formula>
    </cfRule>
    <cfRule type="cellIs" dxfId="25" priority="7" operator="equal">
      <formula>"C"</formula>
    </cfRule>
    <cfRule type="cellIs" dxfId="24" priority="8" operator="equal">
      <formula>"D"</formula>
    </cfRule>
  </conditionalFormatting>
  <dataValidations count="2">
    <dataValidation type="list" sqref="E19" xr:uid="{00000000-0002-0000-0500-000000000000}">
      <formula1>"상반기,하반기"</formula1>
    </dataValidation>
    <dataValidation type="list" allowBlank="1" sqref="I24:I28 F52:F56 H35:H45" xr:uid="{00000000-0002-0000-0500-000001000000}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69"/>
  <sheetViews>
    <sheetView showGridLines="0" workbookViewId="0">
      <pane ySplit="3" topLeftCell="A4" activePane="bottomLeft" state="frozen"/>
      <selection pane="bottomLeft" sqref="A1:J1"/>
    </sheetView>
  </sheetViews>
  <sheetFormatPr defaultRowHeight="16.899999999999999" x14ac:dyDescent="0.6"/>
  <cols>
    <col min="1" max="1" width="6" customWidth="1"/>
    <col min="2" max="2" width="11" customWidth="1"/>
    <col min="3" max="3" width="14" customWidth="1"/>
    <col min="4" max="4" width="30" customWidth="1"/>
    <col min="5" max="5" width="22" customWidth="1"/>
    <col min="6" max="9" width="10" customWidth="1"/>
    <col min="10" max="10" width="18" customWidth="1"/>
  </cols>
  <sheetData>
    <row r="1" spans="1:10" ht="26" customHeight="1" x14ac:dyDescent="0.6">
      <c r="A1" s="15" t="s">
        <v>226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6">
      <c r="A2" s="16" t="s">
        <v>82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2.05" customHeight="1" x14ac:dyDescent="0.6">
      <c r="A3" s="26" t="s">
        <v>83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6">
      <c r="A4" s="12" t="s">
        <v>84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6">
      <c r="A5" s="12" t="s">
        <v>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6">
      <c r="A6" s="12" t="s">
        <v>86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6">
      <c r="A7" s="12" t="s">
        <v>87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6">
      <c r="A8" s="12" t="s">
        <v>88</v>
      </c>
      <c r="B8" s="13"/>
      <c r="C8" s="13"/>
      <c r="D8" s="13"/>
      <c r="E8" s="13"/>
      <c r="F8" s="13"/>
      <c r="G8" s="13"/>
      <c r="H8" s="13"/>
      <c r="I8" s="13"/>
      <c r="J8" s="13"/>
    </row>
    <row r="10" spans="1:10" ht="22.05" customHeight="1" x14ac:dyDescent="0.6">
      <c r="A10" s="28" t="s">
        <v>89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6">
      <c r="A11" s="22" t="s">
        <v>37</v>
      </c>
      <c r="B11" s="18"/>
      <c r="C11" s="19"/>
      <c r="D11" s="22" t="s">
        <v>38</v>
      </c>
      <c r="E11" s="19"/>
      <c r="F11" s="17"/>
      <c r="G11" s="22" t="s">
        <v>51</v>
      </c>
      <c r="H11" s="19"/>
      <c r="I11" s="17"/>
      <c r="J11" s="19"/>
    </row>
    <row r="12" spans="1:10" x14ac:dyDescent="0.6">
      <c r="A12" s="22" t="s">
        <v>52</v>
      </c>
      <c r="B12" s="18"/>
      <c r="C12" s="19"/>
      <c r="D12" s="22" t="s">
        <v>53</v>
      </c>
      <c r="E12" s="19"/>
      <c r="F12" s="17"/>
      <c r="G12" s="22" t="s">
        <v>54</v>
      </c>
      <c r="H12" s="19"/>
      <c r="I12" s="17"/>
      <c r="J12" s="19"/>
    </row>
    <row r="13" spans="1:10" x14ac:dyDescent="0.6">
      <c r="A13" s="22" t="s">
        <v>90</v>
      </c>
      <c r="B13" s="18"/>
      <c r="C13" s="19"/>
      <c r="D13" s="22" t="s">
        <v>91</v>
      </c>
      <c r="E13" s="19"/>
      <c r="F13" s="17"/>
      <c r="G13" s="22" t="s">
        <v>92</v>
      </c>
      <c r="H13" s="19"/>
      <c r="I13" s="17"/>
      <c r="J13" s="19"/>
    </row>
    <row r="14" spans="1:10" x14ac:dyDescent="0.6">
      <c r="A14" s="22" t="s">
        <v>93</v>
      </c>
      <c r="B14" s="18"/>
      <c r="C14" s="19"/>
      <c r="D14" s="30" t="s">
        <v>227</v>
      </c>
      <c r="E14" s="18"/>
      <c r="F14" s="18"/>
      <c r="G14" s="18"/>
      <c r="H14" s="18"/>
      <c r="I14" s="18"/>
      <c r="J14" s="19"/>
    </row>
    <row r="16" spans="1:10" ht="22.05" customHeight="1" x14ac:dyDescent="0.6">
      <c r="A16" s="28" t="s">
        <v>95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6">
      <c r="A17" s="22" t="s">
        <v>35</v>
      </c>
      <c r="B17" s="18"/>
      <c r="C17" s="18"/>
      <c r="D17" s="19"/>
      <c r="E17" s="22" t="s">
        <v>37</v>
      </c>
      <c r="F17" s="18"/>
      <c r="G17" s="19"/>
      <c r="H17" s="17"/>
      <c r="I17" s="18"/>
      <c r="J17" s="19"/>
    </row>
    <row r="18" spans="1:10" x14ac:dyDescent="0.6">
      <c r="A18" s="22" t="s">
        <v>36</v>
      </c>
      <c r="B18" s="18"/>
      <c r="C18" s="18"/>
      <c r="D18" s="19"/>
      <c r="E18" s="22" t="s">
        <v>37</v>
      </c>
      <c r="F18" s="18"/>
      <c r="G18" s="19"/>
      <c r="H18" s="17"/>
      <c r="I18" s="18"/>
      <c r="J18" s="19"/>
    </row>
    <row r="19" spans="1:10" x14ac:dyDescent="0.6">
      <c r="A19" s="22" t="s">
        <v>43</v>
      </c>
      <c r="B19" s="18"/>
      <c r="C19" s="18"/>
      <c r="D19" s="19"/>
      <c r="E19" s="17"/>
      <c r="F19" s="18"/>
      <c r="G19" s="19"/>
      <c r="H19" s="17"/>
      <c r="I19" s="18"/>
      <c r="J19" s="19"/>
    </row>
    <row r="21" spans="1:10" ht="22.05" customHeight="1" x14ac:dyDescent="0.6">
      <c r="A21" s="33" t="s">
        <v>96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28.05" customHeight="1" x14ac:dyDescent="0.6">
      <c r="A22" s="22" t="s">
        <v>97</v>
      </c>
      <c r="B22" s="19"/>
      <c r="C22" s="21" t="s">
        <v>228</v>
      </c>
      <c r="D22" s="18"/>
      <c r="E22" s="18"/>
      <c r="F22" s="18"/>
      <c r="G22" s="18"/>
      <c r="H22" s="18"/>
      <c r="I22" s="18"/>
      <c r="J22" s="19"/>
    </row>
    <row r="23" spans="1:10" x14ac:dyDescent="0.6">
      <c r="A23" s="1" t="s">
        <v>50</v>
      </c>
      <c r="B23" s="1" t="s">
        <v>99</v>
      </c>
      <c r="C23" s="1" t="s">
        <v>100</v>
      </c>
      <c r="D23" s="20" t="s">
        <v>101</v>
      </c>
      <c r="E23" s="18"/>
      <c r="F23" s="18"/>
      <c r="G23" s="18"/>
      <c r="H23" s="19"/>
    </row>
    <row r="24" spans="1:10" ht="42" customHeight="1" x14ac:dyDescent="0.6">
      <c r="A24" s="3" t="s">
        <v>102</v>
      </c>
      <c r="B24" s="8" t="s">
        <v>103</v>
      </c>
      <c r="C24" s="7" t="s">
        <v>104</v>
      </c>
      <c r="D24" s="21" t="s">
        <v>105</v>
      </c>
      <c r="E24" s="18"/>
      <c r="F24" s="18"/>
      <c r="G24" s="18"/>
      <c r="H24" s="19"/>
      <c r="I24" s="9"/>
      <c r="J24" s="9"/>
    </row>
    <row r="25" spans="1:10" ht="42" customHeight="1" x14ac:dyDescent="0.6">
      <c r="A25" s="3" t="s">
        <v>106</v>
      </c>
      <c r="B25" s="8" t="s">
        <v>107</v>
      </c>
      <c r="C25" s="7" t="s">
        <v>108</v>
      </c>
      <c r="D25" s="21" t="s">
        <v>105</v>
      </c>
      <c r="E25" s="18"/>
      <c r="F25" s="18"/>
      <c r="G25" s="18"/>
      <c r="H25" s="19"/>
      <c r="I25" s="9"/>
      <c r="J25" s="9"/>
    </row>
    <row r="26" spans="1:10" ht="42" customHeight="1" x14ac:dyDescent="0.6">
      <c r="A26" s="3" t="s">
        <v>109</v>
      </c>
      <c r="B26" s="8" t="s">
        <v>110</v>
      </c>
      <c r="C26" s="7" t="s">
        <v>111</v>
      </c>
      <c r="D26" s="21" t="s">
        <v>105</v>
      </c>
      <c r="E26" s="18"/>
      <c r="F26" s="18"/>
      <c r="G26" s="18"/>
      <c r="H26" s="19"/>
      <c r="I26" s="9"/>
      <c r="J26" s="9"/>
    </row>
    <row r="27" spans="1:10" ht="42" customHeight="1" x14ac:dyDescent="0.6">
      <c r="A27" s="3" t="s">
        <v>112</v>
      </c>
      <c r="B27" s="8" t="s">
        <v>113</v>
      </c>
      <c r="C27" s="7" t="s">
        <v>114</v>
      </c>
      <c r="D27" s="21" t="s">
        <v>105</v>
      </c>
      <c r="E27" s="18"/>
      <c r="F27" s="18"/>
      <c r="G27" s="18"/>
      <c r="H27" s="19"/>
      <c r="I27" s="9"/>
      <c r="J27" s="9"/>
    </row>
    <row r="28" spans="1:10" ht="42" customHeight="1" x14ac:dyDescent="0.6">
      <c r="A28" s="3" t="s">
        <v>115</v>
      </c>
      <c r="B28" s="8" t="s">
        <v>116</v>
      </c>
      <c r="C28" s="7" t="s">
        <v>117</v>
      </c>
      <c r="D28" s="21" t="s">
        <v>105</v>
      </c>
      <c r="E28" s="18"/>
      <c r="F28" s="18"/>
      <c r="G28" s="18"/>
      <c r="H28" s="19"/>
      <c r="I28" s="9"/>
      <c r="J28" s="9"/>
    </row>
    <row r="29" spans="1:10" x14ac:dyDescent="0.6">
      <c r="A29" s="22" t="s">
        <v>118</v>
      </c>
      <c r="B29" s="18"/>
      <c r="C29" s="18"/>
      <c r="D29" s="18"/>
      <c r="E29" s="18"/>
      <c r="F29" s="18"/>
      <c r="G29" s="19"/>
      <c r="H29" s="2" t="s">
        <v>119</v>
      </c>
      <c r="I29" s="10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>0</v>
      </c>
    </row>
    <row r="30" spans="1:10" x14ac:dyDescent="0.6">
      <c r="A30" s="22" t="s">
        <v>120</v>
      </c>
      <c r="B30" s="18"/>
      <c r="C30" s="18"/>
      <c r="D30" s="18"/>
      <c r="E30" s="18"/>
      <c r="F30" s="18"/>
      <c r="G30" s="19"/>
      <c r="H30" s="2" t="s">
        <v>121</v>
      </c>
      <c r="I30" s="11" t="str">
        <f>IF(I29="","",IF(I29&gt;=4.5,"S",IF(I29&gt;=3.5,"A",IF(I29&gt;=2.5,"B",IF(I29&gt;=1.5,"C","D")))))</f>
        <v>D</v>
      </c>
      <c r="J30" s="2" t="s">
        <v>122</v>
      </c>
    </row>
    <row r="31" spans="1:10" ht="42" customHeight="1" x14ac:dyDescent="0.6">
      <c r="A31" s="22" t="s">
        <v>123</v>
      </c>
      <c r="B31" s="19"/>
      <c r="C31" s="23"/>
      <c r="D31" s="18"/>
      <c r="E31" s="18"/>
      <c r="F31" s="18"/>
      <c r="G31" s="18"/>
      <c r="H31" s="18"/>
      <c r="I31" s="18"/>
      <c r="J31" s="19"/>
    </row>
    <row r="33" spans="1:10" ht="22.05" customHeight="1" x14ac:dyDescent="0.6">
      <c r="A33" s="32" t="s">
        <v>124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6">
      <c r="A34" s="1" t="s">
        <v>50</v>
      </c>
      <c r="B34" s="1" t="s">
        <v>125</v>
      </c>
      <c r="C34" s="1" t="s">
        <v>126</v>
      </c>
      <c r="D34" s="1" t="s">
        <v>127</v>
      </c>
      <c r="E34" s="20" t="s">
        <v>128</v>
      </c>
      <c r="F34" s="19"/>
      <c r="G34" s="1" t="s">
        <v>129</v>
      </c>
      <c r="H34" s="1" t="s">
        <v>130</v>
      </c>
    </row>
    <row r="35" spans="1:10" ht="38" customHeight="1" x14ac:dyDescent="0.6">
      <c r="A35" s="3" t="s">
        <v>131</v>
      </c>
      <c r="B35" s="7" t="s">
        <v>132</v>
      </c>
      <c r="C35" s="8" t="s">
        <v>133</v>
      </c>
      <c r="D35" s="7" t="s">
        <v>134</v>
      </c>
      <c r="E35" s="21" t="s">
        <v>135</v>
      </c>
      <c r="F35" s="19"/>
      <c r="G35" s="4" t="s">
        <v>136</v>
      </c>
      <c r="H35" s="9"/>
      <c r="I35" s="23"/>
      <c r="J35" s="19"/>
    </row>
    <row r="36" spans="1:10" ht="38" customHeight="1" x14ac:dyDescent="0.6">
      <c r="A36" s="3" t="s">
        <v>137</v>
      </c>
      <c r="B36" s="7" t="s">
        <v>132</v>
      </c>
      <c r="C36" s="8" t="s">
        <v>138</v>
      </c>
      <c r="D36" s="7" t="s">
        <v>139</v>
      </c>
      <c r="E36" s="21" t="s">
        <v>135</v>
      </c>
      <c r="F36" s="19"/>
      <c r="G36" s="4" t="s">
        <v>140</v>
      </c>
      <c r="H36" s="9"/>
      <c r="I36" s="23"/>
      <c r="J36" s="19"/>
    </row>
    <row r="37" spans="1:10" ht="38" customHeight="1" x14ac:dyDescent="0.6">
      <c r="A37" s="3" t="s">
        <v>141</v>
      </c>
      <c r="B37" s="7" t="s">
        <v>132</v>
      </c>
      <c r="C37" s="8" t="s">
        <v>142</v>
      </c>
      <c r="D37" s="7" t="s">
        <v>143</v>
      </c>
      <c r="E37" s="21" t="s">
        <v>135</v>
      </c>
      <c r="F37" s="19"/>
      <c r="G37" s="4" t="s">
        <v>140</v>
      </c>
      <c r="H37" s="9"/>
      <c r="I37" s="23"/>
      <c r="J37" s="19"/>
    </row>
    <row r="38" spans="1:10" ht="38" customHeight="1" x14ac:dyDescent="0.6">
      <c r="A38" s="3" t="s">
        <v>144</v>
      </c>
      <c r="B38" s="7" t="s">
        <v>145</v>
      </c>
      <c r="C38" s="8" t="s">
        <v>146</v>
      </c>
      <c r="D38" s="7" t="s">
        <v>147</v>
      </c>
      <c r="E38" s="21" t="s">
        <v>135</v>
      </c>
      <c r="F38" s="19"/>
      <c r="G38" s="4" t="s">
        <v>140</v>
      </c>
      <c r="H38" s="9"/>
      <c r="I38" s="23"/>
      <c r="J38" s="19"/>
    </row>
    <row r="39" spans="1:10" ht="38" customHeight="1" x14ac:dyDescent="0.6">
      <c r="A39" s="3" t="s">
        <v>148</v>
      </c>
      <c r="B39" s="7" t="s">
        <v>145</v>
      </c>
      <c r="C39" s="8" t="s">
        <v>149</v>
      </c>
      <c r="D39" s="7" t="s">
        <v>150</v>
      </c>
      <c r="E39" s="21" t="s">
        <v>135</v>
      </c>
      <c r="F39" s="19"/>
      <c r="G39" s="4" t="s">
        <v>140</v>
      </c>
      <c r="H39" s="9"/>
      <c r="I39" s="23"/>
      <c r="J39" s="19"/>
    </row>
    <row r="40" spans="1:10" ht="38" customHeight="1" x14ac:dyDescent="0.6">
      <c r="A40" s="3" t="s">
        <v>151</v>
      </c>
      <c r="B40" s="7" t="s">
        <v>145</v>
      </c>
      <c r="C40" s="8" t="s">
        <v>152</v>
      </c>
      <c r="D40" s="7" t="s">
        <v>153</v>
      </c>
      <c r="E40" s="21" t="s">
        <v>135</v>
      </c>
      <c r="F40" s="19"/>
      <c r="G40" s="4" t="s">
        <v>140</v>
      </c>
      <c r="H40" s="9"/>
      <c r="I40" s="23"/>
      <c r="J40" s="19"/>
    </row>
    <row r="41" spans="1:10" ht="38" customHeight="1" x14ac:dyDescent="0.6">
      <c r="A41" s="3" t="s">
        <v>154</v>
      </c>
      <c r="B41" s="7" t="s">
        <v>155</v>
      </c>
      <c r="C41" s="8" t="s">
        <v>156</v>
      </c>
      <c r="D41" s="7" t="s">
        <v>157</v>
      </c>
      <c r="E41" s="21" t="s">
        <v>135</v>
      </c>
      <c r="F41" s="19"/>
      <c r="G41" s="4" t="s">
        <v>140</v>
      </c>
      <c r="H41" s="9"/>
      <c r="I41" s="23"/>
      <c r="J41" s="19"/>
    </row>
    <row r="42" spans="1:10" ht="38" customHeight="1" x14ac:dyDescent="0.6">
      <c r="A42" s="3" t="s">
        <v>158</v>
      </c>
      <c r="B42" s="7" t="s">
        <v>155</v>
      </c>
      <c r="C42" s="8" t="s">
        <v>159</v>
      </c>
      <c r="D42" s="7" t="s">
        <v>160</v>
      </c>
      <c r="E42" s="21" t="s">
        <v>135</v>
      </c>
      <c r="F42" s="19"/>
      <c r="G42" s="4" t="s">
        <v>140</v>
      </c>
      <c r="H42" s="9"/>
      <c r="I42" s="23"/>
      <c r="J42" s="19"/>
    </row>
    <row r="43" spans="1:10" ht="38" customHeight="1" x14ac:dyDescent="0.6">
      <c r="A43" s="3" t="s">
        <v>161</v>
      </c>
      <c r="B43" s="7" t="s">
        <v>162</v>
      </c>
      <c r="C43" s="8" t="s">
        <v>163</v>
      </c>
      <c r="D43" s="7" t="s">
        <v>164</v>
      </c>
      <c r="E43" s="21" t="s">
        <v>135</v>
      </c>
      <c r="F43" s="19"/>
      <c r="G43" s="4" t="s">
        <v>165</v>
      </c>
      <c r="H43" s="9"/>
      <c r="I43" s="23"/>
      <c r="J43" s="19"/>
    </row>
    <row r="44" spans="1:10" ht="38" customHeight="1" x14ac:dyDescent="0.6">
      <c r="A44" s="3" t="s">
        <v>166</v>
      </c>
      <c r="B44" s="7" t="s">
        <v>162</v>
      </c>
      <c r="C44" s="8" t="s">
        <v>167</v>
      </c>
      <c r="D44" s="7" t="s">
        <v>168</v>
      </c>
      <c r="E44" s="21" t="s">
        <v>135</v>
      </c>
      <c r="F44" s="19"/>
      <c r="G44" s="4" t="s">
        <v>165</v>
      </c>
      <c r="H44" s="9"/>
      <c r="I44" s="23"/>
      <c r="J44" s="19"/>
    </row>
    <row r="45" spans="1:10" ht="38" customHeight="1" x14ac:dyDescent="0.6">
      <c r="A45" s="3" t="s">
        <v>169</v>
      </c>
      <c r="B45" s="7" t="s">
        <v>162</v>
      </c>
      <c r="C45" s="8" t="s">
        <v>170</v>
      </c>
      <c r="D45" s="7" t="s">
        <v>171</v>
      </c>
      <c r="E45" s="21" t="s">
        <v>135</v>
      </c>
      <c r="F45" s="19"/>
      <c r="G45" s="4" t="s">
        <v>165</v>
      </c>
      <c r="H45" s="9"/>
      <c r="I45" s="23"/>
      <c r="J45" s="19"/>
    </row>
    <row r="46" spans="1:10" x14ac:dyDescent="0.6">
      <c r="A46" s="22" t="s">
        <v>172</v>
      </c>
      <c r="B46" s="18"/>
      <c r="C46" s="18"/>
      <c r="D46" s="18"/>
      <c r="E46" s="18"/>
      <c r="F46" s="19"/>
      <c r="G46" s="2" t="s">
        <v>173</v>
      </c>
      <c r="H46" s="10" t="str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 spans="1:10" x14ac:dyDescent="0.6">
      <c r="A47" s="22" t="s">
        <v>174</v>
      </c>
      <c r="B47" s="18"/>
      <c r="C47" s="18"/>
      <c r="D47" s="18"/>
      <c r="E47" s="18"/>
      <c r="F47" s="19"/>
      <c r="G47" s="2" t="s">
        <v>121</v>
      </c>
      <c r="H47" s="11" t="str">
        <f>IF(H46="","",IF(H46&gt;=4.5,"S",IF(H46&gt;=3.5,"A",IF(H46&gt;=2.5,"B",IF(H46&gt;=1.5,"C","D")))))</f>
        <v/>
      </c>
      <c r="I47" s="22" t="s">
        <v>122</v>
      </c>
      <c r="J47" s="19"/>
    </row>
    <row r="48" spans="1:10" ht="42" customHeight="1" x14ac:dyDescent="0.6">
      <c r="A48" s="22" t="s">
        <v>175</v>
      </c>
      <c r="B48" s="19"/>
      <c r="C48" s="23"/>
      <c r="D48" s="18"/>
      <c r="E48" s="18"/>
      <c r="F48" s="18"/>
      <c r="G48" s="18"/>
      <c r="H48" s="18"/>
      <c r="I48" s="18"/>
      <c r="J48" s="19"/>
    </row>
    <row r="50" spans="1:10" ht="22.05" customHeight="1" x14ac:dyDescent="0.6">
      <c r="A50" s="29" t="s">
        <v>176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6">
      <c r="A51" s="1" t="s">
        <v>50</v>
      </c>
      <c r="B51" s="1" t="s">
        <v>177</v>
      </c>
      <c r="C51" s="1" t="s">
        <v>178</v>
      </c>
      <c r="D51" s="1" t="s">
        <v>179</v>
      </c>
      <c r="E51" s="1" t="s">
        <v>180</v>
      </c>
      <c r="F51" s="20" t="s">
        <v>129</v>
      </c>
      <c r="G51" s="19"/>
      <c r="H51" s="13"/>
      <c r="I51" s="13"/>
      <c r="J51" s="13"/>
    </row>
    <row r="52" spans="1:10" ht="55.05" customHeight="1" x14ac:dyDescent="0.6">
      <c r="A52" s="3" t="s">
        <v>181</v>
      </c>
      <c r="B52" s="7" t="s">
        <v>182</v>
      </c>
      <c r="C52" s="8" t="s">
        <v>183</v>
      </c>
      <c r="D52" s="7" t="s">
        <v>184</v>
      </c>
      <c r="E52" s="7" t="s">
        <v>185</v>
      </c>
      <c r="F52" s="23"/>
      <c r="G52" s="19"/>
      <c r="H52" s="23"/>
      <c r="I52" s="18"/>
      <c r="J52" s="19"/>
    </row>
    <row r="53" spans="1:10" ht="55.05" customHeight="1" x14ac:dyDescent="0.6">
      <c r="A53" s="3" t="s">
        <v>186</v>
      </c>
      <c r="B53" s="7" t="s">
        <v>182</v>
      </c>
      <c r="C53" s="8" t="s">
        <v>187</v>
      </c>
      <c r="D53" s="7" t="s">
        <v>188</v>
      </c>
      <c r="E53" s="7" t="s">
        <v>189</v>
      </c>
      <c r="F53" s="23"/>
      <c r="G53" s="19"/>
      <c r="H53" s="23"/>
      <c r="I53" s="18"/>
      <c r="J53" s="19"/>
    </row>
    <row r="54" spans="1:10" ht="55.05" customHeight="1" x14ac:dyDescent="0.6">
      <c r="A54" s="3" t="s">
        <v>190</v>
      </c>
      <c r="B54" s="7" t="s">
        <v>182</v>
      </c>
      <c r="C54" s="8" t="s">
        <v>191</v>
      </c>
      <c r="D54" s="7" t="s">
        <v>192</v>
      </c>
      <c r="E54" s="7" t="s">
        <v>193</v>
      </c>
      <c r="F54" s="23"/>
      <c r="G54" s="19"/>
      <c r="H54" s="23"/>
      <c r="I54" s="18"/>
      <c r="J54" s="19"/>
    </row>
    <row r="55" spans="1:10" ht="55.05" customHeight="1" x14ac:dyDescent="0.6">
      <c r="A55" s="3" t="s">
        <v>194</v>
      </c>
      <c r="B55" s="7" t="s">
        <v>182</v>
      </c>
      <c r="C55" s="8" t="s">
        <v>195</v>
      </c>
      <c r="D55" s="7" t="s">
        <v>196</v>
      </c>
      <c r="E55" s="7" t="s">
        <v>197</v>
      </c>
      <c r="F55" s="23"/>
      <c r="G55" s="19"/>
      <c r="H55" s="23"/>
      <c r="I55" s="18"/>
      <c r="J55" s="19"/>
    </row>
    <row r="56" spans="1:10" ht="55.05" customHeight="1" x14ac:dyDescent="0.6">
      <c r="A56" s="3" t="s">
        <v>198</v>
      </c>
      <c r="B56" s="7" t="s">
        <v>182</v>
      </c>
      <c r="C56" s="8" t="s">
        <v>199</v>
      </c>
      <c r="D56" s="7" t="s">
        <v>200</v>
      </c>
      <c r="E56" s="7" t="s">
        <v>201</v>
      </c>
      <c r="F56" s="23"/>
      <c r="G56" s="19"/>
      <c r="H56" s="23"/>
      <c r="I56" s="18"/>
      <c r="J56" s="19"/>
    </row>
    <row r="57" spans="1:10" x14ac:dyDescent="0.6">
      <c r="A57" s="22" t="s">
        <v>202</v>
      </c>
      <c r="B57" s="18"/>
      <c r="C57" s="18"/>
      <c r="D57" s="19"/>
      <c r="E57" s="2" t="s">
        <v>203</v>
      </c>
      <c r="F57" s="25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>0</v>
      </c>
      <c r="G57" s="19"/>
    </row>
    <row r="58" spans="1:10" x14ac:dyDescent="0.6">
      <c r="A58" s="22" t="s">
        <v>204</v>
      </c>
      <c r="B58" s="18"/>
      <c r="C58" s="18"/>
      <c r="D58" s="19"/>
      <c r="E58" s="2" t="s">
        <v>121</v>
      </c>
      <c r="F58" s="27" t="str">
        <f>IF(F57="","",IF(F57&gt;=4.5,"S",IF(F57&gt;=3.5,"A",IF(F57&gt;=2.5,"B",IF(F57&gt;=1.5,"C","D")))))</f>
        <v>D</v>
      </c>
      <c r="G58" s="19"/>
      <c r="H58" s="22" t="s">
        <v>122</v>
      </c>
      <c r="I58" s="18"/>
      <c r="J58" s="19"/>
    </row>
    <row r="59" spans="1:10" ht="42" customHeight="1" x14ac:dyDescent="0.6">
      <c r="A59" s="22" t="s">
        <v>205</v>
      </c>
      <c r="B59" s="19"/>
      <c r="C59" s="23"/>
      <c r="D59" s="18"/>
      <c r="E59" s="18"/>
      <c r="F59" s="18"/>
      <c r="G59" s="18"/>
      <c r="H59" s="18"/>
      <c r="I59" s="18"/>
      <c r="J59" s="19"/>
    </row>
    <row r="61" spans="1:10" ht="22.05" customHeight="1" x14ac:dyDescent="0.6">
      <c r="A61" s="31" t="s">
        <v>206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6">
      <c r="A62" s="1" t="s">
        <v>207</v>
      </c>
      <c r="B62" s="20" t="s">
        <v>34</v>
      </c>
      <c r="C62" s="19"/>
      <c r="D62" s="20" t="s">
        <v>129</v>
      </c>
      <c r="E62" s="19"/>
      <c r="F62" s="13"/>
      <c r="G62" s="13"/>
      <c r="H62" s="13"/>
      <c r="I62" s="13"/>
      <c r="J62" s="13"/>
    </row>
    <row r="63" spans="1:10" x14ac:dyDescent="0.6">
      <c r="A63" s="5" t="s">
        <v>208</v>
      </c>
      <c r="B63" s="24" t="s">
        <v>209</v>
      </c>
      <c r="C63" s="19"/>
      <c r="D63" s="25">
        <f>I29</f>
        <v>0</v>
      </c>
      <c r="E63" s="19"/>
      <c r="F63" s="27" t="str">
        <f>I30</f>
        <v>D</v>
      </c>
      <c r="G63" s="19"/>
      <c r="H63" s="21" t="s">
        <v>210</v>
      </c>
      <c r="I63" s="18"/>
      <c r="J63" s="19"/>
    </row>
    <row r="64" spans="1:10" x14ac:dyDescent="0.6">
      <c r="A64" s="5" t="s">
        <v>211</v>
      </c>
      <c r="B64" s="24" t="s">
        <v>212</v>
      </c>
      <c r="C64" s="19"/>
      <c r="D64" s="25" t="str">
        <f>H46</f>
        <v/>
      </c>
      <c r="E64" s="19"/>
      <c r="F64" s="27" t="str">
        <f>H47</f>
        <v/>
      </c>
      <c r="G64" s="19"/>
      <c r="H64" s="21" t="s">
        <v>213</v>
      </c>
      <c r="I64" s="18"/>
      <c r="J64" s="19"/>
    </row>
    <row r="65" spans="1:10" x14ac:dyDescent="0.6">
      <c r="A65" s="5" t="s">
        <v>214</v>
      </c>
      <c r="B65" s="24" t="s">
        <v>215</v>
      </c>
      <c r="C65" s="19"/>
      <c r="D65" s="25">
        <f>F57</f>
        <v>0</v>
      </c>
      <c r="E65" s="19"/>
      <c r="F65" s="27" t="str">
        <f>F58</f>
        <v>D</v>
      </c>
      <c r="G65" s="19"/>
      <c r="H65" s="21" t="s">
        <v>216</v>
      </c>
      <c r="I65" s="18"/>
      <c r="J65" s="19"/>
    </row>
    <row r="67" spans="1:10" ht="42" customHeight="1" x14ac:dyDescent="0.6">
      <c r="A67" s="22" t="s">
        <v>217</v>
      </c>
      <c r="B67" s="19"/>
      <c r="C67" s="23"/>
      <c r="D67" s="18"/>
      <c r="E67" s="18"/>
      <c r="F67" s="18"/>
      <c r="G67" s="18"/>
      <c r="H67" s="18"/>
      <c r="I67" s="18"/>
      <c r="J67" s="19"/>
    </row>
    <row r="68" spans="1:10" ht="42" customHeight="1" x14ac:dyDescent="0.6">
      <c r="A68" s="22" t="s">
        <v>218</v>
      </c>
      <c r="B68" s="19"/>
      <c r="C68" s="23"/>
      <c r="D68" s="18"/>
      <c r="E68" s="18"/>
      <c r="F68" s="18"/>
      <c r="G68" s="18"/>
      <c r="H68" s="18"/>
      <c r="I68" s="18"/>
      <c r="J68" s="19"/>
    </row>
    <row r="69" spans="1:10" ht="42" customHeight="1" x14ac:dyDescent="0.6">
      <c r="A69" s="22" t="s">
        <v>219</v>
      </c>
      <c r="B69" s="19"/>
      <c r="C69" s="23"/>
      <c r="D69" s="18"/>
      <c r="E69" s="18"/>
      <c r="F69" s="18"/>
      <c r="G69" s="18"/>
      <c r="H69" s="18"/>
      <c r="I69" s="18"/>
      <c r="J69" s="19"/>
    </row>
  </sheetData>
  <mergeCells count="121"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</mergeCells>
  <phoneticPr fontId="13" type="noConversion"/>
  <conditionalFormatting sqref="F10:F70">
    <cfRule type="cellIs" dxfId="23" priority="1" operator="equal">
      <formula>"S"</formula>
    </cfRule>
    <cfRule type="cellIs" dxfId="22" priority="2" operator="equal">
      <formula>"A"</formula>
    </cfRule>
    <cfRule type="cellIs" dxfId="21" priority="3" operator="equal">
      <formula>"C"</formula>
    </cfRule>
    <cfRule type="cellIs" dxfId="20" priority="4" operator="equal">
      <formula>"D"</formula>
    </cfRule>
  </conditionalFormatting>
  <conditionalFormatting sqref="H10:I70">
    <cfRule type="cellIs" dxfId="19" priority="5" operator="equal">
      <formula>"S"</formula>
    </cfRule>
    <cfRule type="cellIs" dxfId="18" priority="6" operator="equal">
      <formula>"A"</formula>
    </cfRule>
    <cfRule type="cellIs" dxfId="17" priority="7" operator="equal">
      <formula>"C"</formula>
    </cfRule>
    <cfRule type="cellIs" dxfId="16" priority="8" operator="equal">
      <formula>"D"</formula>
    </cfRule>
  </conditionalFormatting>
  <dataValidations count="2">
    <dataValidation type="list" sqref="E19" xr:uid="{00000000-0002-0000-0600-000000000000}">
      <formula1>"상반기,하반기"</formula1>
    </dataValidation>
    <dataValidation type="list" allowBlank="1" sqref="I24:I28 F52:F56 H35:H45" xr:uid="{00000000-0002-0000-0600-000001000000}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9"/>
  <sheetViews>
    <sheetView showGridLines="0" workbookViewId="0">
      <pane ySplit="3" topLeftCell="A4" activePane="bottomLeft" state="frozen"/>
      <selection pane="bottomLeft" sqref="A1:J1"/>
    </sheetView>
  </sheetViews>
  <sheetFormatPr defaultRowHeight="16.899999999999999" x14ac:dyDescent="0.6"/>
  <cols>
    <col min="1" max="1" width="6" customWidth="1"/>
    <col min="2" max="2" width="11" customWidth="1"/>
    <col min="3" max="3" width="14" customWidth="1"/>
    <col min="4" max="4" width="30" customWidth="1"/>
    <col min="5" max="5" width="22" customWidth="1"/>
    <col min="6" max="9" width="10" customWidth="1"/>
    <col min="10" max="10" width="18" customWidth="1"/>
  </cols>
  <sheetData>
    <row r="1" spans="1:10" ht="26" customHeight="1" x14ac:dyDescent="0.6">
      <c r="A1" s="15" t="s">
        <v>229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6">
      <c r="A2" s="16" t="s">
        <v>82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2.05" customHeight="1" x14ac:dyDescent="0.6">
      <c r="A3" s="26" t="s">
        <v>83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6">
      <c r="A4" s="12" t="s">
        <v>84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6">
      <c r="A5" s="12" t="s">
        <v>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6">
      <c r="A6" s="12" t="s">
        <v>86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6">
      <c r="A7" s="12" t="s">
        <v>87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6">
      <c r="A8" s="12" t="s">
        <v>88</v>
      </c>
      <c r="B8" s="13"/>
      <c r="C8" s="13"/>
      <c r="D8" s="13"/>
      <c r="E8" s="13"/>
      <c r="F8" s="13"/>
      <c r="G8" s="13"/>
      <c r="H8" s="13"/>
      <c r="I8" s="13"/>
      <c r="J8" s="13"/>
    </row>
    <row r="10" spans="1:10" ht="22.05" customHeight="1" x14ac:dyDescent="0.6">
      <c r="A10" s="28" t="s">
        <v>89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6">
      <c r="A11" s="22" t="s">
        <v>37</v>
      </c>
      <c r="B11" s="18"/>
      <c r="C11" s="19"/>
      <c r="D11" s="22" t="s">
        <v>38</v>
      </c>
      <c r="E11" s="19"/>
      <c r="F11" s="17"/>
      <c r="G11" s="22" t="s">
        <v>51</v>
      </c>
      <c r="H11" s="19"/>
      <c r="I11" s="17"/>
      <c r="J11" s="19"/>
    </row>
    <row r="12" spans="1:10" x14ac:dyDescent="0.6">
      <c r="A12" s="22" t="s">
        <v>52</v>
      </c>
      <c r="B12" s="18"/>
      <c r="C12" s="19"/>
      <c r="D12" s="22" t="s">
        <v>53</v>
      </c>
      <c r="E12" s="19"/>
      <c r="F12" s="17"/>
      <c r="G12" s="22" t="s">
        <v>54</v>
      </c>
      <c r="H12" s="19"/>
      <c r="I12" s="17"/>
      <c r="J12" s="19"/>
    </row>
    <row r="13" spans="1:10" x14ac:dyDescent="0.6">
      <c r="A13" s="22" t="s">
        <v>90</v>
      </c>
      <c r="B13" s="18"/>
      <c r="C13" s="19"/>
      <c r="D13" s="22" t="s">
        <v>91</v>
      </c>
      <c r="E13" s="19"/>
      <c r="F13" s="17"/>
      <c r="G13" s="22" t="s">
        <v>92</v>
      </c>
      <c r="H13" s="19"/>
      <c r="I13" s="17"/>
      <c r="J13" s="19"/>
    </row>
    <row r="14" spans="1:10" x14ac:dyDescent="0.6">
      <c r="A14" s="22" t="s">
        <v>93</v>
      </c>
      <c r="B14" s="18"/>
      <c r="C14" s="19"/>
      <c r="D14" s="30" t="s">
        <v>230</v>
      </c>
      <c r="E14" s="18"/>
      <c r="F14" s="18"/>
      <c r="G14" s="18"/>
      <c r="H14" s="18"/>
      <c r="I14" s="18"/>
      <c r="J14" s="19"/>
    </row>
    <row r="16" spans="1:10" ht="22.05" customHeight="1" x14ac:dyDescent="0.6">
      <c r="A16" s="28" t="s">
        <v>95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6">
      <c r="A17" s="22" t="s">
        <v>35</v>
      </c>
      <c r="B17" s="18"/>
      <c r="C17" s="18"/>
      <c r="D17" s="19"/>
      <c r="E17" s="22" t="s">
        <v>37</v>
      </c>
      <c r="F17" s="18"/>
      <c r="G17" s="19"/>
      <c r="H17" s="17"/>
      <c r="I17" s="18"/>
      <c r="J17" s="19"/>
    </row>
    <row r="18" spans="1:10" x14ac:dyDescent="0.6">
      <c r="A18" s="22" t="s">
        <v>36</v>
      </c>
      <c r="B18" s="18"/>
      <c r="C18" s="18"/>
      <c r="D18" s="19"/>
      <c r="E18" s="22" t="s">
        <v>37</v>
      </c>
      <c r="F18" s="18"/>
      <c r="G18" s="19"/>
      <c r="H18" s="17"/>
      <c r="I18" s="18"/>
      <c r="J18" s="19"/>
    </row>
    <row r="19" spans="1:10" x14ac:dyDescent="0.6">
      <c r="A19" s="22" t="s">
        <v>43</v>
      </c>
      <c r="B19" s="18"/>
      <c r="C19" s="18"/>
      <c r="D19" s="19"/>
      <c r="E19" s="17"/>
      <c r="F19" s="18"/>
      <c r="G19" s="19"/>
      <c r="H19" s="17"/>
      <c r="I19" s="18"/>
      <c r="J19" s="19"/>
    </row>
    <row r="21" spans="1:10" ht="22.05" customHeight="1" x14ac:dyDescent="0.6">
      <c r="A21" s="33" t="s">
        <v>96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28.05" customHeight="1" x14ac:dyDescent="0.6">
      <c r="A22" s="22" t="s">
        <v>97</v>
      </c>
      <c r="B22" s="19"/>
      <c r="C22" s="21" t="s">
        <v>231</v>
      </c>
      <c r="D22" s="18"/>
      <c r="E22" s="18"/>
      <c r="F22" s="18"/>
      <c r="G22" s="18"/>
      <c r="H22" s="18"/>
      <c r="I22" s="18"/>
      <c r="J22" s="19"/>
    </row>
    <row r="23" spans="1:10" x14ac:dyDescent="0.6">
      <c r="A23" s="1" t="s">
        <v>50</v>
      </c>
      <c r="B23" s="1" t="s">
        <v>99</v>
      </c>
      <c r="C23" s="1" t="s">
        <v>100</v>
      </c>
      <c r="D23" s="20" t="s">
        <v>101</v>
      </c>
      <c r="E23" s="18"/>
      <c r="F23" s="18"/>
      <c r="G23" s="18"/>
      <c r="H23" s="19"/>
    </row>
    <row r="24" spans="1:10" ht="42" customHeight="1" x14ac:dyDescent="0.6">
      <c r="A24" s="3" t="s">
        <v>102</v>
      </c>
      <c r="B24" s="8" t="s">
        <v>103</v>
      </c>
      <c r="C24" s="7" t="s">
        <v>104</v>
      </c>
      <c r="D24" s="21" t="s">
        <v>105</v>
      </c>
      <c r="E24" s="18"/>
      <c r="F24" s="18"/>
      <c r="G24" s="18"/>
      <c r="H24" s="19"/>
      <c r="I24" s="9"/>
      <c r="J24" s="9"/>
    </row>
    <row r="25" spans="1:10" ht="42" customHeight="1" x14ac:dyDescent="0.6">
      <c r="A25" s="3" t="s">
        <v>106</v>
      </c>
      <c r="B25" s="8" t="s">
        <v>107</v>
      </c>
      <c r="C25" s="7" t="s">
        <v>108</v>
      </c>
      <c r="D25" s="21" t="s">
        <v>105</v>
      </c>
      <c r="E25" s="18"/>
      <c r="F25" s="18"/>
      <c r="G25" s="18"/>
      <c r="H25" s="19"/>
      <c r="I25" s="9"/>
      <c r="J25" s="9"/>
    </row>
    <row r="26" spans="1:10" ht="42" customHeight="1" x14ac:dyDescent="0.6">
      <c r="A26" s="3" t="s">
        <v>109</v>
      </c>
      <c r="B26" s="8" t="s">
        <v>110</v>
      </c>
      <c r="C26" s="7" t="s">
        <v>111</v>
      </c>
      <c r="D26" s="21" t="s">
        <v>105</v>
      </c>
      <c r="E26" s="18"/>
      <c r="F26" s="18"/>
      <c r="G26" s="18"/>
      <c r="H26" s="19"/>
      <c r="I26" s="9"/>
      <c r="J26" s="9"/>
    </row>
    <row r="27" spans="1:10" ht="42" customHeight="1" x14ac:dyDescent="0.6">
      <c r="A27" s="3" t="s">
        <v>112</v>
      </c>
      <c r="B27" s="8" t="s">
        <v>113</v>
      </c>
      <c r="C27" s="7" t="s">
        <v>114</v>
      </c>
      <c r="D27" s="21" t="s">
        <v>105</v>
      </c>
      <c r="E27" s="18"/>
      <c r="F27" s="18"/>
      <c r="G27" s="18"/>
      <c r="H27" s="19"/>
      <c r="I27" s="9"/>
      <c r="J27" s="9"/>
    </row>
    <row r="28" spans="1:10" ht="42" customHeight="1" x14ac:dyDescent="0.6">
      <c r="A28" s="3" t="s">
        <v>115</v>
      </c>
      <c r="B28" s="8" t="s">
        <v>116</v>
      </c>
      <c r="C28" s="7" t="s">
        <v>117</v>
      </c>
      <c r="D28" s="21" t="s">
        <v>105</v>
      </c>
      <c r="E28" s="18"/>
      <c r="F28" s="18"/>
      <c r="G28" s="18"/>
      <c r="H28" s="19"/>
      <c r="I28" s="9"/>
      <c r="J28" s="9"/>
    </row>
    <row r="29" spans="1:10" x14ac:dyDescent="0.6">
      <c r="A29" s="22" t="s">
        <v>118</v>
      </c>
      <c r="B29" s="18"/>
      <c r="C29" s="18"/>
      <c r="D29" s="18"/>
      <c r="E29" s="18"/>
      <c r="F29" s="18"/>
      <c r="G29" s="19"/>
      <c r="H29" s="2" t="s">
        <v>119</v>
      </c>
      <c r="I29" s="10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>0</v>
      </c>
    </row>
    <row r="30" spans="1:10" x14ac:dyDescent="0.6">
      <c r="A30" s="22" t="s">
        <v>120</v>
      </c>
      <c r="B30" s="18"/>
      <c r="C30" s="18"/>
      <c r="D30" s="18"/>
      <c r="E30" s="18"/>
      <c r="F30" s="18"/>
      <c r="G30" s="19"/>
      <c r="H30" s="2" t="s">
        <v>121</v>
      </c>
      <c r="I30" s="11" t="str">
        <f>IF(I29="","",IF(I29&gt;=4.5,"S",IF(I29&gt;=3.5,"A",IF(I29&gt;=2.5,"B",IF(I29&gt;=1.5,"C","D")))))</f>
        <v>D</v>
      </c>
      <c r="J30" s="2" t="s">
        <v>122</v>
      </c>
    </row>
    <row r="31" spans="1:10" ht="42" customHeight="1" x14ac:dyDescent="0.6">
      <c r="A31" s="22" t="s">
        <v>123</v>
      </c>
      <c r="B31" s="19"/>
      <c r="C31" s="23"/>
      <c r="D31" s="18"/>
      <c r="E31" s="18"/>
      <c r="F31" s="18"/>
      <c r="G31" s="18"/>
      <c r="H31" s="18"/>
      <c r="I31" s="18"/>
      <c r="J31" s="19"/>
    </row>
    <row r="33" spans="1:10" ht="22.05" customHeight="1" x14ac:dyDescent="0.6">
      <c r="A33" s="32" t="s">
        <v>124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6">
      <c r="A34" s="1" t="s">
        <v>50</v>
      </c>
      <c r="B34" s="1" t="s">
        <v>125</v>
      </c>
      <c r="C34" s="1" t="s">
        <v>126</v>
      </c>
      <c r="D34" s="1" t="s">
        <v>127</v>
      </c>
      <c r="E34" s="20" t="s">
        <v>128</v>
      </c>
      <c r="F34" s="19"/>
      <c r="G34" s="1" t="s">
        <v>129</v>
      </c>
      <c r="H34" s="1" t="s">
        <v>130</v>
      </c>
    </row>
    <row r="35" spans="1:10" ht="38" customHeight="1" x14ac:dyDescent="0.6">
      <c r="A35" s="3" t="s">
        <v>131</v>
      </c>
      <c r="B35" s="7" t="s">
        <v>132</v>
      </c>
      <c r="C35" s="8" t="s">
        <v>133</v>
      </c>
      <c r="D35" s="7" t="s">
        <v>134</v>
      </c>
      <c r="E35" s="21" t="s">
        <v>135</v>
      </c>
      <c r="F35" s="19"/>
      <c r="G35" s="4" t="s">
        <v>136</v>
      </c>
      <c r="H35" s="9"/>
      <c r="I35" s="23"/>
      <c r="J35" s="19"/>
    </row>
    <row r="36" spans="1:10" ht="38" customHeight="1" x14ac:dyDescent="0.6">
      <c r="A36" s="3" t="s">
        <v>137</v>
      </c>
      <c r="B36" s="7" t="s">
        <v>132</v>
      </c>
      <c r="C36" s="8" t="s">
        <v>138</v>
      </c>
      <c r="D36" s="7" t="s">
        <v>139</v>
      </c>
      <c r="E36" s="21" t="s">
        <v>135</v>
      </c>
      <c r="F36" s="19"/>
      <c r="G36" s="4" t="s">
        <v>140</v>
      </c>
      <c r="H36" s="9"/>
      <c r="I36" s="23"/>
      <c r="J36" s="19"/>
    </row>
    <row r="37" spans="1:10" ht="38" customHeight="1" x14ac:dyDescent="0.6">
      <c r="A37" s="3" t="s">
        <v>141</v>
      </c>
      <c r="B37" s="7" t="s">
        <v>132</v>
      </c>
      <c r="C37" s="8" t="s">
        <v>142</v>
      </c>
      <c r="D37" s="7" t="s">
        <v>143</v>
      </c>
      <c r="E37" s="21" t="s">
        <v>135</v>
      </c>
      <c r="F37" s="19"/>
      <c r="G37" s="4" t="s">
        <v>140</v>
      </c>
      <c r="H37" s="9"/>
      <c r="I37" s="23"/>
      <c r="J37" s="19"/>
    </row>
    <row r="38" spans="1:10" ht="38" customHeight="1" x14ac:dyDescent="0.6">
      <c r="A38" s="3" t="s">
        <v>144</v>
      </c>
      <c r="B38" s="7" t="s">
        <v>145</v>
      </c>
      <c r="C38" s="8" t="s">
        <v>146</v>
      </c>
      <c r="D38" s="7" t="s">
        <v>147</v>
      </c>
      <c r="E38" s="21" t="s">
        <v>135</v>
      </c>
      <c r="F38" s="19"/>
      <c r="G38" s="4" t="s">
        <v>140</v>
      </c>
      <c r="H38" s="9"/>
      <c r="I38" s="23"/>
      <c r="J38" s="19"/>
    </row>
    <row r="39" spans="1:10" ht="38" customHeight="1" x14ac:dyDescent="0.6">
      <c r="A39" s="3" t="s">
        <v>148</v>
      </c>
      <c r="B39" s="7" t="s">
        <v>145</v>
      </c>
      <c r="C39" s="8" t="s">
        <v>149</v>
      </c>
      <c r="D39" s="7" t="s">
        <v>150</v>
      </c>
      <c r="E39" s="21" t="s">
        <v>135</v>
      </c>
      <c r="F39" s="19"/>
      <c r="G39" s="4" t="s">
        <v>140</v>
      </c>
      <c r="H39" s="9"/>
      <c r="I39" s="23"/>
      <c r="J39" s="19"/>
    </row>
    <row r="40" spans="1:10" ht="38" customHeight="1" x14ac:dyDescent="0.6">
      <c r="A40" s="3" t="s">
        <v>151</v>
      </c>
      <c r="B40" s="7" t="s">
        <v>145</v>
      </c>
      <c r="C40" s="8" t="s">
        <v>152</v>
      </c>
      <c r="D40" s="7" t="s">
        <v>153</v>
      </c>
      <c r="E40" s="21" t="s">
        <v>135</v>
      </c>
      <c r="F40" s="19"/>
      <c r="G40" s="4" t="s">
        <v>140</v>
      </c>
      <c r="H40" s="9"/>
      <c r="I40" s="23"/>
      <c r="J40" s="19"/>
    </row>
    <row r="41" spans="1:10" ht="38" customHeight="1" x14ac:dyDescent="0.6">
      <c r="A41" s="3" t="s">
        <v>154</v>
      </c>
      <c r="B41" s="7" t="s">
        <v>155</v>
      </c>
      <c r="C41" s="8" t="s">
        <v>156</v>
      </c>
      <c r="D41" s="7" t="s">
        <v>157</v>
      </c>
      <c r="E41" s="21" t="s">
        <v>135</v>
      </c>
      <c r="F41" s="19"/>
      <c r="G41" s="4" t="s">
        <v>140</v>
      </c>
      <c r="H41" s="9"/>
      <c r="I41" s="23"/>
      <c r="J41" s="19"/>
    </row>
    <row r="42" spans="1:10" ht="38" customHeight="1" x14ac:dyDescent="0.6">
      <c r="A42" s="3" t="s">
        <v>158</v>
      </c>
      <c r="B42" s="7" t="s">
        <v>155</v>
      </c>
      <c r="C42" s="8" t="s">
        <v>159</v>
      </c>
      <c r="D42" s="7" t="s">
        <v>160</v>
      </c>
      <c r="E42" s="21" t="s">
        <v>135</v>
      </c>
      <c r="F42" s="19"/>
      <c r="G42" s="4" t="s">
        <v>140</v>
      </c>
      <c r="H42" s="9"/>
      <c r="I42" s="23"/>
      <c r="J42" s="19"/>
    </row>
    <row r="43" spans="1:10" ht="38" customHeight="1" x14ac:dyDescent="0.6">
      <c r="A43" s="3" t="s">
        <v>161</v>
      </c>
      <c r="B43" s="7" t="s">
        <v>162</v>
      </c>
      <c r="C43" s="8" t="s">
        <v>163</v>
      </c>
      <c r="D43" s="7" t="s">
        <v>164</v>
      </c>
      <c r="E43" s="21" t="s">
        <v>135</v>
      </c>
      <c r="F43" s="19"/>
      <c r="G43" s="4" t="s">
        <v>165</v>
      </c>
      <c r="H43" s="9"/>
      <c r="I43" s="23"/>
      <c r="J43" s="19"/>
    </row>
    <row r="44" spans="1:10" ht="38" customHeight="1" x14ac:dyDescent="0.6">
      <c r="A44" s="3" t="s">
        <v>166</v>
      </c>
      <c r="B44" s="7" t="s">
        <v>162</v>
      </c>
      <c r="C44" s="8" t="s">
        <v>167</v>
      </c>
      <c r="D44" s="7" t="s">
        <v>168</v>
      </c>
      <c r="E44" s="21" t="s">
        <v>135</v>
      </c>
      <c r="F44" s="19"/>
      <c r="G44" s="4" t="s">
        <v>165</v>
      </c>
      <c r="H44" s="9"/>
      <c r="I44" s="23"/>
      <c r="J44" s="19"/>
    </row>
    <row r="45" spans="1:10" ht="38" customHeight="1" x14ac:dyDescent="0.6">
      <c r="A45" s="3" t="s">
        <v>169</v>
      </c>
      <c r="B45" s="7" t="s">
        <v>162</v>
      </c>
      <c r="C45" s="8" t="s">
        <v>170</v>
      </c>
      <c r="D45" s="7" t="s">
        <v>171</v>
      </c>
      <c r="E45" s="21" t="s">
        <v>135</v>
      </c>
      <c r="F45" s="19"/>
      <c r="G45" s="4" t="s">
        <v>165</v>
      </c>
      <c r="H45" s="9"/>
      <c r="I45" s="23"/>
      <c r="J45" s="19"/>
    </row>
    <row r="46" spans="1:10" x14ac:dyDescent="0.6">
      <c r="A46" s="22" t="s">
        <v>172</v>
      </c>
      <c r="B46" s="18"/>
      <c r="C46" s="18"/>
      <c r="D46" s="18"/>
      <c r="E46" s="18"/>
      <c r="F46" s="19"/>
      <c r="G46" s="2" t="s">
        <v>173</v>
      </c>
      <c r="H46" s="10" t="str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 spans="1:10" x14ac:dyDescent="0.6">
      <c r="A47" s="22" t="s">
        <v>174</v>
      </c>
      <c r="B47" s="18"/>
      <c r="C47" s="18"/>
      <c r="D47" s="18"/>
      <c r="E47" s="18"/>
      <c r="F47" s="19"/>
      <c r="G47" s="2" t="s">
        <v>121</v>
      </c>
      <c r="H47" s="11" t="str">
        <f>IF(H46="","",IF(H46&gt;=4.5,"S",IF(H46&gt;=3.5,"A",IF(H46&gt;=2.5,"B",IF(H46&gt;=1.5,"C","D")))))</f>
        <v/>
      </c>
      <c r="I47" s="22" t="s">
        <v>122</v>
      </c>
      <c r="J47" s="19"/>
    </row>
    <row r="48" spans="1:10" ht="42" customHeight="1" x14ac:dyDescent="0.6">
      <c r="A48" s="22" t="s">
        <v>175</v>
      </c>
      <c r="B48" s="19"/>
      <c r="C48" s="23"/>
      <c r="D48" s="18"/>
      <c r="E48" s="18"/>
      <c r="F48" s="18"/>
      <c r="G48" s="18"/>
      <c r="H48" s="18"/>
      <c r="I48" s="18"/>
      <c r="J48" s="19"/>
    </row>
    <row r="50" spans="1:10" ht="22.05" customHeight="1" x14ac:dyDescent="0.6">
      <c r="A50" s="29" t="s">
        <v>176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6">
      <c r="A51" s="1" t="s">
        <v>50</v>
      </c>
      <c r="B51" s="1" t="s">
        <v>177</v>
      </c>
      <c r="C51" s="1" t="s">
        <v>178</v>
      </c>
      <c r="D51" s="1" t="s">
        <v>179</v>
      </c>
      <c r="E51" s="1" t="s">
        <v>180</v>
      </c>
      <c r="F51" s="20" t="s">
        <v>129</v>
      </c>
      <c r="G51" s="19"/>
      <c r="H51" s="13"/>
      <c r="I51" s="13"/>
      <c r="J51" s="13"/>
    </row>
    <row r="52" spans="1:10" ht="55.05" customHeight="1" x14ac:dyDescent="0.6">
      <c r="A52" s="3" t="s">
        <v>181</v>
      </c>
      <c r="B52" s="7" t="s">
        <v>182</v>
      </c>
      <c r="C52" s="8" t="s">
        <v>183</v>
      </c>
      <c r="D52" s="7" t="s">
        <v>184</v>
      </c>
      <c r="E52" s="7" t="s">
        <v>185</v>
      </c>
      <c r="F52" s="23"/>
      <c r="G52" s="19"/>
      <c r="H52" s="23"/>
      <c r="I52" s="18"/>
      <c r="J52" s="19"/>
    </row>
    <row r="53" spans="1:10" ht="55.05" customHeight="1" x14ac:dyDescent="0.6">
      <c r="A53" s="3" t="s">
        <v>186</v>
      </c>
      <c r="B53" s="7" t="s">
        <v>182</v>
      </c>
      <c r="C53" s="8" t="s">
        <v>187</v>
      </c>
      <c r="D53" s="7" t="s">
        <v>188</v>
      </c>
      <c r="E53" s="7" t="s">
        <v>189</v>
      </c>
      <c r="F53" s="23"/>
      <c r="G53" s="19"/>
      <c r="H53" s="23"/>
      <c r="I53" s="18"/>
      <c r="J53" s="19"/>
    </row>
    <row r="54" spans="1:10" ht="55.05" customHeight="1" x14ac:dyDescent="0.6">
      <c r="A54" s="3" t="s">
        <v>190</v>
      </c>
      <c r="B54" s="7" t="s">
        <v>182</v>
      </c>
      <c r="C54" s="8" t="s">
        <v>191</v>
      </c>
      <c r="D54" s="7" t="s">
        <v>192</v>
      </c>
      <c r="E54" s="7" t="s">
        <v>193</v>
      </c>
      <c r="F54" s="23"/>
      <c r="G54" s="19"/>
      <c r="H54" s="23"/>
      <c r="I54" s="18"/>
      <c r="J54" s="19"/>
    </row>
    <row r="55" spans="1:10" ht="55.05" customHeight="1" x14ac:dyDescent="0.6">
      <c r="A55" s="3" t="s">
        <v>194</v>
      </c>
      <c r="B55" s="7" t="s">
        <v>182</v>
      </c>
      <c r="C55" s="8" t="s">
        <v>195</v>
      </c>
      <c r="D55" s="7" t="s">
        <v>196</v>
      </c>
      <c r="E55" s="7" t="s">
        <v>197</v>
      </c>
      <c r="F55" s="23"/>
      <c r="G55" s="19"/>
      <c r="H55" s="23"/>
      <c r="I55" s="18"/>
      <c r="J55" s="19"/>
    </row>
    <row r="56" spans="1:10" ht="55.05" customHeight="1" x14ac:dyDescent="0.6">
      <c r="A56" s="3" t="s">
        <v>198</v>
      </c>
      <c r="B56" s="7" t="s">
        <v>182</v>
      </c>
      <c r="C56" s="8" t="s">
        <v>199</v>
      </c>
      <c r="D56" s="7" t="s">
        <v>200</v>
      </c>
      <c r="E56" s="7" t="s">
        <v>201</v>
      </c>
      <c r="F56" s="23"/>
      <c r="G56" s="19"/>
      <c r="H56" s="23"/>
      <c r="I56" s="18"/>
      <c r="J56" s="19"/>
    </row>
    <row r="57" spans="1:10" x14ac:dyDescent="0.6">
      <c r="A57" s="22" t="s">
        <v>202</v>
      </c>
      <c r="B57" s="18"/>
      <c r="C57" s="18"/>
      <c r="D57" s="19"/>
      <c r="E57" s="2" t="s">
        <v>203</v>
      </c>
      <c r="F57" s="25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>0</v>
      </c>
      <c r="G57" s="19"/>
    </row>
    <row r="58" spans="1:10" x14ac:dyDescent="0.6">
      <c r="A58" s="22" t="s">
        <v>204</v>
      </c>
      <c r="B58" s="18"/>
      <c r="C58" s="18"/>
      <c r="D58" s="19"/>
      <c r="E58" s="2" t="s">
        <v>121</v>
      </c>
      <c r="F58" s="27" t="str">
        <f>IF(F57="","",IF(F57&gt;=4.5,"S",IF(F57&gt;=3.5,"A",IF(F57&gt;=2.5,"B",IF(F57&gt;=1.5,"C","D")))))</f>
        <v>D</v>
      </c>
      <c r="G58" s="19"/>
      <c r="H58" s="22" t="s">
        <v>122</v>
      </c>
      <c r="I58" s="18"/>
      <c r="J58" s="19"/>
    </row>
    <row r="59" spans="1:10" ht="42" customHeight="1" x14ac:dyDescent="0.6">
      <c r="A59" s="22" t="s">
        <v>205</v>
      </c>
      <c r="B59" s="19"/>
      <c r="C59" s="23"/>
      <c r="D59" s="18"/>
      <c r="E59" s="18"/>
      <c r="F59" s="18"/>
      <c r="G59" s="18"/>
      <c r="H59" s="18"/>
      <c r="I59" s="18"/>
      <c r="J59" s="19"/>
    </row>
    <row r="61" spans="1:10" ht="22.05" customHeight="1" x14ac:dyDescent="0.6">
      <c r="A61" s="31" t="s">
        <v>206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6">
      <c r="A62" s="1" t="s">
        <v>207</v>
      </c>
      <c r="B62" s="20" t="s">
        <v>34</v>
      </c>
      <c r="C62" s="19"/>
      <c r="D62" s="20" t="s">
        <v>129</v>
      </c>
      <c r="E62" s="19"/>
      <c r="F62" s="13"/>
      <c r="G62" s="13"/>
      <c r="H62" s="13"/>
      <c r="I62" s="13"/>
      <c r="J62" s="13"/>
    </row>
    <row r="63" spans="1:10" x14ac:dyDescent="0.6">
      <c r="A63" s="5" t="s">
        <v>208</v>
      </c>
      <c r="B63" s="24" t="s">
        <v>209</v>
      </c>
      <c r="C63" s="19"/>
      <c r="D63" s="25">
        <f>I29</f>
        <v>0</v>
      </c>
      <c r="E63" s="19"/>
      <c r="F63" s="27" t="str">
        <f>I30</f>
        <v>D</v>
      </c>
      <c r="G63" s="19"/>
      <c r="H63" s="21" t="s">
        <v>210</v>
      </c>
      <c r="I63" s="18"/>
      <c r="J63" s="19"/>
    </row>
    <row r="64" spans="1:10" x14ac:dyDescent="0.6">
      <c r="A64" s="5" t="s">
        <v>211</v>
      </c>
      <c r="B64" s="24" t="s">
        <v>212</v>
      </c>
      <c r="C64" s="19"/>
      <c r="D64" s="25" t="str">
        <f>H46</f>
        <v/>
      </c>
      <c r="E64" s="19"/>
      <c r="F64" s="27" t="str">
        <f>H47</f>
        <v/>
      </c>
      <c r="G64" s="19"/>
      <c r="H64" s="21" t="s">
        <v>213</v>
      </c>
      <c r="I64" s="18"/>
      <c r="J64" s="19"/>
    </row>
    <row r="65" spans="1:10" x14ac:dyDescent="0.6">
      <c r="A65" s="5" t="s">
        <v>214</v>
      </c>
      <c r="B65" s="24" t="s">
        <v>215</v>
      </c>
      <c r="C65" s="19"/>
      <c r="D65" s="25">
        <f>F57</f>
        <v>0</v>
      </c>
      <c r="E65" s="19"/>
      <c r="F65" s="27" t="str">
        <f>F58</f>
        <v>D</v>
      </c>
      <c r="G65" s="19"/>
      <c r="H65" s="21" t="s">
        <v>216</v>
      </c>
      <c r="I65" s="18"/>
      <c r="J65" s="19"/>
    </row>
    <row r="67" spans="1:10" ht="42" customHeight="1" x14ac:dyDescent="0.6">
      <c r="A67" s="22" t="s">
        <v>217</v>
      </c>
      <c r="B67" s="19"/>
      <c r="C67" s="23"/>
      <c r="D67" s="18"/>
      <c r="E67" s="18"/>
      <c r="F67" s="18"/>
      <c r="G67" s="18"/>
      <c r="H67" s="18"/>
      <c r="I67" s="18"/>
      <c r="J67" s="19"/>
    </row>
    <row r="68" spans="1:10" ht="42" customHeight="1" x14ac:dyDescent="0.6">
      <c r="A68" s="22" t="s">
        <v>218</v>
      </c>
      <c r="B68" s="19"/>
      <c r="C68" s="23"/>
      <c r="D68" s="18"/>
      <c r="E68" s="18"/>
      <c r="F68" s="18"/>
      <c r="G68" s="18"/>
      <c r="H68" s="18"/>
      <c r="I68" s="18"/>
      <c r="J68" s="19"/>
    </row>
    <row r="69" spans="1:10" ht="42" customHeight="1" x14ac:dyDescent="0.6">
      <c r="A69" s="22" t="s">
        <v>219</v>
      </c>
      <c r="B69" s="19"/>
      <c r="C69" s="23"/>
      <c r="D69" s="18"/>
      <c r="E69" s="18"/>
      <c r="F69" s="18"/>
      <c r="G69" s="18"/>
      <c r="H69" s="18"/>
      <c r="I69" s="18"/>
      <c r="J69" s="19"/>
    </row>
  </sheetData>
  <mergeCells count="121"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</mergeCells>
  <phoneticPr fontId="13" type="noConversion"/>
  <conditionalFormatting sqref="F10:F70">
    <cfRule type="cellIs" dxfId="15" priority="1" operator="equal">
      <formula>"S"</formula>
    </cfRule>
    <cfRule type="cellIs" dxfId="14" priority="2" operator="equal">
      <formula>"A"</formula>
    </cfRule>
    <cfRule type="cellIs" dxfId="13" priority="3" operator="equal">
      <formula>"C"</formula>
    </cfRule>
    <cfRule type="cellIs" dxfId="12" priority="4" operator="equal">
      <formula>"D"</formula>
    </cfRule>
  </conditionalFormatting>
  <conditionalFormatting sqref="H10:I70">
    <cfRule type="cellIs" dxfId="11" priority="5" operator="equal">
      <formula>"S"</formula>
    </cfRule>
    <cfRule type="cellIs" dxfId="10" priority="6" operator="equal">
      <formula>"A"</formula>
    </cfRule>
    <cfRule type="cellIs" dxfId="9" priority="7" operator="equal">
      <formula>"C"</formula>
    </cfRule>
    <cfRule type="cellIs" dxfId="8" priority="8" operator="equal">
      <formula>"D"</formula>
    </cfRule>
  </conditionalFormatting>
  <dataValidations count="2">
    <dataValidation type="list" sqref="E19" xr:uid="{00000000-0002-0000-0700-000000000000}">
      <formula1>"상반기,하반기"</formula1>
    </dataValidation>
    <dataValidation type="list" allowBlank="1" sqref="I24:I28 F52:F56 H35:H45" xr:uid="{00000000-0002-0000-0700-000001000000}">
      <formula1>"S,A,B,C,D"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9"/>
  <sheetViews>
    <sheetView showGridLines="0" workbookViewId="0">
      <pane ySplit="3" topLeftCell="A52" activePane="bottomLeft" state="frozen"/>
      <selection pane="bottomLeft" activeCell="F79" sqref="F79:F80"/>
    </sheetView>
  </sheetViews>
  <sheetFormatPr defaultRowHeight="16.899999999999999" x14ac:dyDescent="0.6"/>
  <cols>
    <col min="1" max="1" width="6" customWidth="1"/>
    <col min="2" max="2" width="11" customWidth="1"/>
    <col min="3" max="3" width="14" customWidth="1"/>
    <col min="4" max="4" width="30" customWidth="1"/>
    <col min="5" max="5" width="22" customWidth="1"/>
    <col min="6" max="9" width="10" customWidth="1"/>
    <col min="10" max="10" width="18" customWidth="1"/>
  </cols>
  <sheetData>
    <row r="1" spans="1:10" ht="26" customHeight="1" x14ac:dyDescent="0.6">
      <c r="A1" s="15" t="s">
        <v>232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18" customHeight="1" x14ac:dyDescent="0.6">
      <c r="A2" s="16" t="s">
        <v>82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2.05" customHeight="1" x14ac:dyDescent="0.6">
      <c r="A3" s="26" t="s">
        <v>83</v>
      </c>
      <c r="B3" s="13"/>
      <c r="C3" s="13"/>
      <c r="D3" s="13"/>
      <c r="E3" s="13"/>
      <c r="F3" s="13"/>
      <c r="G3" s="13"/>
      <c r="H3" s="13"/>
      <c r="I3" s="13"/>
      <c r="J3" s="13"/>
    </row>
    <row r="4" spans="1:10" x14ac:dyDescent="0.6">
      <c r="A4" s="12" t="s">
        <v>84</v>
      </c>
      <c r="B4" s="13"/>
      <c r="C4" s="13"/>
      <c r="D4" s="13"/>
      <c r="E4" s="13"/>
      <c r="F4" s="13"/>
      <c r="G4" s="13"/>
      <c r="H4" s="13"/>
      <c r="I4" s="13"/>
      <c r="J4" s="13"/>
    </row>
    <row r="5" spans="1:10" x14ac:dyDescent="0.6">
      <c r="A5" s="12" t="s">
        <v>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6">
      <c r="A6" s="12" t="s">
        <v>86</v>
      </c>
      <c r="B6" s="13"/>
      <c r="C6" s="13"/>
      <c r="D6" s="13"/>
      <c r="E6" s="13"/>
      <c r="F6" s="13"/>
      <c r="G6" s="13"/>
      <c r="H6" s="13"/>
      <c r="I6" s="13"/>
      <c r="J6" s="13"/>
    </row>
    <row r="7" spans="1:10" x14ac:dyDescent="0.6">
      <c r="A7" s="12" t="s">
        <v>87</v>
      </c>
      <c r="B7" s="13"/>
      <c r="C7" s="13"/>
      <c r="D7" s="13"/>
      <c r="E7" s="13"/>
      <c r="F7" s="13"/>
      <c r="G7" s="13"/>
      <c r="H7" s="13"/>
      <c r="I7" s="13"/>
      <c r="J7" s="13"/>
    </row>
    <row r="8" spans="1:10" x14ac:dyDescent="0.6">
      <c r="A8" s="12" t="s">
        <v>88</v>
      </c>
      <c r="B8" s="13"/>
      <c r="C8" s="13"/>
      <c r="D8" s="13"/>
      <c r="E8" s="13"/>
      <c r="F8" s="13"/>
      <c r="G8" s="13"/>
      <c r="H8" s="13"/>
      <c r="I8" s="13"/>
      <c r="J8" s="13"/>
    </row>
    <row r="10" spans="1:10" ht="22.05" customHeight="1" x14ac:dyDescent="0.6">
      <c r="A10" s="28" t="s">
        <v>89</v>
      </c>
      <c r="B10" s="13"/>
      <c r="C10" s="13"/>
      <c r="D10" s="13"/>
      <c r="E10" s="13"/>
      <c r="F10" s="13"/>
      <c r="G10" s="13"/>
      <c r="H10" s="13"/>
      <c r="I10" s="13"/>
      <c r="J10" s="13"/>
    </row>
    <row r="11" spans="1:10" x14ac:dyDescent="0.6">
      <c r="A11" s="22" t="s">
        <v>37</v>
      </c>
      <c r="B11" s="18"/>
      <c r="C11" s="19"/>
      <c r="D11" s="22" t="s">
        <v>38</v>
      </c>
      <c r="E11" s="19"/>
      <c r="F11" s="17"/>
      <c r="G11" s="22" t="s">
        <v>51</v>
      </c>
      <c r="H11" s="19"/>
      <c r="I11" s="17"/>
      <c r="J11" s="19"/>
    </row>
    <row r="12" spans="1:10" x14ac:dyDescent="0.6">
      <c r="A12" s="22" t="s">
        <v>52</v>
      </c>
      <c r="B12" s="18"/>
      <c r="C12" s="19"/>
      <c r="D12" s="22" t="s">
        <v>53</v>
      </c>
      <c r="E12" s="19"/>
      <c r="F12" s="17"/>
      <c r="G12" s="22" t="s">
        <v>54</v>
      </c>
      <c r="H12" s="19"/>
      <c r="I12" s="17"/>
      <c r="J12" s="19"/>
    </row>
    <row r="13" spans="1:10" x14ac:dyDescent="0.6">
      <c r="A13" s="22" t="s">
        <v>90</v>
      </c>
      <c r="B13" s="18"/>
      <c r="C13" s="19"/>
      <c r="D13" s="22" t="s">
        <v>91</v>
      </c>
      <c r="E13" s="19"/>
      <c r="F13" s="17"/>
      <c r="G13" s="22" t="s">
        <v>92</v>
      </c>
      <c r="H13" s="19"/>
      <c r="I13" s="17"/>
      <c r="J13" s="19"/>
    </row>
    <row r="14" spans="1:10" x14ac:dyDescent="0.6">
      <c r="A14" s="22" t="s">
        <v>93</v>
      </c>
      <c r="B14" s="18"/>
      <c r="C14" s="19"/>
      <c r="D14" s="30" t="s">
        <v>233</v>
      </c>
      <c r="E14" s="18"/>
      <c r="F14" s="18"/>
      <c r="G14" s="18"/>
      <c r="H14" s="18"/>
      <c r="I14" s="18"/>
      <c r="J14" s="19"/>
    </row>
    <row r="16" spans="1:10" ht="22.05" customHeight="1" x14ac:dyDescent="0.6">
      <c r="A16" s="28" t="s">
        <v>95</v>
      </c>
      <c r="B16" s="13"/>
      <c r="C16" s="13"/>
      <c r="D16" s="13"/>
      <c r="E16" s="13"/>
      <c r="F16" s="13"/>
      <c r="G16" s="13"/>
      <c r="H16" s="13"/>
      <c r="I16" s="13"/>
      <c r="J16" s="13"/>
    </row>
    <row r="17" spans="1:10" x14ac:dyDescent="0.6">
      <c r="A17" s="22" t="s">
        <v>35</v>
      </c>
      <c r="B17" s="18"/>
      <c r="C17" s="18"/>
      <c r="D17" s="19"/>
      <c r="E17" s="22" t="s">
        <v>37</v>
      </c>
      <c r="F17" s="18"/>
      <c r="G17" s="19"/>
      <c r="H17" s="17"/>
      <c r="I17" s="18"/>
      <c r="J17" s="19"/>
    </row>
    <row r="18" spans="1:10" x14ac:dyDescent="0.6">
      <c r="A18" s="22" t="s">
        <v>36</v>
      </c>
      <c r="B18" s="18"/>
      <c r="C18" s="18"/>
      <c r="D18" s="19"/>
      <c r="E18" s="22" t="s">
        <v>37</v>
      </c>
      <c r="F18" s="18"/>
      <c r="G18" s="19"/>
      <c r="H18" s="17"/>
      <c r="I18" s="18"/>
      <c r="J18" s="19"/>
    </row>
    <row r="19" spans="1:10" x14ac:dyDescent="0.6">
      <c r="A19" s="22" t="s">
        <v>43</v>
      </c>
      <c r="B19" s="18"/>
      <c r="C19" s="18"/>
      <c r="D19" s="19"/>
      <c r="E19" s="17"/>
      <c r="F19" s="18"/>
      <c r="G19" s="19"/>
      <c r="H19" s="17"/>
      <c r="I19" s="18"/>
      <c r="J19" s="19"/>
    </row>
    <row r="21" spans="1:10" ht="22.05" customHeight="1" x14ac:dyDescent="0.6">
      <c r="A21" s="33" t="s">
        <v>96</v>
      </c>
      <c r="B21" s="13"/>
      <c r="C21" s="13"/>
      <c r="D21" s="13"/>
      <c r="E21" s="13"/>
      <c r="F21" s="13"/>
      <c r="G21" s="13"/>
      <c r="H21" s="13"/>
      <c r="I21" s="13"/>
      <c r="J21" s="13"/>
    </row>
    <row r="22" spans="1:10" ht="28.05" customHeight="1" x14ac:dyDescent="0.6">
      <c r="A22" s="22" t="s">
        <v>97</v>
      </c>
      <c r="B22" s="19"/>
      <c r="C22" s="21" t="s">
        <v>234</v>
      </c>
      <c r="D22" s="18"/>
      <c r="E22" s="18"/>
      <c r="F22" s="18"/>
      <c r="G22" s="18"/>
      <c r="H22" s="18"/>
      <c r="I22" s="18"/>
      <c r="J22" s="19"/>
    </row>
    <row r="23" spans="1:10" x14ac:dyDescent="0.6">
      <c r="A23" s="1" t="s">
        <v>50</v>
      </c>
      <c r="B23" s="1" t="s">
        <v>99</v>
      </c>
      <c r="C23" s="1" t="s">
        <v>100</v>
      </c>
      <c r="D23" s="20" t="s">
        <v>101</v>
      </c>
      <c r="E23" s="18"/>
      <c r="F23" s="18"/>
      <c r="G23" s="18"/>
      <c r="H23" s="19"/>
    </row>
    <row r="24" spans="1:10" ht="42" customHeight="1" x14ac:dyDescent="0.6">
      <c r="A24" s="3" t="s">
        <v>102</v>
      </c>
      <c r="B24" s="8" t="s">
        <v>103</v>
      </c>
      <c r="C24" s="7" t="s">
        <v>104</v>
      </c>
      <c r="D24" s="21" t="s">
        <v>105</v>
      </c>
      <c r="E24" s="18"/>
      <c r="F24" s="18"/>
      <c r="G24" s="18"/>
      <c r="H24" s="19"/>
      <c r="I24" s="9"/>
      <c r="J24" s="9"/>
    </row>
    <row r="25" spans="1:10" ht="42" customHeight="1" x14ac:dyDescent="0.6">
      <c r="A25" s="3" t="s">
        <v>106</v>
      </c>
      <c r="B25" s="8" t="s">
        <v>107</v>
      </c>
      <c r="C25" s="7" t="s">
        <v>108</v>
      </c>
      <c r="D25" s="21" t="s">
        <v>105</v>
      </c>
      <c r="E25" s="18"/>
      <c r="F25" s="18"/>
      <c r="G25" s="18"/>
      <c r="H25" s="19"/>
      <c r="I25" s="9"/>
      <c r="J25" s="9"/>
    </row>
    <row r="26" spans="1:10" ht="42" customHeight="1" x14ac:dyDescent="0.6">
      <c r="A26" s="3" t="s">
        <v>109</v>
      </c>
      <c r="B26" s="8" t="s">
        <v>110</v>
      </c>
      <c r="C26" s="7" t="s">
        <v>111</v>
      </c>
      <c r="D26" s="21" t="s">
        <v>105</v>
      </c>
      <c r="E26" s="18"/>
      <c r="F26" s="18"/>
      <c r="G26" s="18"/>
      <c r="H26" s="19"/>
      <c r="I26" s="9"/>
      <c r="J26" s="9"/>
    </row>
    <row r="27" spans="1:10" ht="42" customHeight="1" x14ac:dyDescent="0.6">
      <c r="A27" s="3" t="s">
        <v>112</v>
      </c>
      <c r="B27" s="8" t="s">
        <v>113</v>
      </c>
      <c r="C27" s="7" t="s">
        <v>114</v>
      </c>
      <c r="D27" s="21" t="s">
        <v>105</v>
      </c>
      <c r="E27" s="18"/>
      <c r="F27" s="18"/>
      <c r="G27" s="18"/>
      <c r="H27" s="19"/>
      <c r="I27" s="9"/>
      <c r="J27" s="9"/>
    </row>
    <row r="28" spans="1:10" ht="42" customHeight="1" x14ac:dyDescent="0.6">
      <c r="A28" s="3" t="s">
        <v>115</v>
      </c>
      <c r="B28" s="8" t="s">
        <v>116</v>
      </c>
      <c r="C28" s="7" t="s">
        <v>117</v>
      </c>
      <c r="D28" s="21" t="s">
        <v>105</v>
      </c>
      <c r="E28" s="18"/>
      <c r="F28" s="18"/>
      <c r="G28" s="18"/>
      <c r="H28" s="19"/>
      <c r="I28" s="9"/>
      <c r="J28" s="9"/>
    </row>
    <row r="29" spans="1:10" x14ac:dyDescent="0.6">
      <c r="A29" s="22" t="s">
        <v>118</v>
      </c>
      <c r="B29" s="18"/>
      <c r="C29" s="18"/>
      <c r="D29" s="18"/>
      <c r="E29" s="18"/>
      <c r="F29" s="18"/>
      <c r="G29" s="19"/>
      <c r="H29" s="2" t="s">
        <v>119</v>
      </c>
      <c r="I29" s="10">
        <f>IFERROR((IF(I24="S",5,IF(I24="A",4,IF(I24="B",3,IF(I24="C",2,IF(I24="D",1,0)))))+IF(I25="S",5,IF(I25="A",4,IF(I25="B",3,IF(I25="C",2,IF(I25="D",1,0)))))+IF(I26="S",5,IF(I26="A",4,IF(I26="B",3,IF(I26="C",2,IF(I26="D",1,0)))))+IF(I27="S",5,IF(I27="A",4,IF(I27="B",3,IF(I27="C",2,IF(I27="D",1,0)))))+IF(I28="S",5,IF(I28="A",4,IF(I28="B",3,IF(I28="C",2,IF(I28="D",1,0))))))/5,0)</f>
        <v>0</v>
      </c>
    </row>
    <row r="30" spans="1:10" x14ac:dyDescent="0.6">
      <c r="A30" s="22" t="s">
        <v>120</v>
      </c>
      <c r="B30" s="18"/>
      <c r="C30" s="18"/>
      <c r="D30" s="18"/>
      <c r="E30" s="18"/>
      <c r="F30" s="18"/>
      <c r="G30" s="19"/>
      <c r="H30" s="2" t="s">
        <v>121</v>
      </c>
      <c r="I30" s="11" t="str">
        <f>IF(I29="","",IF(I29&gt;=4.5,"S",IF(I29&gt;=3.5,"A",IF(I29&gt;=2.5,"B",IF(I29&gt;=1.5,"C","D")))))</f>
        <v>D</v>
      </c>
      <c r="J30" s="2" t="s">
        <v>122</v>
      </c>
    </row>
    <row r="31" spans="1:10" ht="42" customHeight="1" x14ac:dyDescent="0.6">
      <c r="A31" s="22" t="s">
        <v>123</v>
      </c>
      <c r="B31" s="19"/>
      <c r="C31" s="23"/>
      <c r="D31" s="18"/>
      <c r="E31" s="18"/>
      <c r="F31" s="18"/>
      <c r="G31" s="18"/>
      <c r="H31" s="18"/>
      <c r="I31" s="18"/>
      <c r="J31" s="19"/>
    </row>
    <row r="33" spans="1:10" ht="22.05" customHeight="1" x14ac:dyDescent="0.6">
      <c r="A33" s="32" t="s">
        <v>124</v>
      </c>
      <c r="B33" s="13"/>
      <c r="C33" s="13"/>
      <c r="D33" s="13"/>
      <c r="E33" s="13"/>
      <c r="F33" s="13"/>
      <c r="G33" s="13"/>
      <c r="H33" s="13"/>
      <c r="I33" s="13"/>
      <c r="J33" s="13"/>
    </row>
    <row r="34" spans="1:10" x14ac:dyDescent="0.6">
      <c r="A34" s="1" t="s">
        <v>50</v>
      </c>
      <c r="B34" s="1" t="s">
        <v>125</v>
      </c>
      <c r="C34" s="1" t="s">
        <v>126</v>
      </c>
      <c r="D34" s="1" t="s">
        <v>127</v>
      </c>
      <c r="E34" s="20" t="s">
        <v>128</v>
      </c>
      <c r="F34" s="19"/>
      <c r="G34" s="1" t="s">
        <v>129</v>
      </c>
      <c r="H34" s="1" t="s">
        <v>130</v>
      </c>
    </row>
    <row r="35" spans="1:10" ht="38" customHeight="1" x14ac:dyDescent="0.6">
      <c r="A35" s="3" t="s">
        <v>131</v>
      </c>
      <c r="B35" s="7" t="s">
        <v>132</v>
      </c>
      <c r="C35" s="8" t="s">
        <v>133</v>
      </c>
      <c r="D35" s="7" t="s">
        <v>134</v>
      </c>
      <c r="E35" s="21" t="s">
        <v>135</v>
      </c>
      <c r="F35" s="19"/>
      <c r="G35" s="4" t="s">
        <v>136</v>
      </c>
      <c r="H35" s="9"/>
      <c r="I35" s="23"/>
      <c r="J35" s="19"/>
    </row>
    <row r="36" spans="1:10" ht="38" customHeight="1" x14ac:dyDescent="0.6">
      <c r="A36" s="3" t="s">
        <v>137</v>
      </c>
      <c r="B36" s="7" t="s">
        <v>132</v>
      </c>
      <c r="C36" s="8" t="s">
        <v>138</v>
      </c>
      <c r="D36" s="7" t="s">
        <v>139</v>
      </c>
      <c r="E36" s="21" t="s">
        <v>135</v>
      </c>
      <c r="F36" s="19"/>
      <c r="G36" s="4" t="s">
        <v>140</v>
      </c>
      <c r="H36" s="9"/>
      <c r="I36" s="23"/>
      <c r="J36" s="19"/>
    </row>
    <row r="37" spans="1:10" ht="38" customHeight="1" x14ac:dyDescent="0.6">
      <c r="A37" s="3" t="s">
        <v>141</v>
      </c>
      <c r="B37" s="7" t="s">
        <v>132</v>
      </c>
      <c r="C37" s="8" t="s">
        <v>142</v>
      </c>
      <c r="D37" s="7" t="s">
        <v>143</v>
      </c>
      <c r="E37" s="21" t="s">
        <v>135</v>
      </c>
      <c r="F37" s="19"/>
      <c r="G37" s="4" t="s">
        <v>140</v>
      </c>
      <c r="H37" s="9"/>
      <c r="I37" s="23"/>
      <c r="J37" s="19"/>
    </row>
    <row r="38" spans="1:10" ht="38" customHeight="1" x14ac:dyDescent="0.6">
      <c r="A38" s="3" t="s">
        <v>144</v>
      </c>
      <c r="B38" s="7" t="s">
        <v>145</v>
      </c>
      <c r="C38" s="8" t="s">
        <v>146</v>
      </c>
      <c r="D38" s="7" t="s">
        <v>147</v>
      </c>
      <c r="E38" s="21" t="s">
        <v>135</v>
      </c>
      <c r="F38" s="19"/>
      <c r="G38" s="4" t="s">
        <v>140</v>
      </c>
      <c r="H38" s="9"/>
      <c r="I38" s="23"/>
      <c r="J38" s="19"/>
    </row>
    <row r="39" spans="1:10" ht="38" customHeight="1" x14ac:dyDescent="0.6">
      <c r="A39" s="3" t="s">
        <v>148</v>
      </c>
      <c r="B39" s="7" t="s">
        <v>145</v>
      </c>
      <c r="C39" s="8" t="s">
        <v>149</v>
      </c>
      <c r="D39" s="7" t="s">
        <v>150</v>
      </c>
      <c r="E39" s="21" t="s">
        <v>135</v>
      </c>
      <c r="F39" s="19"/>
      <c r="G39" s="4" t="s">
        <v>140</v>
      </c>
      <c r="H39" s="9"/>
      <c r="I39" s="23"/>
      <c r="J39" s="19"/>
    </row>
    <row r="40" spans="1:10" ht="38" customHeight="1" x14ac:dyDescent="0.6">
      <c r="A40" s="3" t="s">
        <v>151</v>
      </c>
      <c r="B40" s="7" t="s">
        <v>145</v>
      </c>
      <c r="C40" s="8" t="s">
        <v>152</v>
      </c>
      <c r="D40" s="7" t="s">
        <v>153</v>
      </c>
      <c r="E40" s="21" t="s">
        <v>135</v>
      </c>
      <c r="F40" s="19"/>
      <c r="G40" s="4" t="s">
        <v>140</v>
      </c>
      <c r="H40" s="9"/>
      <c r="I40" s="23"/>
      <c r="J40" s="19"/>
    </row>
    <row r="41" spans="1:10" ht="38" customHeight="1" x14ac:dyDescent="0.6">
      <c r="A41" s="3" t="s">
        <v>154</v>
      </c>
      <c r="B41" s="7" t="s">
        <v>155</v>
      </c>
      <c r="C41" s="8" t="s">
        <v>156</v>
      </c>
      <c r="D41" s="7" t="s">
        <v>157</v>
      </c>
      <c r="E41" s="21" t="s">
        <v>135</v>
      </c>
      <c r="F41" s="19"/>
      <c r="G41" s="4" t="s">
        <v>140</v>
      </c>
      <c r="H41" s="9"/>
      <c r="I41" s="23"/>
      <c r="J41" s="19"/>
    </row>
    <row r="42" spans="1:10" ht="38" customHeight="1" x14ac:dyDescent="0.6">
      <c r="A42" s="3" t="s">
        <v>158</v>
      </c>
      <c r="B42" s="7" t="s">
        <v>155</v>
      </c>
      <c r="C42" s="8" t="s">
        <v>159</v>
      </c>
      <c r="D42" s="7" t="s">
        <v>160</v>
      </c>
      <c r="E42" s="21" t="s">
        <v>135</v>
      </c>
      <c r="F42" s="19"/>
      <c r="G42" s="4" t="s">
        <v>140</v>
      </c>
      <c r="H42" s="9"/>
      <c r="I42" s="23"/>
      <c r="J42" s="19"/>
    </row>
    <row r="43" spans="1:10" ht="38" customHeight="1" x14ac:dyDescent="0.6">
      <c r="A43" s="3" t="s">
        <v>161</v>
      </c>
      <c r="B43" s="7" t="s">
        <v>162</v>
      </c>
      <c r="C43" s="8" t="s">
        <v>163</v>
      </c>
      <c r="D43" s="7" t="s">
        <v>164</v>
      </c>
      <c r="E43" s="21" t="s">
        <v>135</v>
      </c>
      <c r="F43" s="19"/>
      <c r="G43" s="4" t="s">
        <v>165</v>
      </c>
      <c r="H43" s="9"/>
      <c r="I43" s="23"/>
      <c r="J43" s="19"/>
    </row>
    <row r="44" spans="1:10" ht="38" customHeight="1" x14ac:dyDescent="0.6">
      <c r="A44" s="3" t="s">
        <v>166</v>
      </c>
      <c r="B44" s="7" t="s">
        <v>162</v>
      </c>
      <c r="C44" s="8" t="s">
        <v>167</v>
      </c>
      <c r="D44" s="7" t="s">
        <v>168</v>
      </c>
      <c r="E44" s="21" t="s">
        <v>135</v>
      </c>
      <c r="F44" s="19"/>
      <c r="G44" s="4" t="s">
        <v>165</v>
      </c>
      <c r="H44" s="9"/>
      <c r="I44" s="23"/>
      <c r="J44" s="19"/>
    </row>
    <row r="45" spans="1:10" ht="38" customHeight="1" x14ac:dyDescent="0.6">
      <c r="A45" s="3" t="s">
        <v>169</v>
      </c>
      <c r="B45" s="7" t="s">
        <v>162</v>
      </c>
      <c r="C45" s="8" t="s">
        <v>170</v>
      </c>
      <c r="D45" s="7" t="s">
        <v>171</v>
      </c>
      <c r="E45" s="21" t="s">
        <v>135</v>
      </c>
      <c r="F45" s="19"/>
      <c r="G45" s="4" t="s">
        <v>165</v>
      </c>
      <c r="H45" s="9"/>
      <c r="I45" s="23"/>
      <c r="J45" s="19"/>
    </row>
    <row r="46" spans="1:10" x14ac:dyDescent="0.6">
      <c r="A46" s="22" t="s">
        <v>172</v>
      </c>
      <c r="B46" s="18"/>
      <c r="C46" s="18"/>
      <c r="D46" s="18"/>
      <c r="E46" s="18"/>
      <c r="F46" s="19"/>
      <c r="G46" s="2" t="s">
        <v>173</v>
      </c>
      <c r="H46" s="10" t="str">
        <f>IF(COUNTBLANK(H35:H45)&gt;0,"",0.15*(IF(H35="S",5,IF(H35="A",4,IF(H35="B",3,IF(H35="C",2,IF(H35="D",1,0))))))+0.1*(IF(H36="S",5,IF(H36="A",4,IF(H36="B",3,IF(H36="C",2,IF(H36="D",1,0))))))+0.1*(IF(H37="S",5,IF(H37="A",4,IF(H37="B",3,IF(H37="C",2,IF(H37="D",1,0))))))+0.1*(IF(H38="S",5,IF(H38="A",4,IF(H38="B",3,IF(H38="C",2,IF(H38="D",1,0))))))+0.1*(IF(H39="S",5,IF(H39="A",4,IF(H39="B",3,IF(H39="C",2,IF(H39="D",1,0))))))+0.1*(IF(H40="S",5,IF(H40="A",4,IF(H40="B",3,IF(H40="C",2,IF(H40="D",1,0))))))+0.1*(IF(H41="S",5,IF(H41="A",4,IF(H41="B",3,IF(H41="C",2,IF(H41="D",1,0))))))+0.1*(IF(H42="S",5,IF(H42="A",4,IF(H42="B",3,IF(H42="C",2,IF(H42="D",1,0))))))+0.05*(IF(H43="S",5,IF(H43="A",4,IF(H43="B",3,IF(H43="C",2,IF(H43="D",1,0))))))+0.05*(IF(H44="S",5,IF(H44="A",4,IF(H44="B",3,IF(H44="C",2,IF(H44="D",1,0))))))+0.05*(IF(H45="S",5,IF(H45="A",4,IF(H45="B",3,IF(H45="C",2,IF(H45="D",1,0)))))))</f>
        <v/>
      </c>
    </row>
    <row r="47" spans="1:10" x14ac:dyDescent="0.6">
      <c r="A47" s="22" t="s">
        <v>174</v>
      </c>
      <c r="B47" s="18"/>
      <c r="C47" s="18"/>
      <c r="D47" s="18"/>
      <c r="E47" s="18"/>
      <c r="F47" s="19"/>
      <c r="G47" s="2" t="s">
        <v>121</v>
      </c>
      <c r="H47" s="11" t="str">
        <f>IF(H46="","",IF(H46&gt;=4.5,"S",IF(H46&gt;=3.5,"A",IF(H46&gt;=2.5,"B",IF(H46&gt;=1.5,"C","D")))))</f>
        <v/>
      </c>
      <c r="I47" s="22" t="s">
        <v>122</v>
      </c>
      <c r="J47" s="19"/>
    </row>
    <row r="48" spans="1:10" ht="42" customHeight="1" x14ac:dyDescent="0.6">
      <c r="A48" s="22" t="s">
        <v>175</v>
      </c>
      <c r="B48" s="19"/>
      <c r="C48" s="23"/>
      <c r="D48" s="18"/>
      <c r="E48" s="18"/>
      <c r="F48" s="18"/>
      <c r="G48" s="18"/>
      <c r="H48" s="18"/>
      <c r="I48" s="18"/>
      <c r="J48" s="19"/>
    </row>
    <row r="50" spans="1:10" ht="22.05" customHeight="1" x14ac:dyDescent="0.6">
      <c r="A50" s="29" t="s">
        <v>176</v>
      </c>
      <c r="B50" s="13"/>
      <c r="C50" s="13"/>
      <c r="D50" s="13"/>
      <c r="E50" s="13"/>
      <c r="F50" s="13"/>
      <c r="G50" s="13"/>
      <c r="H50" s="13"/>
      <c r="I50" s="13"/>
      <c r="J50" s="13"/>
    </row>
    <row r="51" spans="1:10" x14ac:dyDescent="0.6">
      <c r="A51" s="1" t="s">
        <v>50</v>
      </c>
      <c r="B51" s="1" t="s">
        <v>177</v>
      </c>
      <c r="C51" s="1" t="s">
        <v>178</v>
      </c>
      <c r="D51" s="1" t="s">
        <v>179</v>
      </c>
      <c r="E51" s="1" t="s">
        <v>180</v>
      </c>
      <c r="F51" s="20" t="s">
        <v>129</v>
      </c>
      <c r="G51" s="19"/>
      <c r="H51" s="13"/>
      <c r="I51" s="13"/>
      <c r="J51" s="13"/>
    </row>
    <row r="52" spans="1:10" ht="55.05" customHeight="1" x14ac:dyDescent="0.6">
      <c r="A52" s="3" t="s">
        <v>181</v>
      </c>
      <c r="B52" s="7" t="s">
        <v>182</v>
      </c>
      <c r="C52" s="8" t="s">
        <v>183</v>
      </c>
      <c r="D52" s="7" t="s">
        <v>184</v>
      </c>
      <c r="E52" s="7" t="s">
        <v>185</v>
      </c>
      <c r="F52" s="23"/>
      <c r="G52" s="19"/>
      <c r="H52" s="23"/>
      <c r="I52" s="18"/>
      <c r="J52" s="19"/>
    </row>
    <row r="53" spans="1:10" ht="55.05" customHeight="1" x14ac:dyDescent="0.6">
      <c r="A53" s="3" t="s">
        <v>186</v>
      </c>
      <c r="B53" s="7" t="s">
        <v>182</v>
      </c>
      <c r="C53" s="8" t="s">
        <v>187</v>
      </c>
      <c r="D53" s="7" t="s">
        <v>188</v>
      </c>
      <c r="E53" s="7" t="s">
        <v>189</v>
      </c>
      <c r="F53" s="23"/>
      <c r="G53" s="19"/>
      <c r="H53" s="23"/>
      <c r="I53" s="18"/>
      <c r="J53" s="19"/>
    </row>
    <row r="54" spans="1:10" ht="55.05" customHeight="1" x14ac:dyDescent="0.6">
      <c r="A54" s="3" t="s">
        <v>190</v>
      </c>
      <c r="B54" s="7" t="s">
        <v>182</v>
      </c>
      <c r="C54" s="8" t="s">
        <v>191</v>
      </c>
      <c r="D54" s="7" t="s">
        <v>192</v>
      </c>
      <c r="E54" s="7" t="s">
        <v>193</v>
      </c>
      <c r="F54" s="23"/>
      <c r="G54" s="19"/>
      <c r="H54" s="23"/>
      <c r="I54" s="18"/>
      <c r="J54" s="19"/>
    </row>
    <row r="55" spans="1:10" ht="55.05" customHeight="1" x14ac:dyDescent="0.6">
      <c r="A55" s="3" t="s">
        <v>194</v>
      </c>
      <c r="B55" s="7" t="s">
        <v>182</v>
      </c>
      <c r="C55" s="8" t="s">
        <v>195</v>
      </c>
      <c r="D55" s="7" t="s">
        <v>196</v>
      </c>
      <c r="E55" s="7" t="s">
        <v>197</v>
      </c>
      <c r="F55" s="23"/>
      <c r="G55" s="19"/>
      <c r="H55" s="23"/>
      <c r="I55" s="18"/>
      <c r="J55" s="19"/>
    </row>
    <row r="56" spans="1:10" ht="55.05" customHeight="1" x14ac:dyDescent="0.6">
      <c r="A56" s="3" t="s">
        <v>198</v>
      </c>
      <c r="B56" s="7" t="s">
        <v>182</v>
      </c>
      <c r="C56" s="8" t="s">
        <v>199</v>
      </c>
      <c r="D56" s="7" t="s">
        <v>200</v>
      </c>
      <c r="E56" s="7" t="s">
        <v>201</v>
      </c>
      <c r="F56" s="23"/>
      <c r="G56" s="19"/>
      <c r="H56" s="23"/>
      <c r="I56" s="18"/>
      <c r="J56" s="19"/>
    </row>
    <row r="57" spans="1:10" x14ac:dyDescent="0.6">
      <c r="A57" s="22" t="s">
        <v>202</v>
      </c>
      <c r="B57" s="18"/>
      <c r="C57" s="18"/>
      <c r="D57" s="19"/>
      <c r="E57" s="2" t="s">
        <v>203</v>
      </c>
      <c r="F57" s="25">
        <f>IFERROR((IF(F52="S",5,IF(F52="A",4,IF(F52="B",3,IF(F52="C",2,IF(F52="D",1,0)))))+IF(F53="S",5,IF(F53="A",4,IF(F53="B",3,IF(F53="C",2,IF(F53="D",1,0)))))+IF(F54="S",5,IF(F54="A",4,IF(F54="B",3,IF(F54="C",2,IF(F54="D",1,0)))))+IF(F55="S",5,IF(F55="A",4,IF(F55="B",3,IF(F55="C",2,IF(F55="D",1,0)))))+IF(F56="S",5,IF(F56="A",4,IF(F56="B",3,IF(F56="C",2,IF(F56="D",1,0))))))/5,0)</f>
        <v>0</v>
      </c>
      <c r="G57" s="19"/>
    </row>
    <row r="58" spans="1:10" x14ac:dyDescent="0.6">
      <c r="A58" s="22" t="s">
        <v>204</v>
      </c>
      <c r="B58" s="18"/>
      <c r="C58" s="18"/>
      <c r="D58" s="19"/>
      <c r="E58" s="2" t="s">
        <v>121</v>
      </c>
      <c r="F58" s="27" t="str">
        <f>IF(F57="","",IF(F57&gt;=4.5,"S",IF(F57&gt;=3.5,"A",IF(F57&gt;=2.5,"B",IF(F57&gt;=1.5,"C","D")))))</f>
        <v>D</v>
      </c>
      <c r="G58" s="19"/>
      <c r="H58" s="22" t="s">
        <v>122</v>
      </c>
      <c r="I58" s="18"/>
      <c r="J58" s="19"/>
    </row>
    <row r="59" spans="1:10" ht="42" customHeight="1" x14ac:dyDescent="0.6">
      <c r="A59" s="22" t="s">
        <v>205</v>
      </c>
      <c r="B59" s="19"/>
      <c r="C59" s="23"/>
      <c r="D59" s="18"/>
      <c r="E59" s="18"/>
      <c r="F59" s="18"/>
      <c r="G59" s="18"/>
      <c r="H59" s="18"/>
      <c r="I59" s="18"/>
      <c r="J59" s="19"/>
    </row>
    <row r="61" spans="1:10" ht="22.05" customHeight="1" x14ac:dyDescent="0.6">
      <c r="A61" s="31" t="s">
        <v>206</v>
      </c>
      <c r="B61" s="13"/>
      <c r="C61" s="13"/>
      <c r="D61" s="13"/>
      <c r="E61" s="13"/>
      <c r="F61" s="13"/>
      <c r="G61" s="13"/>
      <c r="H61" s="13"/>
      <c r="I61" s="13"/>
      <c r="J61" s="13"/>
    </row>
    <row r="62" spans="1:10" x14ac:dyDescent="0.6">
      <c r="A62" s="1" t="s">
        <v>207</v>
      </c>
      <c r="B62" s="20" t="s">
        <v>34</v>
      </c>
      <c r="C62" s="19"/>
      <c r="D62" s="20" t="s">
        <v>129</v>
      </c>
      <c r="E62" s="19"/>
      <c r="F62" s="13"/>
      <c r="G62" s="13"/>
      <c r="H62" s="13"/>
      <c r="I62" s="13"/>
      <c r="J62" s="13"/>
    </row>
    <row r="63" spans="1:10" x14ac:dyDescent="0.6">
      <c r="A63" s="5" t="s">
        <v>208</v>
      </c>
      <c r="B63" s="24" t="s">
        <v>209</v>
      </c>
      <c r="C63" s="19"/>
      <c r="D63" s="25">
        <f>I29</f>
        <v>0</v>
      </c>
      <c r="E63" s="19"/>
      <c r="F63" s="27" t="str">
        <f>I30</f>
        <v>D</v>
      </c>
      <c r="G63" s="19"/>
      <c r="H63" s="21" t="s">
        <v>210</v>
      </c>
      <c r="I63" s="18"/>
      <c r="J63" s="19"/>
    </row>
    <row r="64" spans="1:10" x14ac:dyDescent="0.6">
      <c r="A64" s="5" t="s">
        <v>211</v>
      </c>
      <c r="B64" s="24" t="s">
        <v>212</v>
      </c>
      <c r="C64" s="19"/>
      <c r="D64" s="25" t="str">
        <f>H46</f>
        <v/>
      </c>
      <c r="E64" s="19"/>
      <c r="F64" s="27" t="str">
        <f>H47</f>
        <v/>
      </c>
      <c r="G64" s="19"/>
      <c r="H64" s="21" t="s">
        <v>213</v>
      </c>
      <c r="I64" s="18"/>
      <c r="J64" s="19"/>
    </row>
    <row r="65" spans="1:10" x14ac:dyDescent="0.6">
      <c r="A65" s="5" t="s">
        <v>214</v>
      </c>
      <c r="B65" s="24" t="s">
        <v>215</v>
      </c>
      <c r="C65" s="19"/>
      <c r="D65" s="25">
        <f>F57</f>
        <v>0</v>
      </c>
      <c r="E65" s="19"/>
      <c r="F65" s="27" t="str">
        <f>F58</f>
        <v>D</v>
      </c>
      <c r="G65" s="19"/>
      <c r="H65" s="21" t="s">
        <v>216</v>
      </c>
      <c r="I65" s="18"/>
      <c r="J65" s="19"/>
    </row>
    <row r="67" spans="1:10" ht="42" customHeight="1" x14ac:dyDescent="0.6">
      <c r="A67" s="22" t="s">
        <v>217</v>
      </c>
      <c r="B67" s="19"/>
      <c r="C67" s="23"/>
      <c r="D67" s="18"/>
      <c r="E67" s="18"/>
      <c r="F67" s="18"/>
      <c r="G67" s="18"/>
      <c r="H67" s="18"/>
      <c r="I67" s="18"/>
      <c r="J67" s="19"/>
    </row>
    <row r="68" spans="1:10" ht="42" customHeight="1" x14ac:dyDescent="0.6">
      <c r="A68" s="22" t="s">
        <v>218</v>
      </c>
      <c r="B68" s="19"/>
      <c r="C68" s="23"/>
      <c r="D68" s="18"/>
      <c r="E68" s="18"/>
      <c r="F68" s="18"/>
      <c r="G68" s="18"/>
      <c r="H68" s="18"/>
      <c r="I68" s="18"/>
      <c r="J68" s="19"/>
    </row>
    <row r="69" spans="1:10" ht="42" customHeight="1" x14ac:dyDescent="0.6">
      <c r="A69" s="22" t="s">
        <v>219</v>
      </c>
      <c r="B69" s="19"/>
      <c r="C69" s="23"/>
      <c r="D69" s="18"/>
      <c r="E69" s="18"/>
      <c r="F69" s="18"/>
      <c r="G69" s="18"/>
      <c r="H69" s="18"/>
      <c r="I69" s="18"/>
      <c r="J69" s="19"/>
    </row>
  </sheetData>
  <mergeCells count="121">
    <mergeCell ref="A1:J1"/>
    <mergeCell ref="I12:J12"/>
    <mergeCell ref="H62:J62"/>
    <mergeCell ref="E45:F45"/>
    <mergeCell ref="I39:J39"/>
    <mergeCell ref="F58:G58"/>
    <mergeCell ref="B65:C65"/>
    <mergeCell ref="F52:G52"/>
    <mergeCell ref="A18:D18"/>
    <mergeCell ref="A11:C11"/>
    <mergeCell ref="H54:J54"/>
    <mergeCell ref="I38:J38"/>
    <mergeCell ref="D24:H24"/>
    <mergeCell ref="A21:J21"/>
    <mergeCell ref="E37:F37"/>
    <mergeCell ref="H56:J56"/>
    <mergeCell ref="A31:B31"/>
    <mergeCell ref="I40:J40"/>
    <mergeCell ref="D26:H26"/>
    <mergeCell ref="C68:J68"/>
    <mergeCell ref="F65:G65"/>
    <mergeCell ref="E42:F42"/>
    <mergeCell ref="A29:G29"/>
    <mergeCell ref="I36:J36"/>
    <mergeCell ref="A10:J10"/>
    <mergeCell ref="E35:F35"/>
    <mergeCell ref="F55:G55"/>
    <mergeCell ref="F51:G51"/>
    <mergeCell ref="C22:J22"/>
    <mergeCell ref="C31:J31"/>
    <mergeCell ref="A2:J2"/>
    <mergeCell ref="F64:G64"/>
    <mergeCell ref="F13"/>
    <mergeCell ref="C69:J69"/>
    <mergeCell ref="E19:G19"/>
    <mergeCell ref="A46:F46"/>
    <mergeCell ref="D63:E63"/>
    <mergeCell ref="G11:H11"/>
    <mergeCell ref="H52:J52"/>
    <mergeCell ref="I11:J11"/>
    <mergeCell ref="I45:J45"/>
    <mergeCell ref="E39:F39"/>
    <mergeCell ref="D65:E65"/>
    <mergeCell ref="E44:F44"/>
    <mergeCell ref="A69:B69"/>
    <mergeCell ref="D14:J14"/>
    <mergeCell ref="F53:G53"/>
    <mergeCell ref="I47:J47"/>
    <mergeCell ref="H65:J65"/>
    <mergeCell ref="I37:J37"/>
    <mergeCell ref="G13:H13"/>
    <mergeCell ref="H18:J18"/>
    <mergeCell ref="A61:J61"/>
    <mergeCell ref="H53:J53"/>
    <mergeCell ref="A13:C13"/>
    <mergeCell ref="F62:G62"/>
    <mergeCell ref="A7:J7"/>
    <mergeCell ref="A16:J16"/>
    <mergeCell ref="I35:J35"/>
    <mergeCell ref="D25:H25"/>
    <mergeCell ref="C67:J67"/>
    <mergeCell ref="E17:G17"/>
    <mergeCell ref="A50:J50"/>
    <mergeCell ref="D12:E12"/>
    <mergeCell ref="H63:J63"/>
    <mergeCell ref="E41:F41"/>
    <mergeCell ref="H55:J55"/>
    <mergeCell ref="A57:D57"/>
    <mergeCell ref="A67:B67"/>
    <mergeCell ref="A33:J33"/>
    <mergeCell ref="E43:F43"/>
    <mergeCell ref="B62:C62"/>
    <mergeCell ref="A8:J8"/>
    <mergeCell ref="D62:E62"/>
    <mergeCell ref="F56:G56"/>
    <mergeCell ref="A22:B22"/>
    <mergeCell ref="I44:J44"/>
    <mergeCell ref="C48:J48"/>
    <mergeCell ref="B64:C64"/>
    <mergeCell ref="D64:E64"/>
    <mergeCell ref="A68:B68"/>
    <mergeCell ref="A3:J3"/>
    <mergeCell ref="H58:J58"/>
    <mergeCell ref="D23:H23"/>
    <mergeCell ref="I13:J13"/>
    <mergeCell ref="B63:C63"/>
    <mergeCell ref="F57:G57"/>
    <mergeCell ref="H64:J64"/>
    <mergeCell ref="A48:B48"/>
    <mergeCell ref="A5:J5"/>
    <mergeCell ref="A17:D17"/>
    <mergeCell ref="G12:H12"/>
    <mergeCell ref="H51:J51"/>
    <mergeCell ref="A59:B59"/>
    <mergeCell ref="F54:G54"/>
    <mergeCell ref="F63:G63"/>
    <mergeCell ref="A4:J4"/>
    <mergeCell ref="H17:J17"/>
    <mergeCell ref="A47:F47"/>
    <mergeCell ref="A58:D58"/>
    <mergeCell ref="D13:E13"/>
    <mergeCell ref="H19:J19"/>
    <mergeCell ref="A30:G30"/>
    <mergeCell ref="E34:F34"/>
    <mergeCell ref="C59:J59"/>
    <mergeCell ref="A6:J6"/>
    <mergeCell ref="F12"/>
    <mergeCell ref="I42:J42"/>
    <mergeCell ref="D28:H28"/>
    <mergeCell ref="E18:G18"/>
    <mergeCell ref="E36:F36"/>
    <mergeCell ref="A19:D19"/>
    <mergeCell ref="A12:C12"/>
    <mergeCell ref="E38:F38"/>
    <mergeCell ref="D11:E11"/>
    <mergeCell ref="A14:C14"/>
    <mergeCell ref="I41:J41"/>
    <mergeCell ref="F11"/>
    <mergeCell ref="D27:H27"/>
    <mergeCell ref="E40:F40"/>
    <mergeCell ref="I43:J43"/>
  </mergeCells>
  <phoneticPr fontId="13" type="noConversion"/>
  <conditionalFormatting sqref="F10:F70">
    <cfRule type="cellIs" dxfId="7" priority="1" operator="equal">
      <formula>"S"</formula>
    </cfRule>
    <cfRule type="cellIs" dxfId="6" priority="2" operator="equal">
      <formula>"A"</formula>
    </cfRule>
    <cfRule type="cellIs" dxfId="5" priority="3" operator="equal">
      <formula>"C"</formula>
    </cfRule>
    <cfRule type="cellIs" dxfId="4" priority="4" operator="equal">
      <formula>"D"</formula>
    </cfRule>
  </conditionalFormatting>
  <conditionalFormatting sqref="H10:I70">
    <cfRule type="cellIs" dxfId="3" priority="5" operator="equal">
      <formula>"S"</formula>
    </cfRule>
    <cfRule type="cellIs" dxfId="2" priority="6" operator="equal">
      <formula>"A"</formula>
    </cfRule>
    <cfRule type="cellIs" dxfId="1" priority="7" operator="equal">
      <formula>"C"</formula>
    </cfRule>
    <cfRule type="cellIs" dxfId="0" priority="8" operator="equal">
      <formula>"D"</formula>
    </cfRule>
  </conditionalFormatting>
  <dataValidations count="2">
    <dataValidation type="list" sqref="E19" xr:uid="{00000000-0002-0000-0800-000000000000}">
      <formula1>"상반기,하반기"</formula1>
    </dataValidation>
    <dataValidation type="list" allowBlank="1" sqref="I24:I28 F52:F56 H35:H45" xr:uid="{00000000-0002-0000-0800-000001000000}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00_작성안내</vt:lpstr>
      <vt:lpstr>01_평가자정보</vt:lpstr>
      <vt:lpstr>02_평가대상자명단</vt:lpstr>
      <vt:lpstr>프로젝트영업_G1</vt:lpstr>
      <vt:lpstr>프로젝트영업_G2</vt:lpstr>
      <vt:lpstr>프로젝트영업_G3</vt:lpstr>
      <vt:lpstr>프로젝트영업_G4</vt:lpstr>
      <vt:lpstr>프로젝트영업_G5</vt:lpstr>
      <vt:lpstr>프로젝트영업_G6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석주 이</cp:lastModifiedBy>
  <dcterms:created xsi:type="dcterms:W3CDTF">2026-05-11T14:56:24Z</dcterms:created>
  <dcterms:modified xsi:type="dcterms:W3CDTF">2026-05-13T01:34:42Z</dcterms:modified>
</cp:coreProperties>
</file>