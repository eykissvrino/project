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경영전략기획_G6" sheetId="2" state="visible" r:id="rId2"/>
    <sheet xmlns:r="http://schemas.openxmlformats.org/officeDocument/2006/relationships" name="양식_경영전략기획_G5-M" sheetId="3" state="visible" r:id="rId3"/>
    <sheet xmlns:r="http://schemas.openxmlformats.org/officeDocument/2006/relationships" name="양식_경영전략기획_G5-S" sheetId="4" state="visible" r:id="rId4"/>
    <sheet xmlns:r="http://schemas.openxmlformats.org/officeDocument/2006/relationships" name="양식_경영전략기획_G4" sheetId="5" state="visible" r:id="rId5"/>
    <sheet xmlns:r="http://schemas.openxmlformats.org/officeDocument/2006/relationships" name="양식_경영전략기획_G3" sheetId="6" state="visible" r:id="rId6"/>
    <sheet xmlns:r="http://schemas.openxmlformats.org/officeDocument/2006/relationships" name="양식_경영전략기획_G2" sheetId="7" state="visible" r:id="rId7"/>
    <sheet xmlns:r="http://schemas.openxmlformats.org/officeDocument/2006/relationships" name="양식_경영전략기획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경영전략기획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양식_경영전략기획_G6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양식_경영전략기획_G5-M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양식_경영전략기획_G5-S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양식_경영전략기획_G4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양식_경영전략기획_G3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양식_경영전략기획_G2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양식_경영전략기획_G1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경영전략기획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경영전략기획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경영기획</t>
        </is>
      </c>
      <c r="C42" s="40" t="inlineStr">
        <is>
          <t>중장기 경영전략 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경영기획</t>
        </is>
      </c>
      <c r="C43" s="40" t="inlineStr">
        <is>
          <t>조직 목표 및 KPI 관리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경영기획</t>
        </is>
      </c>
      <c r="C44" s="40" t="inlineStr">
        <is>
          <t>경영계획 및 예산수립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경영기획</t>
        </is>
      </c>
      <c r="C45" s="40" t="inlineStr">
        <is>
          <t>경영평가 및 모니터링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경영기획</t>
        </is>
      </c>
      <c r="C46" s="40" t="inlineStr">
        <is>
          <t>신규 사업 기획 및 타당성 검토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경영기획</t>
        </is>
      </c>
      <c r="C47" s="40" t="inlineStr">
        <is>
          <t>리스크 성과분석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인사총무</t>
        </is>
      </c>
      <c r="C48" s="40" t="inlineStr">
        <is>
          <t>인사관리 및 인력운영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인사총무</t>
        </is>
      </c>
      <c r="C49" s="40" t="inlineStr">
        <is>
          <t>급여 및 복리후생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인사총무</t>
        </is>
      </c>
      <c r="C50" s="40" t="inlineStr">
        <is>
          <t>총무 및 자산관리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인사총무</t>
        </is>
      </c>
      <c r="C51" s="40" t="inlineStr">
        <is>
          <t>노무 및 법규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인사총무</t>
        </is>
      </c>
      <c r="C52" s="40" t="inlineStr">
        <is>
          <t>조직문화 및 사내행사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재무회계</t>
        </is>
      </c>
      <c r="C53" s="40" t="inlineStr">
        <is>
          <t>재무 전략 및 자금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재무회계</t>
        </is>
      </c>
      <c r="C54" s="40" t="inlineStr">
        <is>
          <t>회계 관리 및 결산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재무회계</t>
        </is>
      </c>
      <c r="C55" s="40" t="inlineStr">
        <is>
          <t>결산 및 세무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재무회계</t>
        </is>
      </c>
      <c r="C56" s="40" t="inlineStr">
        <is>
          <t>프로젝트 손익 및 원가관리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7" ht="22" customHeight="1">
      <c r="A57" s="34" t="inlineStr">
        <is>
          <t>J-16</t>
        </is>
      </c>
      <c r="B57" s="39" t="inlineStr">
        <is>
          <t>재무회계</t>
        </is>
      </c>
      <c r="C57" s="40" t="inlineStr">
        <is>
          <t>자금 및 경영지원</t>
        </is>
      </c>
      <c r="D57" s="30" t="inlineStr"/>
      <c r="E57" s="30" t="inlineStr"/>
      <c r="F57" s="30" t="inlineStr"/>
      <c r="G57" s="31">
        <f>IF(D57="O",IFERROR(IF(AND(E57&lt;&gt;"",F57&lt;&gt;""),(IF(E57="S",5,IF(E57="A",4,IF(E57="B",3,IF(E57="C",2,IF(E57="D",1,0)))))+IF(F57="S",5,IF(F57="A",4,IF(F57="B",3,IF(F57="C",2,IF(F57="D",1,0))))))/2,IF(E57&lt;&gt;"",IF(E57="S",5,IF(E57="A",4,IF(E57="B",3,IF(E57="C",2,IF(E57="D",1,0))))),IF(F57&lt;&gt;"",IF(F57="S",5,IF(F57="A",4,IF(F57="B",3,IF(F57="C",2,IF(F57="D",1,0))))),""))),""),"")</f>
        <v/>
      </c>
    </row>
    <row r="58" ht="22" customHeight="1">
      <c r="A58" s="34" t="inlineStr">
        <is>
          <t>J-17</t>
        </is>
      </c>
      <c r="B58" s="39" t="inlineStr">
        <is>
          <t>마케팅</t>
        </is>
      </c>
      <c r="C58" s="40" t="inlineStr">
        <is>
          <t>마케팅 전략 수립</t>
        </is>
      </c>
      <c r="D58" s="30" t="inlineStr"/>
      <c r="E58" s="30" t="inlineStr"/>
      <c r="F58" s="30" t="inlineStr"/>
      <c r="G58" s="31">
        <f>IF(D58="O",IFERROR(IF(AND(E58&lt;&gt;"",F58&lt;&gt;""),(IF(E58="S",5,IF(E58="A",4,IF(E58="B",3,IF(E58="C",2,IF(E58="D",1,0)))))+IF(F58="S",5,IF(F58="A",4,IF(F58="B",3,IF(F58="C",2,IF(F58="D",1,0))))))/2,IF(E58&lt;&gt;"",IF(E58="S",5,IF(E58="A",4,IF(E58="B",3,IF(E58="C",2,IF(E58="D",1,0))))),IF(F58&lt;&gt;"",IF(F58="S",5,IF(F58="A",4,IF(F58="B",3,IF(F58="C",2,IF(F58="D",1,0))))),""))),""),"")</f>
        <v/>
      </c>
    </row>
    <row r="59" ht="22" customHeight="1">
      <c r="A59" s="34" t="inlineStr">
        <is>
          <t>J-18</t>
        </is>
      </c>
      <c r="B59" s="39" t="inlineStr">
        <is>
          <t>마케팅</t>
        </is>
      </c>
      <c r="C59" s="40" t="inlineStr">
        <is>
          <t>브랜드 마케팅</t>
        </is>
      </c>
      <c r="D59" s="30" t="inlineStr"/>
      <c r="E59" s="30" t="inlineStr"/>
      <c r="F59" s="30" t="inlineStr"/>
      <c r="G59" s="31">
        <f>IF(D59="O",IFERROR(IF(AND(E59&lt;&gt;"",F59&lt;&gt;""),(IF(E59="S",5,IF(E59="A",4,IF(E59="B",3,IF(E59="C",2,IF(E59="D",1,0)))))+IF(F59="S",5,IF(F59="A",4,IF(F59="B",3,IF(F59="C",2,IF(F59="D",1,0))))))/2,IF(E59&lt;&gt;"",IF(E59="S",5,IF(E59="A",4,IF(E59="B",3,IF(E59="C",2,IF(E59="D",1,0))))),IF(F59&lt;&gt;"",IF(F59="S",5,IF(F59="A",4,IF(F59="B",3,IF(F59="C",2,IF(F59="D",1,0))))),""))),""),"")</f>
        <v/>
      </c>
    </row>
    <row r="60" ht="22" customHeight="1">
      <c r="A60" s="34" t="inlineStr">
        <is>
          <t>J-19</t>
        </is>
      </c>
      <c r="B60" s="39" t="inlineStr">
        <is>
          <t>마케팅</t>
        </is>
      </c>
      <c r="C60" s="40" t="inlineStr">
        <is>
          <t>컨텐츠 마케팅</t>
        </is>
      </c>
      <c r="D60" s="30" t="inlineStr"/>
      <c r="E60" s="30" t="inlineStr"/>
      <c r="F60" s="30" t="inlineStr"/>
      <c r="G60" s="31">
        <f>IF(D60="O",IFERROR(IF(AND(E60&lt;&gt;"",F60&lt;&gt;""),(IF(E60="S",5,IF(E60="A",4,IF(E60="B",3,IF(E60="C",2,IF(E60="D",1,0)))))+IF(F60="S",5,IF(F60="A",4,IF(F60="B",3,IF(F60="C",2,IF(F60="D",1,0))))))/2,IF(E60&lt;&gt;"",IF(E60="S",5,IF(E60="A",4,IF(E60="B",3,IF(E60="C",2,IF(E60="D",1,0))))),IF(F60&lt;&gt;"",IF(F60="S",5,IF(F60="A",4,IF(F60="B",3,IF(F60="C",2,IF(F60="D",1,0))))),""))),""),"")</f>
        <v/>
      </c>
    </row>
    <row r="62" ht="24" customHeight="1">
      <c r="A62" s="41" t="inlineStr">
        <is>
          <t>1차 평가자 직무 종합 (메인 책무 평균)</t>
        </is>
      </c>
      <c r="E62" s="33">
        <f>IFERROR(SUMPRODUCT((D42:D60="O")*IFERROR(IF(E42:E60="S",5,IF(E42:E60="A",4,IF(E42:E60="B",3,IF(E42:E60="C",2,IF(E42:E60="D",1,0))))),0))/COUNTIF(D42:D60,"O"),"")</f>
        <v/>
      </c>
      <c r="F62" s="35">
        <f>IF(E62="","",IF(E62&gt;=4.5,"S",IF(E62&gt;=3.5,"A",IF(E62&gt;=2.5,"B",IF(E62&gt;=1.5,"C","D")))))</f>
        <v/>
      </c>
    </row>
    <row r="63" ht="24" customHeight="1">
      <c r="A63" s="41" t="inlineStr">
        <is>
          <t>2차 평가자 직무 종합</t>
        </is>
      </c>
      <c r="E63" s="33">
        <f>IFERROR(SUMPRODUCT((D42:D60="O")*IFERROR(IF(F42:F60="S",5,IF(F42:F60="A",4,IF(F42:F60="B",3,IF(F42:F60="C",2,IF(F42:F60="D",1,0))))),0))/COUNTIF(D42:D60,"O"),"")</f>
        <v/>
      </c>
      <c r="F63" s="35">
        <f>IF(E63="","",IF(E63&gt;=4.5,"S",IF(E63&gt;=3.5,"A",IF(E63&gt;=2.5,"B",IF(E63&gt;=1.5,"C","D")))))</f>
        <v/>
      </c>
    </row>
    <row r="66" ht="32" customHeight="1">
      <c r="A66" s="42" t="inlineStr">
        <is>
          <t>▶ 통합관리시트 입력 행 (아래 한 줄 A~G 7개 셀 통째 복사 → 통합관리시트 07a/07b의 G~M에 [값 붙여넣기])</t>
        </is>
      </c>
    </row>
    <row r="67" ht="28" customHeight="1">
      <c r="A67" s="43" t="inlineStr">
        <is>
          <t>역할(1차)</t>
        </is>
      </c>
      <c r="B67" s="43" t="inlineStr">
        <is>
          <t>역할(2차)</t>
        </is>
      </c>
      <c r="C67" s="43" t="inlineStr">
        <is>
          <t>공통(1차)</t>
        </is>
      </c>
      <c r="D67" s="43" t="inlineStr">
        <is>
          <t>공통(2차)</t>
        </is>
      </c>
      <c r="E67" s="43" t="inlineStr">
        <is>
          <t>직무(1차)</t>
        </is>
      </c>
      <c r="F67" s="43" t="inlineStr">
        <is>
          <t>직무(2차)</t>
        </is>
      </c>
      <c r="G67" s="43" t="inlineStr">
        <is>
          <t>소견</t>
        </is>
      </c>
    </row>
    <row r="68" ht="36" customHeight="1">
      <c r="A68" s="44">
        <f>F21</f>
        <v/>
      </c>
      <c r="B68" s="44">
        <f>F22</f>
        <v/>
      </c>
      <c r="C68" s="44">
        <f>F37</f>
        <v/>
      </c>
      <c r="D68" s="44">
        <f>F38</f>
        <v/>
      </c>
      <c r="E68" s="44">
        <f>F62</f>
        <v/>
      </c>
      <c r="F68" s="44">
        <f>F63</f>
        <v/>
      </c>
      <c r="G68" s="45" t="inlineStr"/>
    </row>
    <row r="69" ht="26" customHeight="1">
      <c r="A69" s="46" t="inlineStr">
        <is>
          <t>사용법: 위 한 줄 A~G 선택 → Ctrl+C → 통합관리시트 07a/07b 해당 사번 행 G~M에 [선택하여 붙여넣기 → 값]</t>
        </is>
      </c>
    </row>
    <row r="71" ht="24" customHeight="1">
      <c r="A71" s="3" t="inlineStr">
        <is>
          <t>▶ 종합 소견</t>
        </is>
      </c>
    </row>
    <row r="72" ht="40" customHeight="1">
      <c r="A72" s="21" t="inlineStr">
        <is>
          <t>강점</t>
        </is>
      </c>
      <c r="B72" s="47" t="inlineStr"/>
    </row>
    <row r="73" ht="40" customHeight="1">
      <c r="A73" s="21" t="inlineStr">
        <is>
          <t>개선</t>
        </is>
      </c>
      <c r="B73" s="47" t="inlineStr"/>
    </row>
    <row r="74" ht="40" customHeight="1">
      <c r="A74" s="21" t="inlineStr">
        <is>
          <t>육성 방향</t>
        </is>
      </c>
      <c r="B74" s="47" t="inlineStr"/>
    </row>
  </sheetData>
  <mergeCells count="23">
    <mergeCell ref="B74:H74"/>
    <mergeCell ref="A37:C37"/>
    <mergeCell ref="A24:H24"/>
    <mergeCell ref="A62:D62"/>
    <mergeCell ref="F8:H8"/>
    <mergeCell ref="A21:C21"/>
    <mergeCell ref="A63:D63"/>
    <mergeCell ref="A1:H1"/>
    <mergeCell ref="A7:H7"/>
    <mergeCell ref="A22:C22"/>
    <mergeCell ref="F9:H9"/>
    <mergeCell ref="B72:H72"/>
    <mergeCell ref="A38:C38"/>
    <mergeCell ref="A2:H2"/>
    <mergeCell ref="A69:G69"/>
    <mergeCell ref="A71:H71"/>
    <mergeCell ref="A4:H4"/>
    <mergeCell ref="F10:H10"/>
    <mergeCell ref="B14:H14"/>
    <mergeCell ref="A66:G66"/>
    <mergeCell ref="B73:H73"/>
    <mergeCell ref="A13:H13"/>
    <mergeCell ref="A40:H40"/>
  </mergeCells>
  <conditionalFormatting sqref="A68:G6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60" showDropDown="0" showInputMessage="0" showErrorMessage="0" allowBlank="1" type="list">
      <formula1>"O,X"</formula1>
    </dataValidation>
    <dataValidation sqref="E42:F6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2026-05-13T05:11:08Z</dcterms:created>
  <dcterms:modified xmlns:dcterms="http://purl.org/dc/terms/" xmlns:xsi="http://www.w3.org/2001/XMLSchema-instance" xsi:type="dcterms:W3CDTF">2026-05-13T05:11:08Z</dcterms:modified>
</cp:coreProperties>
</file>