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평가_BSS-004_이일곤" sheetId="4" state="visible" r:id="rId4"/>
    <sheet xmlns:r="http://schemas.openxmlformats.org/officeDocument/2006/relationships" name="평가_BSS-005_송헌영" sheetId="5" state="visible" r:id="rId5"/>
    <sheet xmlns:r="http://schemas.openxmlformats.org/officeDocument/2006/relationships" name="평가_BSS-006_이재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9" fontId="7" fillId="11" borderId="1" applyAlignment="1" pivotButton="0" quotePrefix="0" xfId="0">
      <alignment horizontal="center" vertical="center" wrapText="1"/>
    </xf>
    <xf numFmtId="9" fontId="7" fillId="1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베이시스소프트 2026년 성과평가 평가지 - 경영전략실</t>
        </is>
      </c>
    </row>
    <row r="2" ht="22" customHeight="1">
      <c r="A2" s="2" t="inlineStr">
        <is>
          <t>1차/2차 평가자가 각자 등급 입력 → 가중평균 자동 → 하단 [복사용 행]을 마스터 07a/07b에 붙여넣기</t>
        </is>
      </c>
    </row>
    <row r="4" ht="24" customHeight="1">
      <c r="A4" s="3" t="inlineStr">
        <is>
          <t>▶ 사용 방법</t>
        </is>
      </c>
    </row>
    <row r="5" ht="22" customHeight="1">
      <c r="A5" s="4" t="inlineStr">
        <is>
          <t>1) [01_평가자정보]에 1차·2차 평가자 정보 + 평가 차수 입력</t>
        </is>
      </c>
    </row>
    <row r="6" ht="22" customHeight="1">
      <c r="A6" s="4" t="inlineStr">
        <is>
          <t>2) [02_평가대상자명단]에서 평가 대상 확인</t>
        </is>
      </c>
    </row>
    <row r="7" ht="22" customHeight="1">
      <c r="A7" s="4" t="inlineStr">
        <is>
          <t>3) 직원별 평가지 시트로 진입</t>
        </is>
      </c>
    </row>
    <row r="8" ht="22" customHeight="1">
      <c r="A8" s="4" t="inlineStr">
        <is>
          <t>4) 시트 상단 B3·D3에 1차/2차 평가자 가중치 입력 (★ 마스터 02_의사결정과 동일)</t>
        </is>
      </c>
    </row>
    <row r="9" ht="22" customHeight="1">
      <c r="A9" s="4" t="inlineStr">
        <is>
          <t>5) 1차·2차 평가자가 각자 등급(S/A/B/C/D) 입력 → 자동 가중평균 산출</t>
        </is>
      </c>
    </row>
    <row r="10" ht="22" customHeight="1">
      <c r="A10" s="4" t="inlineStr">
        <is>
          <t>6) ★ 시트 가장 하단 [복사용 입력 행] A~U 21개 셀 통째로 복사</t>
        </is>
      </c>
    </row>
    <row r="11" ht="22" customHeight="1">
      <c r="A11" s="4" t="inlineStr">
        <is>
          <t>7) 마스터 07a 또는 07b의 해당 사번 행 G~AA에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</sheetData>
  <mergeCells count="16">
    <mergeCell ref="A1:H1"/>
    <mergeCell ref="A4:H4"/>
    <mergeCell ref="A9:H9"/>
    <mergeCell ref="B14:H14"/>
    <mergeCell ref="B17:H17"/>
    <mergeCell ref="B18:H18"/>
    <mergeCell ref="A7:H7"/>
    <mergeCell ref="A2:H2"/>
    <mergeCell ref="A10:H10"/>
    <mergeCell ref="A13:H13"/>
    <mergeCell ref="A11:H11"/>
    <mergeCell ref="B15:H15"/>
    <mergeCell ref="B16:H16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평가자 정보 - 경영전략실</t>
        </is>
      </c>
    </row>
    <row r="3">
      <c r="A3" s="3" t="inlineStr">
        <is>
          <t>▶ 평가자 정보</t>
        </is>
      </c>
    </row>
    <row r="4">
      <c r="A4" s="15" t="inlineStr">
        <is>
          <t>구분</t>
        </is>
      </c>
      <c r="B4" s="15" t="inlineStr">
        <is>
          <t>1차 평가자 (직속상사)</t>
        </is>
      </c>
      <c r="D4" s="15" t="inlineStr">
        <is>
          <t>2차 평가자 (조정자)</t>
        </is>
      </c>
    </row>
    <row r="5" ht="24" customHeight="1">
      <c r="A5" s="16" t="inlineStr">
        <is>
          <t>사번</t>
        </is>
      </c>
      <c r="B5" s="17" t="inlineStr"/>
      <c r="D5" s="17" t="inlineStr"/>
    </row>
    <row r="6" ht="24" customHeight="1">
      <c r="A6" s="16" t="inlineStr">
        <is>
          <t>성명</t>
        </is>
      </c>
      <c r="B6" s="17" t="inlineStr"/>
      <c r="D6" s="17" t="inlineStr"/>
    </row>
    <row r="7" ht="24" customHeight="1">
      <c r="A7" s="16" t="inlineStr">
        <is>
          <t>직책</t>
        </is>
      </c>
      <c r="B7" s="17" t="inlineStr"/>
      <c r="D7" s="17" t="inlineStr"/>
    </row>
    <row r="8" ht="24" customHeight="1">
      <c r="A8" s="16" t="inlineStr">
        <is>
          <t>이메일</t>
        </is>
      </c>
      <c r="B8" s="17" t="inlineStr"/>
      <c r="D8" s="17" t="inlineStr"/>
    </row>
    <row r="9" ht="24" customHeight="1">
      <c r="A9" s="16" t="inlineStr">
        <is>
          <t>연락처</t>
        </is>
      </c>
      <c r="B9" s="17" t="inlineStr"/>
      <c r="D9" s="17" t="inlineStr"/>
    </row>
    <row r="11">
      <c r="A11" s="3" t="inlineStr">
        <is>
          <t>▶ 평가 차수</t>
        </is>
      </c>
    </row>
    <row r="12">
      <c r="A12" s="16" t="inlineStr">
        <is>
          <t>평가 차수</t>
        </is>
      </c>
      <c r="B12" s="18" t="inlineStr">
        <is>
          <t>상반기</t>
        </is>
      </c>
    </row>
  </sheetData>
  <mergeCells count="15">
    <mergeCell ref="B8:C8"/>
    <mergeCell ref="D7:F7"/>
    <mergeCell ref="B6:C6"/>
    <mergeCell ref="A11:F11"/>
    <mergeCell ref="D5:F5"/>
    <mergeCell ref="B7:C7"/>
    <mergeCell ref="B5:C5"/>
    <mergeCell ref="A1:F1"/>
    <mergeCell ref="D4:F4"/>
    <mergeCell ref="B9:C9"/>
    <mergeCell ref="D9:F9"/>
    <mergeCell ref="A3:F3"/>
    <mergeCell ref="D8:F8"/>
    <mergeCell ref="D6:F6"/>
    <mergeCell ref="B4:C4"/>
  </mergeCells>
  <dataValidations count="1">
    <dataValidation sqref="B12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9" customWidth="1" min="7" max="7"/>
    <col width="22" customWidth="1" min="8" max="8"/>
    <col width="12" customWidth="1" min="9" max="9"/>
  </cols>
  <sheetData>
    <row r="1" ht="30" customHeight="1">
      <c r="A1" s="1" t="inlineStr">
        <is>
          <t>평가 대상자 명단 - 경영전략실 (3명)</t>
        </is>
      </c>
    </row>
    <row r="3" ht="26" customHeight="1">
      <c r="A3" s="19" t="inlineStr">
        <is>
          <t>No.</t>
        </is>
      </c>
      <c r="B3" s="19" t="inlineStr">
        <is>
          <t>사번</t>
        </is>
      </c>
      <c r="C3" s="19" t="inlineStr">
        <is>
          <t>성명</t>
        </is>
      </c>
      <c r="D3" s="19" t="inlineStr">
        <is>
          <t>기존직급</t>
        </is>
      </c>
      <c r="E3" s="19" t="inlineStr">
        <is>
          <t>직군</t>
        </is>
      </c>
      <c r="F3" s="19" t="inlineStr">
        <is>
          <t>직무</t>
        </is>
      </c>
      <c r="G3" s="19" t="inlineStr">
        <is>
          <t>역할등급</t>
        </is>
      </c>
      <c r="H3" s="19" t="inlineStr">
        <is>
          <t>평가 시트명</t>
        </is>
      </c>
      <c r="I3" s="19" t="inlineStr">
        <is>
          <t>비고</t>
        </is>
      </c>
    </row>
    <row r="4" ht="22" customHeight="1">
      <c r="A4" s="20" t="n">
        <v>1</v>
      </c>
      <c r="B4" s="21" t="inlineStr">
        <is>
          <t>BSS-004</t>
        </is>
      </c>
      <c r="C4" s="22" t="inlineStr">
        <is>
          <t>이일곤</t>
        </is>
      </c>
      <c r="D4" s="20" t="inlineStr">
        <is>
          <t>이사</t>
        </is>
      </c>
      <c r="E4" s="23" t="inlineStr">
        <is>
          <t>경영관리</t>
        </is>
      </c>
      <c r="F4" s="23" t="inlineStr">
        <is>
          <t>경영전략기획</t>
        </is>
      </c>
      <c r="G4" s="21" t="inlineStr">
        <is>
          <t>G6</t>
        </is>
      </c>
      <c r="H4" s="2" t="inlineStr">
        <is>
          <t>평가_BSS-004_이일곤</t>
        </is>
      </c>
      <c r="I4" s="23" t="inlineStr"/>
    </row>
    <row r="5" ht="22" customHeight="1">
      <c r="A5" s="20" t="n">
        <v>2</v>
      </c>
      <c r="B5" s="21" t="inlineStr">
        <is>
          <t>BSS-005</t>
        </is>
      </c>
      <c r="C5" s="22" t="inlineStr">
        <is>
          <t>송헌영</t>
        </is>
      </c>
      <c r="D5" s="20" t="inlineStr">
        <is>
          <t>이사</t>
        </is>
      </c>
      <c r="E5" s="23" t="inlineStr">
        <is>
          <t>경영관리</t>
        </is>
      </c>
      <c r="F5" s="23" t="inlineStr">
        <is>
          <t>경영전략기획</t>
        </is>
      </c>
      <c r="G5" s="21" t="inlineStr">
        <is>
          <t>G6</t>
        </is>
      </c>
      <c r="H5" s="2" t="inlineStr">
        <is>
          <t>평가_BSS-005_송헌영</t>
        </is>
      </c>
      <c r="I5" s="23" t="inlineStr"/>
    </row>
    <row r="6" ht="22" customHeight="1">
      <c r="A6" s="20" t="n">
        <v>3</v>
      </c>
      <c r="B6" s="21" t="inlineStr">
        <is>
          <t>BSS-006</t>
        </is>
      </c>
      <c r="C6" s="22" t="inlineStr">
        <is>
          <t>이재용</t>
        </is>
      </c>
      <c r="D6" s="20" t="inlineStr">
        <is>
          <t>이사</t>
        </is>
      </c>
      <c r="E6" s="23" t="inlineStr">
        <is>
          <t>경영관리</t>
        </is>
      </c>
      <c r="F6" s="23" t="inlineStr">
        <is>
          <t>경영전략기획</t>
        </is>
      </c>
      <c r="G6" s="21" t="inlineStr">
        <is>
          <t>G6</t>
        </is>
      </c>
      <c r="H6" s="2" t="inlineStr">
        <is>
          <t>평가_BSS-006_이재용</t>
        </is>
      </c>
      <c r="I6" s="23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이일곤 (G6, 경영전략기획)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BSS-004</t>
        </is>
      </c>
      <c r="C5" s="24" t="inlineStr">
        <is>
          <t>성명</t>
        </is>
      </c>
      <c r="D5" s="28" t="inlineStr">
        <is>
          <t>이일곤</t>
        </is>
      </c>
      <c r="E5" s="24" t="inlineStr">
        <is>
          <t>직군</t>
        </is>
      </c>
      <c r="F5" s="28" t="inlineStr">
        <is>
          <t>경영관리</t>
        </is>
      </c>
      <c r="G5" s="24" t="inlineStr">
        <is>
          <t>직무</t>
        </is>
      </c>
      <c r="H5" s="28" t="inlineStr">
        <is>
          <t>경영전략기획</t>
        </is>
      </c>
      <c r="I5" s="24" t="inlineStr">
        <is>
          <t>부서</t>
        </is>
      </c>
      <c r="J5" s="28" t="inlineStr">
        <is>
          <t>경영전략실</t>
        </is>
      </c>
    </row>
    <row r="6" ht="22" customHeight="1">
      <c r="A6" s="24" t="inlineStr">
        <is>
          <t>기존직급</t>
        </is>
      </c>
      <c r="B6" s="28" t="inlineStr">
        <is>
          <t>이사</t>
        </is>
      </c>
      <c r="C6" s="24" t="inlineStr">
        <is>
          <t>역할등급</t>
        </is>
      </c>
      <c r="D6" s="28" t="inlineStr">
        <is>
          <t>G6</t>
        </is>
      </c>
      <c r="E6" s="24" t="inlineStr">
        <is>
          <t>역할명</t>
        </is>
      </c>
      <c r="F6" s="28" t="inlineStr">
        <is>
          <t>사업·조직 관리</t>
        </is>
      </c>
      <c r="G6" s="24" t="inlineStr">
        <is>
          <t>입사일</t>
        </is>
      </c>
      <c r="H6" s="28" t="inlineStr">
        <is>
          <t>2014-04-01</t>
        </is>
      </c>
      <c r="I6" s="24" t="inlineStr">
        <is>
          <t>연봉</t>
        </is>
      </c>
      <c r="J6" s="28" t="inlineStr">
        <is>
          <t>64,530,000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회사의 비전·중장기 전략을 총괄하며, 전사 의사결정·대외 협력·리스크 관리를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경영기획</t>
        </is>
      </c>
      <c r="C35" s="42" t="inlineStr">
        <is>
          <t>중장기 경영전략 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경영기획</t>
        </is>
      </c>
      <c r="C36" s="42" t="inlineStr">
        <is>
          <t>조직 목표 및 KPI 관리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경영기획</t>
        </is>
      </c>
      <c r="C37" s="42" t="inlineStr">
        <is>
          <t>경영계획 및 예산수립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경영기획</t>
        </is>
      </c>
      <c r="C38" s="42" t="inlineStr">
        <is>
          <t>경영평가 및 모니터링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경영기획</t>
        </is>
      </c>
      <c r="C39" s="42" t="inlineStr">
        <is>
          <t>신규 사업 기획 및 타당성 검토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경영기획</t>
        </is>
      </c>
      <c r="C40" s="42" t="inlineStr">
        <is>
          <t>리스크 성과분석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인사총무</t>
        </is>
      </c>
      <c r="C41" s="42" t="inlineStr">
        <is>
          <t>인사관리 및 인력운영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인사총무</t>
        </is>
      </c>
      <c r="C42" s="42" t="inlineStr">
        <is>
          <t>급여 및 복리후생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인사총무</t>
        </is>
      </c>
      <c r="C43" s="42" t="inlineStr">
        <is>
          <t>총무 및 자산관리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20" t="inlineStr">
        <is>
          <t>J-10</t>
        </is>
      </c>
      <c r="B44" s="41" t="inlineStr">
        <is>
          <t>인사총무</t>
        </is>
      </c>
      <c r="C44" s="42" t="inlineStr">
        <is>
          <t>노무 및 법규</t>
        </is>
      </c>
      <c r="D44" s="18" t="inlineStr">
        <is>
          <t>O</t>
        </is>
      </c>
      <c r="E44" s="18" t="inlineStr"/>
      <c r="F44" s="18" t="inlineStr"/>
      <c r="G44" s="33">
        <f>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</f>
        <v/>
      </c>
      <c r="H44" s="34">
        <f>IF(G44="","",IF(G44&gt;=4.5,"S",IF(G44&gt;=3.5,"A",IF(G44&gt;=2.5,"B",IF(G44&gt;=1.5,"C","D")))))</f>
        <v/>
      </c>
    </row>
    <row r="45" ht="22" customHeight="1">
      <c r="A45" s="20" t="inlineStr">
        <is>
          <t>J-11</t>
        </is>
      </c>
      <c r="B45" s="41" t="inlineStr">
        <is>
          <t>인사총무</t>
        </is>
      </c>
      <c r="C45" s="42" t="inlineStr">
        <is>
          <t>조직문화 및 사내행사</t>
        </is>
      </c>
      <c r="D45" s="18" t="inlineStr">
        <is>
          <t>O</t>
        </is>
      </c>
      <c r="E45" s="18" t="inlineStr"/>
      <c r="F45" s="18" t="inlineStr"/>
      <c r="G45" s="33">
        <f>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</f>
        <v/>
      </c>
      <c r="H45" s="34">
        <f>IF(G45="","",IF(G45&gt;=4.5,"S",IF(G45&gt;=3.5,"A",IF(G45&gt;=2.5,"B",IF(G45&gt;=1.5,"C","D")))))</f>
        <v/>
      </c>
    </row>
    <row r="46" ht="22" customHeight="1">
      <c r="A46" s="20" t="inlineStr">
        <is>
          <t>J-12</t>
        </is>
      </c>
      <c r="B46" s="41" t="inlineStr">
        <is>
          <t>재무회계</t>
        </is>
      </c>
      <c r="C46" s="42" t="inlineStr">
        <is>
          <t>재무 전략 및 자금 관리</t>
        </is>
      </c>
      <c r="D46" s="18" t="inlineStr">
        <is>
          <t>O</t>
        </is>
      </c>
      <c r="E46" s="18" t="inlineStr"/>
      <c r="F46" s="18" t="inlineStr"/>
      <c r="G46" s="33">
        <f>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</f>
        <v/>
      </c>
      <c r="H46" s="34">
        <f>IF(G46="","",IF(G46&gt;=4.5,"S",IF(G46&gt;=3.5,"A",IF(G46&gt;=2.5,"B",IF(G46&gt;=1.5,"C","D")))))</f>
        <v/>
      </c>
    </row>
    <row r="47" ht="22" customHeight="1">
      <c r="A47" s="20" t="inlineStr">
        <is>
          <t>J-13</t>
        </is>
      </c>
      <c r="B47" s="41" t="inlineStr">
        <is>
          <t>재무회계</t>
        </is>
      </c>
      <c r="C47" s="42" t="inlineStr">
        <is>
          <t>회계 관리 및 결산</t>
        </is>
      </c>
      <c r="D47" s="18" t="inlineStr">
        <is>
          <t>O</t>
        </is>
      </c>
      <c r="E47" s="18" t="inlineStr"/>
      <c r="F47" s="18" t="inlineStr"/>
      <c r="G47" s="33">
        <f>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</f>
        <v/>
      </c>
      <c r="H47" s="34">
        <f>IF(G47="","",IF(G47&gt;=4.5,"S",IF(G47&gt;=3.5,"A",IF(G47&gt;=2.5,"B",IF(G47&gt;=1.5,"C","D")))))</f>
        <v/>
      </c>
    </row>
    <row r="48" ht="22" customHeight="1">
      <c r="A48" s="20" t="inlineStr">
        <is>
          <t>J-14</t>
        </is>
      </c>
      <c r="B48" s="41" t="inlineStr">
        <is>
          <t>재무회계</t>
        </is>
      </c>
      <c r="C48" s="42" t="inlineStr">
        <is>
          <t>결산 및 세무</t>
        </is>
      </c>
      <c r="D48" s="18" t="inlineStr">
        <is>
          <t>O</t>
        </is>
      </c>
      <c r="E48" s="18" t="inlineStr"/>
      <c r="F48" s="18" t="inlineStr"/>
      <c r="G48" s="33">
        <f>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</f>
        <v/>
      </c>
      <c r="H48" s="34">
        <f>IF(G48="","",IF(G48&gt;=4.5,"S",IF(G48&gt;=3.5,"A",IF(G48&gt;=2.5,"B",IF(G48&gt;=1.5,"C","D")))))</f>
        <v/>
      </c>
    </row>
    <row r="49" ht="22" customHeight="1">
      <c r="A49" s="20" t="inlineStr">
        <is>
          <t>J-15</t>
        </is>
      </c>
      <c r="B49" s="41" t="inlineStr">
        <is>
          <t>재무회계</t>
        </is>
      </c>
      <c r="C49" s="42" t="inlineStr">
        <is>
          <t>프로젝트 손익 및 원가관리</t>
        </is>
      </c>
      <c r="D49" s="18" t="inlineStr">
        <is>
          <t>O</t>
        </is>
      </c>
      <c r="E49" s="18" t="inlineStr"/>
      <c r="F49" s="18" t="inlineStr"/>
      <c r="G49" s="33">
        <f>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</f>
        <v/>
      </c>
      <c r="H49" s="34">
        <f>IF(G49="","",IF(G49&gt;=4.5,"S",IF(G49&gt;=3.5,"A",IF(G49&gt;=2.5,"B",IF(G49&gt;=1.5,"C","D")))))</f>
        <v/>
      </c>
    </row>
    <row r="50" ht="22" customHeight="1">
      <c r="A50" s="20" t="inlineStr">
        <is>
          <t>J-16</t>
        </is>
      </c>
      <c r="B50" s="41" t="inlineStr">
        <is>
          <t>재무회계</t>
        </is>
      </c>
      <c r="C50" s="42" t="inlineStr">
        <is>
          <t>자금 및 경영지원</t>
        </is>
      </c>
      <c r="D50" s="18" t="inlineStr">
        <is>
          <t>O</t>
        </is>
      </c>
      <c r="E50" s="18" t="inlineStr"/>
      <c r="F50" s="18" t="inlineStr"/>
      <c r="G50" s="33">
        <f>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</f>
        <v/>
      </c>
      <c r="H50" s="34">
        <f>IF(G50="","",IF(G50&gt;=4.5,"S",IF(G50&gt;=3.5,"A",IF(G50&gt;=2.5,"B",IF(G50&gt;=1.5,"C","D")))))</f>
        <v/>
      </c>
    </row>
    <row r="51" ht="22" customHeight="1">
      <c r="A51" s="20" t="inlineStr">
        <is>
          <t>J-17</t>
        </is>
      </c>
      <c r="B51" s="41" t="inlineStr">
        <is>
          <t>마케팅</t>
        </is>
      </c>
      <c r="C51" s="42" t="inlineStr">
        <is>
          <t>마케팅 전략 수립</t>
        </is>
      </c>
      <c r="D51" s="18" t="inlineStr">
        <is>
          <t>O</t>
        </is>
      </c>
      <c r="E51" s="18" t="inlineStr"/>
      <c r="F51" s="18" t="inlineStr"/>
      <c r="G51" s="33">
        <f>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</f>
        <v/>
      </c>
      <c r="H51" s="34">
        <f>IF(G51="","",IF(G51&gt;=4.5,"S",IF(G51&gt;=3.5,"A",IF(G51&gt;=2.5,"B",IF(G51&gt;=1.5,"C","D")))))</f>
        <v/>
      </c>
    </row>
    <row r="52" ht="22" customHeight="1">
      <c r="A52" s="20" t="inlineStr">
        <is>
          <t>J-18</t>
        </is>
      </c>
      <c r="B52" s="41" t="inlineStr">
        <is>
          <t>마케팅</t>
        </is>
      </c>
      <c r="C52" s="42" t="inlineStr">
        <is>
          <t>브랜드 마케팅</t>
        </is>
      </c>
      <c r="D52" s="18" t="inlineStr">
        <is>
          <t>O</t>
        </is>
      </c>
      <c r="E52" s="18" t="inlineStr"/>
      <c r="F52" s="18" t="inlineStr"/>
      <c r="G52" s="33">
        <f>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</f>
        <v/>
      </c>
      <c r="H52" s="34">
        <f>IF(G52="","",IF(G52&gt;=4.5,"S",IF(G52&gt;=3.5,"A",IF(G52&gt;=2.5,"B",IF(G52&gt;=1.5,"C","D")))))</f>
        <v/>
      </c>
    </row>
    <row r="53" ht="22" customHeight="1">
      <c r="A53" s="20" t="inlineStr">
        <is>
          <t>J-19</t>
        </is>
      </c>
      <c r="B53" s="41" t="inlineStr">
        <is>
          <t>마케팅</t>
        </is>
      </c>
      <c r="C53" s="42" t="inlineStr">
        <is>
          <t>컨텐츠 마케팅</t>
        </is>
      </c>
      <c r="D53" s="18" t="inlineStr">
        <is>
          <t>O</t>
        </is>
      </c>
      <c r="E53" s="18" t="inlineStr"/>
      <c r="F53" s="18" t="inlineStr"/>
      <c r="G53" s="33">
        <f>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</f>
        <v/>
      </c>
      <c r="H53" s="34">
        <f>IF(G53="","",IF(G53&gt;=4.5,"S",IF(G53&gt;=3.5,"A",IF(G53&gt;=2.5,"B",IF(G53&gt;=1.5,"C","D")))))</f>
        <v/>
      </c>
    </row>
    <row r="55" ht="24" customHeight="1">
      <c r="A55" s="43" t="inlineStr">
        <is>
          <t>1차 평가자 직무 종합</t>
        </is>
      </c>
      <c r="E55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+IF(E44="S",5,IF(E44="A",4,IF(E44="B",3,IF(E44="C",2,IF(E44="D",1,0)))))+IF(E45="S",5,IF(E45="A",4,IF(E45="B",3,IF(E45="C",2,IF(E45="D",1,0)))))+IF(E46="S",5,IF(E46="A",4,IF(E46="B",3,IF(E46="C",2,IF(E46="D",1,0)))))+IF(E47="S",5,IF(E47="A",4,IF(E47="B",3,IF(E47="C",2,IF(E47="D",1,0)))))+IF(E48="S",5,IF(E48="A",4,IF(E48="B",3,IF(E48="C",2,IF(E48="D",1,0)))))+IF(E49="S",5,IF(E49="A",4,IF(E49="B",3,IF(E49="C",2,IF(E49="D",1,0)))))+IF(E50="S",5,IF(E50="A",4,IF(E50="B",3,IF(E50="C",2,IF(E50="D",1,0)))))+IF(E51="S",5,IF(E51="A",4,IF(E51="B",3,IF(E51="C",2,IF(E51="D",1,0)))))+IF(E52="S",5,IF(E52="A",4,IF(E52="B",3,IF(E52="C",2,IF(E52="D",1,0)))))+IF(E53="S",5,IF(E53="A",4,IF(E53="B",3,IF(E53="C",2,IF(E53="D",1,0))))))/19,"")</f>
        <v/>
      </c>
      <c r="H55" s="37">
        <f>IF(E55="","",IF(E55&gt;=4.5,"S",IF(E55&gt;=3.5,"A",IF(E55&gt;=2.5,"B",IF(E55&gt;=1.5,"C","D")))))</f>
        <v/>
      </c>
    </row>
    <row r="56" ht="24" customHeight="1">
      <c r="A56" s="43" t="inlineStr">
        <is>
          <t>2차 평가자 직무 종합</t>
        </is>
      </c>
      <c r="F56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+IF(F44="S",5,IF(F44="A",4,IF(F44="B",3,IF(F44="C",2,IF(F44="D",1,0)))))+IF(F45="S",5,IF(F45="A",4,IF(F45="B",3,IF(F45="C",2,IF(F45="D",1,0)))))+IF(F46="S",5,IF(F46="A",4,IF(F46="B",3,IF(F46="C",2,IF(F46="D",1,0)))))+IF(F47="S",5,IF(F47="A",4,IF(F47="B",3,IF(F47="C",2,IF(F47="D",1,0)))))+IF(F48="S",5,IF(F48="A",4,IF(F48="B",3,IF(F48="C",2,IF(F48="D",1,0)))))+IF(F49="S",5,IF(F49="A",4,IF(F49="B",3,IF(F49="C",2,IF(F49="D",1,0)))))+IF(F50="S",5,IF(F50="A",4,IF(F50="B",3,IF(F50="C",2,IF(F50="D",1,0)))))+IF(F51="S",5,IF(F51="A",4,IF(F51="B",3,IF(F51="C",2,IF(F51="D",1,0)))))+IF(F52="S",5,IF(F52="A",4,IF(F52="B",3,IF(F52="C",2,IF(F52="D",1,0)))))+IF(F53="S",5,IF(F53="A",4,IF(F53="B",3,IF(F53="C",2,IF(F53="D",1,0))))))/19,"")</f>
        <v/>
      </c>
      <c r="H56" s="37">
        <f>IF(F56="","",IF(F56&gt;=4.5,"S",IF(F56&gt;=3.5,"A",IF(F56&gt;=2.5,"B",IF(F56&gt;=1.5,"C","D")))))</f>
        <v/>
      </c>
    </row>
    <row r="59" ht="32" customHeight="1">
      <c r="A59" s="44" t="inlineStr">
        <is>
          <t>▶ ★ 통합관리시트 입력 행 (한 줄 A~U 21개 셀 통째 복사 → 마스터 07a/07b의 G~AA에 [값 붙여넣기])</t>
        </is>
      </c>
    </row>
    <row r="60" ht="30" customHeight="1">
      <c r="A60" s="45" t="inlineStr">
        <is>
          <t>R-1</t>
        </is>
      </c>
      <c r="B60" s="45" t="inlineStr">
        <is>
          <t>R-2</t>
        </is>
      </c>
      <c r="C60" s="45" t="inlineStr">
        <is>
          <t>R-3</t>
        </is>
      </c>
      <c r="D60" s="45" t="inlineStr">
        <is>
          <t>R-4</t>
        </is>
      </c>
      <c r="E60" s="45" t="inlineStr">
        <is>
          <t>R-5</t>
        </is>
      </c>
      <c r="F60" s="45" t="inlineStr">
        <is>
          <t>역할(1차)</t>
        </is>
      </c>
      <c r="G60" s="45" t="inlineStr">
        <is>
          <t>역할(2차)</t>
        </is>
      </c>
      <c r="H60" s="45" t="inlineStr">
        <is>
          <t>C-1 직무전문성</t>
        </is>
      </c>
      <c r="I60" s="45" t="inlineStr">
        <is>
          <t>C-2 분석력</t>
        </is>
      </c>
      <c r="J60" s="45" t="inlineStr">
        <is>
          <t>C-3 기획실행</t>
        </is>
      </c>
      <c r="K60" s="45" t="inlineStr">
        <is>
          <t>C-4 자원시간</t>
        </is>
      </c>
      <c r="L60" s="45" t="inlineStr">
        <is>
          <t>C-5 협업</t>
        </is>
      </c>
      <c r="M60" s="45" t="inlineStr">
        <is>
          <t>C-6 소통</t>
        </is>
      </c>
      <c r="N60" s="45" t="inlineStr">
        <is>
          <t>C-7 윤리</t>
        </is>
      </c>
      <c r="O60" s="45" t="inlineStr">
        <is>
          <t>C-8 태도</t>
        </is>
      </c>
      <c r="P60" s="45" t="inlineStr">
        <is>
          <t>C-9 혁신</t>
        </is>
      </c>
      <c r="Q60" s="45" t="inlineStr">
        <is>
          <t>C-10 프로세스</t>
        </is>
      </c>
      <c r="R60" s="45" t="inlineStr">
        <is>
          <t>C-11 지속가능</t>
        </is>
      </c>
      <c r="S60" s="45" t="inlineStr">
        <is>
          <t>직무(1차)</t>
        </is>
      </c>
      <c r="T60" s="45" t="inlineStr">
        <is>
          <t>직무(2차)</t>
        </is>
      </c>
      <c r="U60" s="45" t="inlineStr">
        <is>
          <t>소견</t>
        </is>
      </c>
    </row>
    <row r="61" ht="32" customHeight="1">
      <c r="A61" s="37">
        <f>IF(F11="","",IF(F11&gt;=4.5,"S",IF(F11&gt;=3.5,"A",IF(F11&gt;=2.5,"B",IF(F11&gt;=1.5,"C","D")))))</f>
        <v/>
      </c>
      <c r="B61" s="37">
        <f>IF(F12="","",IF(F12&gt;=4.5,"S",IF(F12&gt;=3.5,"A",IF(F12&gt;=2.5,"B",IF(F12&gt;=1.5,"C","D")))))</f>
        <v/>
      </c>
      <c r="C61" s="37">
        <f>IF(F13="","",IF(F13&gt;=4.5,"S",IF(F13&gt;=3.5,"A",IF(F13&gt;=2.5,"B",IF(F13&gt;=1.5,"C","D")))))</f>
        <v/>
      </c>
      <c r="D61" s="37">
        <f>IF(F14="","",IF(F14&gt;=4.5,"S",IF(F14&gt;=3.5,"A",IF(F14&gt;=2.5,"B",IF(F14&gt;=1.5,"C","D")))))</f>
        <v/>
      </c>
      <c r="E61" s="37">
        <f>IF(F15="","",IF(F15&gt;=4.5,"S",IF(F15&gt;=3.5,"A",IF(F15&gt;=2.5,"B",IF(F15&gt;=1.5,"C","D")))))</f>
        <v/>
      </c>
      <c r="F61" s="37">
        <f>IF(D16="","",IF(D16&gt;=4.5,"S",IF(D16&gt;=3.5,"A",IF(D16&gt;=2.5,"B",IF(D16&gt;=1.5,"C","D")))))</f>
        <v/>
      </c>
      <c r="G61" s="37">
        <f>IF(D17="","",IF(D17&gt;=4.5,"S",IF(D17&gt;=3.5,"A",IF(D17&gt;=2.5,"B",IF(D17&gt;=1.5,"C","D")))))</f>
        <v/>
      </c>
      <c r="H61" s="37">
        <f>IF(G21="","",IF(G21&gt;=4.5,"S",IF(G21&gt;=3.5,"A",IF(G21&gt;=2.5,"B",IF(G21&gt;=1.5,"C","D")))))</f>
        <v/>
      </c>
      <c r="I61" s="37">
        <f>IF(G22="","",IF(G22&gt;=4.5,"S",IF(G22&gt;=3.5,"A",IF(G22&gt;=2.5,"B",IF(G22&gt;=1.5,"C","D")))))</f>
        <v/>
      </c>
      <c r="J61" s="37">
        <f>IF(G23="","",IF(G23&gt;=4.5,"S",IF(G23&gt;=3.5,"A",IF(G23&gt;=2.5,"B",IF(G23&gt;=1.5,"C","D")))))</f>
        <v/>
      </c>
      <c r="K61" s="37">
        <f>IF(G24="","",IF(G24&gt;=4.5,"S",IF(G24&gt;=3.5,"A",IF(G24&gt;=2.5,"B",IF(G24&gt;=1.5,"C","D")))))</f>
        <v/>
      </c>
      <c r="L61" s="37">
        <f>IF(G25="","",IF(G25&gt;=4.5,"S",IF(G25&gt;=3.5,"A",IF(G25&gt;=2.5,"B",IF(G25&gt;=1.5,"C","D")))))</f>
        <v/>
      </c>
      <c r="M61" s="37">
        <f>IF(G26="","",IF(G26&gt;=4.5,"S",IF(G26&gt;=3.5,"A",IF(G26&gt;=2.5,"B",IF(G26&gt;=1.5,"C","D")))))</f>
        <v/>
      </c>
      <c r="N61" s="37">
        <f>IF(G27="","",IF(G27&gt;=4.5,"S",IF(G27&gt;=3.5,"A",IF(G27&gt;=2.5,"B",IF(G27&gt;=1.5,"C","D")))))</f>
        <v/>
      </c>
      <c r="O61" s="37">
        <f>IF(G28="","",IF(G28&gt;=4.5,"S",IF(G28&gt;=3.5,"A",IF(G28&gt;=2.5,"B",IF(G28&gt;=1.5,"C","D")))))</f>
        <v/>
      </c>
      <c r="P61" s="37">
        <f>IF(G29="","",IF(G29&gt;=4.5,"S",IF(G29&gt;=3.5,"A",IF(G29&gt;=2.5,"B",IF(G29&gt;=1.5,"C","D")))))</f>
        <v/>
      </c>
      <c r="Q61" s="37">
        <f>IF(G30="","",IF(G30&gt;=4.5,"S",IF(G30&gt;=3.5,"A",IF(G30&gt;=2.5,"B",IF(G30&gt;=1.5,"C","D")))))</f>
        <v/>
      </c>
      <c r="R61" s="37">
        <f>IF(G31="","",IF(G31&gt;=4.5,"S",IF(G31&gt;=3.5,"A",IF(G31&gt;=2.5,"B",IF(G31&gt;=1.5,"C","D")))))</f>
        <v/>
      </c>
      <c r="S61" s="37">
        <f>IF(E55="","",IF(E55&gt;=4.5,"S",IF(E55&gt;=3.5,"A",IF(E55&gt;=2.5,"B",IF(E55&gt;=1.5,"C","D")))))</f>
        <v/>
      </c>
      <c r="T61" s="37">
        <f>IF(F56="","",IF(F56&gt;=4.5,"S",IF(F56&gt;=3.5,"A",IF(F56&gt;=2.5,"B",IF(F56&gt;=1.5,"C","D")))))</f>
        <v/>
      </c>
      <c r="U61" s="46" t="inlineStr"/>
    </row>
    <row r="62" ht="26" customHeight="1">
      <c r="A62" s="47" t="inlineStr">
        <is>
          <t>사용법: 위 한 줄 A~U 선택 → Ctrl+C → 마스터 07a/07b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16" t="inlineStr">
        <is>
          <t>강점</t>
        </is>
      </c>
      <c r="B65" s="17" t="inlineStr"/>
    </row>
    <row r="66" ht="40" customHeight="1">
      <c r="A66" s="16" t="inlineStr">
        <is>
          <t>개선</t>
        </is>
      </c>
      <c r="B66" s="17" t="inlineStr"/>
    </row>
    <row r="67" ht="40" customHeight="1">
      <c r="A67" s="16" t="inlineStr">
        <is>
          <t>육성 방향</t>
        </is>
      </c>
      <c r="B67" s="1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송헌영 (G6, 경영전략기획)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BSS-005</t>
        </is>
      </c>
      <c r="C5" s="24" t="inlineStr">
        <is>
          <t>성명</t>
        </is>
      </c>
      <c r="D5" s="28" t="inlineStr">
        <is>
          <t>송헌영</t>
        </is>
      </c>
      <c r="E5" s="24" t="inlineStr">
        <is>
          <t>직군</t>
        </is>
      </c>
      <c r="F5" s="28" t="inlineStr">
        <is>
          <t>경영관리</t>
        </is>
      </c>
      <c r="G5" s="24" t="inlineStr">
        <is>
          <t>직무</t>
        </is>
      </c>
      <c r="H5" s="28" t="inlineStr">
        <is>
          <t>경영전략기획</t>
        </is>
      </c>
      <c r="I5" s="24" t="inlineStr">
        <is>
          <t>부서</t>
        </is>
      </c>
      <c r="J5" s="28" t="inlineStr">
        <is>
          <t>경영전략실</t>
        </is>
      </c>
    </row>
    <row r="6" ht="22" customHeight="1">
      <c r="A6" s="24" t="inlineStr">
        <is>
          <t>기존직급</t>
        </is>
      </c>
      <c r="B6" s="28" t="inlineStr">
        <is>
          <t>이사</t>
        </is>
      </c>
      <c r="C6" s="24" t="inlineStr">
        <is>
          <t>역할등급</t>
        </is>
      </c>
      <c r="D6" s="28" t="inlineStr">
        <is>
          <t>G6</t>
        </is>
      </c>
      <c r="E6" s="24" t="inlineStr">
        <is>
          <t>역할명</t>
        </is>
      </c>
      <c r="F6" s="28" t="inlineStr">
        <is>
          <t>사업·조직 관리</t>
        </is>
      </c>
      <c r="G6" s="24" t="inlineStr">
        <is>
          <t>입사일</t>
        </is>
      </c>
      <c r="H6" s="28" t="inlineStr">
        <is>
          <t>2015-05-08</t>
        </is>
      </c>
      <c r="I6" s="24" t="inlineStr">
        <is>
          <t>연봉</t>
        </is>
      </c>
      <c r="J6" s="28" t="inlineStr">
        <is>
          <t>65,180,000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회사의 비전·중장기 전략을 총괄하며, 전사 의사결정·대외 협력·리스크 관리를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경영기획</t>
        </is>
      </c>
      <c r="C35" s="42" t="inlineStr">
        <is>
          <t>중장기 경영전략 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경영기획</t>
        </is>
      </c>
      <c r="C36" s="42" t="inlineStr">
        <is>
          <t>조직 목표 및 KPI 관리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경영기획</t>
        </is>
      </c>
      <c r="C37" s="42" t="inlineStr">
        <is>
          <t>경영계획 및 예산수립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경영기획</t>
        </is>
      </c>
      <c r="C38" s="42" t="inlineStr">
        <is>
          <t>경영평가 및 모니터링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경영기획</t>
        </is>
      </c>
      <c r="C39" s="42" t="inlineStr">
        <is>
          <t>신규 사업 기획 및 타당성 검토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경영기획</t>
        </is>
      </c>
      <c r="C40" s="42" t="inlineStr">
        <is>
          <t>리스크 성과분석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인사총무</t>
        </is>
      </c>
      <c r="C41" s="42" t="inlineStr">
        <is>
          <t>인사관리 및 인력운영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인사총무</t>
        </is>
      </c>
      <c r="C42" s="42" t="inlineStr">
        <is>
          <t>급여 및 복리후생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인사총무</t>
        </is>
      </c>
      <c r="C43" s="42" t="inlineStr">
        <is>
          <t>총무 및 자산관리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20" t="inlineStr">
        <is>
          <t>J-10</t>
        </is>
      </c>
      <c r="B44" s="41" t="inlineStr">
        <is>
          <t>인사총무</t>
        </is>
      </c>
      <c r="C44" s="42" t="inlineStr">
        <is>
          <t>노무 및 법규</t>
        </is>
      </c>
      <c r="D44" s="18" t="inlineStr">
        <is>
          <t>O</t>
        </is>
      </c>
      <c r="E44" s="18" t="inlineStr"/>
      <c r="F44" s="18" t="inlineStr"/>
      <c r="G44" s="33">
        <f>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</f>
        <v/>
      </c>
      <c r="H44" s="34">
        <f>IF(G44="","",IF(G44&gt;=4.5,"S",IF(G44&gt;=3.5,"A",IF(G44&gt;=2.5,"B",IF(G44&gt;=1.5,"C","D")))))</f>
        <v/>
      </c>
    </row>
    <row r="45" ht="22" customHeight="1">
      <c r="A45" s="20" t="inlineStr">
        <is>
          <t>J-11</t>
        </is>
      </c>
      <c r="B45" s="41" t="inlineStr">
        <is>
          <t>인사총무</t>
        </is>
      </c>
      <c r="C45" s="42" t="inlineStr">
        <is>
          <t>조직문화 및 사내행사</t>
        </is>
      </c>
      <c r="D45" s="18" t="inlineStr">
        <is>
          <t>O</t>
        </is>
      </c>
      <c r="E45" s="18" t="inlineStr"/>
      <c r="F45" s="18" t="inlineStr"/>
      <c r="G45" s="33">
        <f>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</f>
        <v/>
      </c>
      <c r="H45" s="34">
        <f>IF(G45="","",IF(G45&gt;=4.5,"S",IF(G45&gt;=3.5,"A",IF(G45&gt;=2.5,"B",IF(G45&gt;=1.5,"C","D")))))</f>
        <v/>
      </c>
    </row>
    <row r="46" ht="22" customHeight="1">
      <c r="A46" s="20" t="inlineStr">
        <is>
          <t>J-12</t>
        </is>
      </c>
      <c r="B46" s="41" t="inlineStr">
        <is>
          <t>재무회계</t>
        </is>
      </c>
      <c r="C46" s="42" t="inlineStr">
        <is>
          <t>재무 전략 및 자금 관리</t>
        </is>
      </c>
      <c r="D46" s="18" t="inlineStr">
        <is>
          <t>O</t>
        </is>
      </c>
      <c r="E46" s="18" t="inlineStr"/>
      <c r="F46" s="18" t="inlineStr"/>
      <c r="G46" s="33">
        <f>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</f>
        <v/>
      </c>
      <c r="H46" s="34">
        <f>IF(G46="","",IF(G46&gt;=4.5,"S",IF(G46&gt;=3.5,"A",IF(G46&gt;=2.5,"B",IF(G46&gt;=1.5,"C","D")))))</f>
        <v/>
      </c>
    </row>
    <row r="47" ht="22" customHeight="1">
      <c r="A47" s="20" t="inlineStr">
        <is>
          <t>J-13</t>
        </is>
      </c>
      <c r="B47" s="41" t="inlineStr">
        <is>
          <t>재무회계</t>
        </is>
      </c>
      <c r="C47" s="42" t="inlineStr">
        <is>
          <t>회계 관리 및 결산</t>
        </is>
      </c>
      <c r="D47" s="18" t="inlineStr">
        <is>
          <t>O</t>
        </is>
      </c>
      <c r="E47" s="18" t="inlineStr"/>
      <c r="F47" s="18" t="inlineStr"/>
      <c r="G47" s="33">
        <f>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</f>
        <v/>
      </c>
      <c r="H47" s="34">
        <f>IF(G47="","",IF(G47&gt;=4.5,"S",IF(G47&gt;=3.5,"A",IF(G47&gt;=2.5,"B",IF(G47&gt;=1.5,"C","D")))))</f>
        <v/>
      </c>
    </row>
    <row r="48" ht="22" customHeight="1">
      <c r="A48" s="20" t="inlineStr">
        <is>
          <t>J-14</t>
        </is>
      </c>
      <c r="B48" s="41" t="inlineStr">
        <is>
          <t>재무회계</t>
        </is>
      </c>
      <c r="C48" s="42" t="inlineStr">
        <is>
          <t>결산 및 세무</t>
        </is>
      </c>
      <c r="D48" s="18" t="inlineStr">
        <is>
          <t>O</t>
        </is>
      </c>
      <c r="E48" s="18" t="inlineStr"/>
      <c r="F48" s="18" t="inlineStr"/>
      <c r="G48" s="33">
        <f>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</f>
        <v/>
      </c>
      <c r="H48" s="34">
        <f>IF(G48="","",IF(G48&gt;=4.5,"S",IF(G48&gt;=3.5,"A",IF(G48&gt;=2.5,"B",IF(G48&gt;=1.5,"C","D")))))</f>
        <v/>
      </c>
    </row>
    <row r="49" ht="22" customHeight="1">
      <c r="A49" s="20" t="inlineStr">
        <is>
          <t>J-15</t>
        </is>
      </c>
      <c r="B49" s="41" t="inlineStr">
        <is>
          <t>재무회계</t>
        </is>
      </c>
      <c r="C49" s="42" t="inlineStr">
        <is>
          <t>프로젝트 손익 및 원가관리</t>
        </is>
      </c>
      <c r="D49" s="18" t="inlineStr">
        <is>
          <t>O</t>
        </is>
      </c>
      <c r="E49" s="18" t="inlineStr"/>
      <c r="F49" s="18" t="inlineStr"/>
      <c r="G49" s="33">
        <f>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</f>
        <v/>
      </c>
      <c r="H49" s="34">
        <f>IF(G49="","",IF(G49&gt;=4.5,"S",IF(G49&gt;=3.5,"A",IF(G49&gt;=2.5,"B",IF(G49&gt;=1.5,"C","D")))))</f>
        <v/>
      </c>
    </row>
    <row r="50" ht="22" customHeight="1">
      <c r="A50" s="20" t="inlineStr">
        <is>
          <t>J-16</t>
        </is>
      </c>
      <c r="B50" s="41" t="inlineStr">
        <is>
          <t>재무회계</t>
        </is>
      </c>
      <c r="C50" s="42" t="inlineStr">
        <is>
          <t>자금 및 경영지원</t>
        </is>
      </c>
      <c r="D50" s="18" t="inlineStr">
        <is>
          <t>O</t>
        </is>
      </c>
      <c r="E50" s="18" t="inlineStr"/>
      <c r="F50" s="18" t="inlineStr"/>
      <c r="G50" s="33">
        <f>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</f>
        <v/>
      </c>
      <c r="H50" s="34">
        <f>IF(G50="","",IF(G50&gt;=4.5,"S",IF(G50&gt;=3.5,"A",IF(G50&gt;=2.5,"B",IF(G50&gt;=1.5,"C","D")))))</f>
        <v/>
      </c>
    </row>
    <row r="51" ht="22" customHeight="1">
      <c r="A51" s="20" t="inlineStr">
        <is>
          <t>J-17</t>
        </is>
      </c>
      <c r="B51" s="41" t="inlineStr">
        <is>
          <t>마케팅</t>
        </is>
      </c>
      <c r="C51" s="42" t="inlineStr">
        <is>
          <t>마케팅 전략 수립</t>
        </is>
      </c>
      <c r="D51" s="18" t="inlineStr">
        <is>
          <t>O</t>
        </is>
      </c>
      <c r="E51" s="18" t="inlineStr"/>
      <c r="F51" s="18" t="inlineStr"/>
      <c r="G51" s="33">
        <f>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</f>
        <v/>
      </c>
      <c r="H51" s="34">
        <f>IF(G51="","",IF(G51&gt;=4.5,"S",IF(G51&gt;=3.5,"A",IF(G51&gt;=2.5,"B",IF(G51&gt;=1.5,"C","D")))))</f>
        <v/>
      </c>
    </row>
    <row r="52" ht="22" customHeight="1">
      <c r="A52" s="20" t="inlineStr">
        <is>
          <t>J-18</t>
        </is>
      </c>
      <c r="B52" s="41" t="inlineStr">
        <is>
          <t>마케팅</t>
        </is>
      </c>
      <c r="C52" s="42" t="inlineStr">
        <is>
          <t>브랜드 마케팅</t>
        </is>
      </c>
      <c r="D52" s="18" t="inlineStr">
        <is>
          <t>O</t>
        </is>
      </c>
      <c r="E52" s="18" t="inlineStr"/>
      <c r="F52" s="18" t="inlineStr"/>
      <c r="G52" s="33">
        <f>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</f>
        <v/>
      </c>
      <c r="H52" s="34">
        <f>IF(G52="","",IF(G52&gt;=4.5,"S",IF(G52&gt;=3.5,"A",IF(G52&gt;=2.5,"B",IF(G52&gt;=1.5,"C","D")))))</f>
        <v/>
      </c>
    </row>
    <row r="53" ht="22" customHeight="1">
      <c r="A53" s="20" t="inlineStr">
        <is>
          <t>J-19</t>
        </is>
      </c>
      <c r="B53" s="41" t="inlineStr">
        <is>
          <t>마케팅</t>
        </is>
      </c>
      <c r="C53" s="42" t="inlineStr">
        <is>
          <t>컨텐츠 마케팅</t>
        </is>
      </c>
      <c r="D53" s="18" t="inlineStr">
        <is>
          <t>O</t>
        </is>
      </c>
      <c r="E53" s="18" t="inlineStr"/>
      <c r="F53" s="18" t="inlineStr"/>
      <c r="G53" s="33">
        <f>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</f>
        <v/>
      </c>
      <c r="H53" s="34">
        <f>IF(G53="","",IF(G53&gt;=4.5,"S",IF(G53&gt;=3.5,"A",IF(G53&gt;=2.5,"B",IF(G53&gt;=1.5,"C","D")))))</f>
        <v/>
      </c>
    </row>
    <row r="55" ht="24" customHeight="1">
      <c r="A55" s="43" t="inlineStr">
        <is>
          <t>1차 평가자 직무 종합</t>
        </is>
      </c>
      <c r="E55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+IF(E44="S",5,IF(E44="A",4,IF(E44="B",3,IF(E44="C",2,IF(E44="D",1,0)))))+IF(E45="S",5,IF(E45="A",4,IF(E45="B",3,IF(E45="C",2,IF(E45="D",1,0)))))+IF(E46="S",5,IF(E46="A",4,IF(E46="B",3,IF(E46="C",2,IF(E46="D",1,0)))))+IF(E47="S",5,IF(E47="A",4,IF(E47="B",3,IF(E47="C",2,IF(E47="D",1,0)))))+IF(E48="S",5,IF(E48="A",4,IF(E48="B",3,IF(E48="C",2,IF(E48="D",1,0)))))+IF(E49="S",5,IF(E49="A",4,IF(E49="B",3,IF(E49="C",2,IF(E49="D",1,0)))))+IF(E50="S",5,IF(E50="A",4,IF(E50="B",3,IF(E50="C",2,IF(E50="D",1,0)))))+IF(E51="S",5,IF(E51="A",4,IF(E51="B",3,IF(E51="C",2,IF(E51="D",1,0)))))+IF(E52="S",5,IF(E52="A",4,IF(E52="B",3,IF(E52="C",2,IF(E52="D",1,0)))))+IF(E53="S",5,IF(E53="A",4,IF(E53="B",3,IF(E53="C",2,IF(E53="D",1,0))))))/19,"")</f>
        <v/>
      </c>
      <c r="H55" s="37">
        <f>IF(E55="","",IF(E55&gt;=4.5,"S",IF(E55&gt;=3.5,"A",IF(E55&gt;=2.5,"B",IF(E55&gt;=1.5,"C","D")))))</f>
        <v/>
      </c>
    </row>
    <row r="56" ht="24" customHeight="1">
      <c r="A56" s="43" t="inlineStr">
        <is>
          <t>2차 평가자 직무 종합</t>
        </is>
      </c>
      <c r="F56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+IF(F44="S",5,IF(F44="A",4,IF(F44="B",3,IF(F44="C",2,IF(F44="D",1,0)))))+IF(F45="S",5,IF(F45="A",4,IF(F45="B",3,IF(F45="C",2,IF(F45="D",1,0)))))+IF(F46="S",5,IF(F46="A",4,IF(F46="B",3,IF(F46="C",2,IF(F46="D",1,0)))))+IF(F47="S",5,IF(F47="A",4,IF(F47="B",3,IF(F47="C",2,IF(F47="D",1,0)))))+IF(F48="S",5,IF(F48="A",4,IF(F48="B",3,IF(F48="C",2,IF(F48="D",1,0)))))+IF(F49="S",5,IF(F49="A",4,IF(F49="B",3,IF(F49="C",2,IF(F49="D",1,0)))))+IF(F50="S",5,IF(F50="A",4,IF(F50="B",3,IF(F50="C",2,IF(F50="D",1,0)))))+IF(F51="S",5,IF(F51="A",4,IF(F51="B",3,IF(F51="C",2,IF(F51="D",1,0)))))+IF(F52="S",5,IF(F52="A",4,IF(F52="B",3,IF(F52="C",2,IF(F52="D",1,0)))))+IF(F53="S",5,IF(F53="A",4,IF(F53="B",3,IF(F53="C",2,IF(F53="D",1,0))))))/19,"")</f>
        <v/>
      </c>
      <c r="H56" s="37">
        <f>IF(F56="","",IF(F56&gt;=4.5,"S",IF(F56&gt;=3.5,"A",IF(F56&gt;=2.5,"B",IF(F56&gt;=1.5,"C","D")))))</f>
        <v/>
      </c>
    </row>
    <row r="59" ht="32" customHeight="1">
      <c r="A59" s="44" t="inlineStr">
        <is>
          <t>▶ ★ 통합관리시트 입력 행 (한 줄 A~U 21개 셀 통째 복사 → 마스터 07a/07b의 G~AA에 [값 붙여넣기])</t>
        </is>
      </c>
    </row>
    <row r="60" ht="30" customHeight="1">
      <c r="A60" s="45" t="inlineStr">
        <is>
          <t>R-1</t>
        </is>
      </c>
      <c r="B60" s="45" t="inlineStr">
        <is>
          <t>R-2</t>
        </is>
      </c>
      <c r="C60" s="45" t="inlineStr">
        <is>
          <t>R-3</t>
        </is>
      </c>
      <c r="D60" s="45" t="inlineStr">
        <is>
          <t>R-4</t>
        </is>
      </c>
      <c r="E60" s="45" t="inlineStr">
        <is>
          <t>R-5</t>
        </is>
      </c>
      <c r="F60" s="45" t="inlineStr">
        <is>
          <t>역할(1차)</t>
        </is>
      </c>
      <c r="G60" s="45" t="inlineStr">
        <is>
          <t>역할(2차)</t>
        </is>
      </c>
      <c r="H60" s="45" t="inlineStr">
        <is>
          <t>C-1 직무전문성</t>
        </is>
      </c>
      <c r="I60" s="45" t="inlineStr">
        <is>
          <t>C-2 분석력</t>
        </is>
      </c>
      <c r="J60" s="45" t="inlineStr">
        <is>
          <t>C-3 기획실행</t>
        </is>
      </c>
      <c r="K60" s="45" t="inlineStr">
        <is>
          <t>C-4 자원시간</t>
        </is>
      </c>
      <c r="L60" s="45" t="inlineStr">
        <is>
          <t>C-5 협업</t>
        </is>
      </c>
      <c r="M60" s="45" t="inlineStr">
        <is>
          <t>C-6 소통</t>
        </is>
      </c>
      <c r="N60" s="45" t="inlineStr">
        <is>
          <t>C-7 윤리</t>
        </is>
      </c>
      <c r="O60" s="45" t="inlineStr">
        <is>
          <t>C-8 태도</t>
        </is>
      </c>
      <c r="P60" s="45" t="inlineStr">
        <is>
          <t>C-9 혁신</t>
        </is>
      </c>
      <c r="Q60" s="45" t="inlineStr">
        <is>
          <t>C-10 프로세스</t>
        </is>
      </c>
      <c r="R60" s="45" t="inlineStr">
        <is>
          <t>C-11 지속가능</t>
        </is>
      </c>
      <c r="S60" s="45" t="inlineStr">
        <is>
          <t>직무(1차)</t>
        </is>
      </c>
      <c r="T60" s="45" t="inlineStr">
        <is>
          <t>직무(2차)</t>
        </is>
      </c>
      <c r="U60" s="45" t="inlineStr">
        <is>
          <t>소견</t>
        </is>
      </c>
    </row>
    <row r="61" ht="32" customHeight="1">
      <c r="A61" s="37">
        <f>IF(F11="","",IF(F11&gt;=4.5,"S",IF(F11&gt;=3.5,"A",IF(F11&gt;=2.5,"B",IF(F11&gt;=1.5,"C","D")))))</f>
        <v/>
      </c>
      <c r="B61" s="37">
        <f>IF(F12="","",IF(F12&gt;=4.5,"S",IF(F12&gt;=3.5,"A",IF(F12&gt;=2.5,"B",IF(F12&gt;=1.5,"C","D")))))</f>
        <v/>
      </c>
      <c r="C61" s="37">
        <f>IF(F13="","",IF(F13&gt;=4.5,"S",IF(F13&gt;=3.5,"A",IF(F13&gt;=2.5,"B",IF(F13&gt;=1.5,"C","D")))))</f>
        <v/>
      </c>
      <c r="D61" s="37">
        <f>IF(F14="","",IF(F14&gt;=4.5,"S",IF(F14&gt;=3.5,"A",IF(F14&gt;=2.5,"B",IF(F14&gt;=1.5,"C","D")))))</f>
        <v/>
      </c>
      <c r="E61" s="37">
        <f>IF(F15="","",IF(F15&gt;=4.5,"S",IF(F15&gt;=3.5,"A",IF(F15&gt;=2.5,"B",IF(F15&gt;=1.5,"C","D")))))</f>
        <v/>
      </c>
      <c r="F61" s="37">
        <f>IF(D16="","",IF(D16&gt;=4.5,"S",IF(D16&gt;=3.5,"A",IF(D16&gt;=2.5,"B",IF(D16&gt;=1.5,"C","D")))))</f>
        <v/>
      </c>
      <c r="G61" s="37">
        <f>IF(D17="","",IF(D17&gt;=4.5,"S",IF(D17&gt;=3.5,"A",IF(D17&gt;=2.5,"B",IF(D17&gt;=1.5,"C","D")))))</f>
        <v/>
      </c>
      <c r="H61" s="37">
        <f>IF(G21="","",IF(G21&gt;=4.5,"S",IF(G21&gt;=3.5,"A",IF(G21&gt;=2.5,"B",IF(G21&gt;=1.5,"C","D")))))</f>
        <v/>
      </c>
      <c r="I61" s="37">
        <f>IF(G22="","",IF(G22&gt;=4.5,"S",IF(G22&gt;=3.5,"A",IF(G22&gt;=2.5,"B",IF(G22&gt;=1.5,"C","D")))))</f>
        <v/>
      </c>
      <c r="J61" s="37">
        <f>IF(G23="","",IF(G23&gt;=4.5,"S",IF(G23&gt;=3.5,"A",IF(G23&gt;=2.5,"B",IF(G23&gt;=1.5,"C","D")))))</f>
        <v/>
      </c>
      <c r="K61" s="37">
        <f>IF(G24="","",IF(G24&gt;=4.5,"S",IF(G24&gt;=3.5,"A",IF(G24&gt;=2.5,"B",IF(G24&gt;=1.5,"C","D")))))</f>
        <v/>
      </c>
      <c r="L61" s="37">
        <f>IF(G25="","",IF(G25&gt;=4.5,"S",IF(G25&gt;=3.5,"A",IF(G25&gt;=2.5,"B",IF(G25&gt;=1.5,"C","D")))))</f>
        <v/>
      </c>
      <c r="M61" s="37">
        <f>IF(G26="","",IF(G26&gt;=4.5,"S",IF(G26&gt;=3.5,"A",IF(G26&gt;=2.5,"B",IF(G26&gt;=1.5,"C","D")))))</f>
        <v/>
      </c>
      <c r="N61" s="37">
        <f>IF(G27="","",IF(G27&gt;=4.5,"S",IF(G27&gt;=3.5,"A",IF(G27&gt;=2.5,"B",IF(G27&gt;=1.5,"C","D")))))</f>
        <v/>
      </c>
      <c r="O61" s="37">
        <f>IF(G28="","",IF(G28&gt;=4.5,"S",IF(G28&gt;=3.5,"A",IF(G28&gt;=2.5,"B",IF(G28&gt;=1.5,"C","D")))))</f>
        <v/>
      </c>
      <c r="P61" s="37">
        <f>IF(G29="","",IF(G29&gt;=4.5,"S",IF(G29&gt;=3.5,"A",IF(G29&gt;=2.5,"B",IF(G29&gt;=1.5,"C","D")))))</f>
        <v/>
      </c>
      <c r="Q61" s="37">
        <f>IF(G30="","",IF(G30&gt;=4.5,"S",IF(G30&gt;=3.5,"A",IF(G30&gt;=2.5,"B",IF(G30&gt;=1.5,"C","D")))))</f>
        <v/>
      </c>
      <c r="R61" s="37">
        <f>IF(G31="","",IF(G31&gt;=4.5,"S",IF(G31&gt;=3.5,"A",IF(G31&gt;=2.5,"B",IF(G31&gt;=1.5,"C","D")))))</f>
        <v/>
      </c>
      <c r="S61" s="37">
        <f>IF(E55="","",IF(E55&gt;=4.5,"S",IF(E55&gt;=3.5,"A",IF(E55&gt;=2.5,"B",IF(E55&gt;=1.5,"C","D")))))</f>
        <v/>
      </c>
      <c r="T61" s="37">
        <f>IF(F56="","",IF(F56&gt;=4.5,"S",IF(F56&gt;=3.5,"A",IF(F56&gt;=2.5,"B",IF(F56&gt;=1.5,"C","D")))))</f>
        <v/>
      </c>
      <c r="U61" s="46" t="inlineStr"/>
    </row>
    <row r="62" ht="26" customHeight="1">
      <c r="A62" s="47" t="inlineStr">
        <is>
          <t>사용법: 위 한 줄 A~U 선택 → Ctrl+C → 마스터 07a/07b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16" t="inlineStr">
        <is>
          <t>강점</t>
        </is>
      </c>
      <c r="B65" s="17" t="inlineStr"/>
    </row>
    <row r="66" ht="40" customHeight="1">
      <c r="A66" s="16" t="inlineStr">
        <is>
          <t>개선</t>
        </is>
      </c>
      <c r="B66" s="17" t="inlineStr"/>
    </row>
    <row r="67" ht="40" customHeight="1">
      <c r="A67" s="16" t="inlineStr">
        <is>
          <t>육성 방향</t>
        </is>
      </c>
      <c r="B67" s="1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이재용 (G6, 경영전략기획)</t>
        </is>
      </c>
    </row>
    <row r="2" ht="22" customHeight="1">
      <c r="A2" s="2" t="inlineStr">
        <is>
          <t>1차/2차 평가자가 각자 입력 → 가중평균 자동 → 하단 [복사용 행]을 마스터에 붙여넣기</t>
        </is>
      </c>
    </row>
    <row r="3" ht="24" customHeight="1">
      <c r="A3" s="24" t="inlineStr">
        <is>
          <t>1차 W</t>
        </is>
      </c>
      <c r="B3" s="25" t="n">
        <v>0.5</v>
      </c>
      <c r="C3" s="24" t="inlineStr">
        <is>
          <t>2차 W</t>
        </is>
      </c>
      <c r="D3" s="26">
        <f>1-B3</f>
        <v/>
      </c>
      <c r="E3" s="27" t="inlineStr">
        <is>
          <t>★ 마스터 02_의사결정 ⑥ 가중치와 동일하게 (기본 50:50)</t>
        </is>
      </c>
    </row>
    <row r="4" ht="24" customHeight="1">
      <c r="A4" s="3" t="inlineStr">
        <is>
          <t>▶ 평가 대상자 정보</t>
        </is>
      </c>
    </row>
    <row r="5" ht="22" customHeight="1">
      <c r="A5" s="24" t="inlineStr">
        <is>
          <t>사번</t>
        </is>
      </c>
      <c r="B5" s="28" t="inlineStr">
        <is>
          <t>BSS-006</t>
        </is>
      </c>
      <c r="C5" s="24" t="inlineStr">
        <is>
          <t>성명</t>
        </is>
      </c>
      <c r="D5" s="28" t="inlineStr">
        <is>
          <t>이재용</t>
        </is>
      </c>
      <c r="E5" s="24" t="inlineStr">
        <is>
          <t>직군</t>
        </is>
      </c>
      <c r="F5" s="28" t="inlineStr">
        <is>
          <t>경영관리</t>
        </is>
      </c>
      <c r="G5" s="24" t="inlineStr">
        <is>
          <t>직무</t>
        </is>
      </c>
      <c r="H5" s="28" t="inlineStr">
        <is>
          <t>경영전략기획</t>
        </is>
      </c>
      <c r="I5" s="24" t="inlineStr">
        <is>
          <t>부서</t>
        </is>
      </c>
      <c r="J5" s="28" t="inlineStr">
        <is>
          <t>경영전략실</t>
        </is>
      </c>
    </row>
    <row r="6" ht="22" customHeight="1">
      <c r="A6" s="24" t="inlineStr">
        <is>
          <t>기존직급</t>
        </is>
      </c>
      <c r="B6" s="28" t="inlineStr">
        <is>
          <t>이사</t>
        </is>
      </c>
      <c r="C6" s="24" t="inlineStr">
        <is>
          <t>역할등급</t>
        </is>
      </c>
      <c r="D6" s="28" t="inlineStr">
        <is>
          <t>G6</t>
        </is>
      </c>
      <c r="E6" s="24" t="inlineStr">
        <is>
          <t>역할명</t>
        </is>
      </c>
      <c r="F6" s="28" t="inlineStr">
        <is>
          <t>사업·조직 관리</t>
        </is>
      </c>
      <c r="G6" s="24" t="inlineStr">
        <is>
          <t>입사일</t>
        </is>
      </c>
      <c r="H6" s="28" t="inlineStr">
        <is>
          <t>2015-06-15</t>
        </is>
      </c>
      <c r="I6" s="24" t="inlineStr">
        <is>
          <t>연봉</t>
        </is>
      </c>
      <c r="J6" s="28" t="inlineStr">
        <is>
          <t>62,000,000</t>
        </is>
      </c>
    </row>
    <row r="8" ht="26" customHeight="1">
      <c r="A8" s="29" t="inlineStr">
        <is>
          <t>▶ ① 역할평가 - 5개 BARS 항목</t>
        </is>
      </c>
    </row>
    <row r="9" ht="38" customHeight="1">
      <c r="A9" s="30" t="inlineStr">
        <is>
          <t>역할 정의</t>
        </is>
      </c>
      <c r="B9" s="23" t="inlineStr">
        <is>
          <t>회사의 비전·중장기 전략을 총괄하며, 전사 의사결정·대외 협력·리스크 관리를 주도.</t>
        </is>
      </c>
    </row>
    <row r="10" ht="28" customHeight="1">
      <c r="A10" s="31" t="inlineStr">
        <is>
          <t>No.</t>
        </is>
      </c>
      <c r="B10" s="31" t="inlineStr">
        <is>
          <t>평가항목</t>
        </is>
      </c>
      <c r="C10" s="31" t="inlineStr">
        <is>
          <t>평가 기준</t>
        </is>
      </c>
      <c r="D10" s="31" t="inlineStr">
        <is>
          <t>1차</t>
        </is>
      </c>
      <c r="E10" s="31" t="inlineStr">
        <is>
          <t>2차</t>
        </is>
      </c>
      <c r="F10" s="31" t="inlineStr">
        <is>
          <t>가중평균(점수)</t>
        </is>
      </c>
      <c r="G10" s="31" t="inlineStr">
        <is>
          <t>평균(등급)</t>
        </is>
      </c>
    </row>
    <row r="11" ht="38" customHeight="1">
      <c r="A11" s="30" t="inlineStr">
        <is>
          <t>R-1</t>
        </is>
      </c>
      <c r="B11" s="22" t="inlineStr">
        <is>
          <t>책임범위 이행도</t>
        </is>
      </c>
      <c r="C11" s="32" t="inlineStr">
        <is>
          <t>역할등급에 부합하는 책임 범위 내 업무 수행</t>
        </is>
      </c>
      <c r="D11" s="18" t="inlineStr"/>
      <c r="E11" s="18" t="inlineStr"/>
      <c r="F11" s="33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4">
        <f>IF(F11="","",IF(F11&gt;=4.5,"S",IF(F11&gt;=3.5,"A",IF(F11&gt;=2.5,"B",IF(F11&gt;=1.5,"C","D")))))</f>
        <v/>
      </c>
    </row>
    <row r="12" ht="38" customHeight="1">
      <c r="A12" s="30" t="inlineStr">
        <is>
          <t>R-2</t>
        </is>
      </c>
      <c r="B12" s="22" t="inlineStr">
        <is>
          <t>의사결정 적절성</t>
        </is>
      </c>
      <c r="C12" s="32" t="inlineStr">
        <is>
          <t>권한 수준 내 시의적절·합리적 의사결정</t>
        </is>
      </c>
      <c r="D12" s="18" t="inlineStr"/>
      <c r="E12" s="18" t="inlineStr"/>
      <c r="F12" s="33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4">
        <f>IF(F12="","",IF(F12&gt;=4.5,"S",IF(F12&gt;=3.5,"A",IF(F12&gt;=2.5,"B",IF(F12&gt;=1.5,"C","D")))))</f>
        <v/>
      </c>
    </row>
    <row r="13" ht="38" customHeight="1">
      <c r="A13" s="30" t="inlineStr">
        <is>
          <t>R-3</t>
        </is>
      </c>
      <c r="B13" s="22" t="inlineStr">
        <is>
          <t>성과 기여도</t>
        </is>
      </c>
      <c r="C13" s="32" t="inlineStr">
        <is>
          <t>조직·프로젝트 목표 달성에 정량적 기여</t>
        </is>
      </c>
      <c r="D13" s="18" t="inlineStr"/>
      <c r="E13" s="18" t="inlineStr"/>
      <c r="F13" s="33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4">
        <f>IF(F13="","",IF(F13&gt;=4.5,"S",IF(F13&gt;=3.5,"A",IF(F13&gt;=2.5,"B",IF(F13&gt;=1.5,"C","D")))))</f>
        <v/>
      </c>
    </row>
    <row r="14" ht="38" customHeight="1">
      <c r="A14" s="30" t="inlineStr">
        <is>
          <t>R-4</t>
        </is>
      </c>
      <c r="B14" s="22" t="inlineStr">
        <is>
          <t>조직 후배 코칭</t>
        </is>
      </c>
      <c r="C14" s="32" t="inlineStr">
        <is>
          <t>상·하위 역할과 효과적 협업 및 후배 코칭</t>
        </is>
      </c>
      <c r="D14" s="18" t="inlineStr"/>
      <c r="E14" s="18" t="inlineStr"/>
      <c r="F14" s="33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4">
        <f>IF(F14="","",IF(F14&gt;=4.5,"S",IF(F14&gt;=3.5,"A",IF(F14&gt;=2.5,"B",IF(F14&gt;=1.5,"C","D")))))</f>
        <v/>
      </c>
    </row>
    <row r="15" ht="38" customHeight="1">
      <c r="A15" s="30" t="inlineStr">
        <is>
          <t>R-5</t>
        </is>
      </c>
      <c r="B15" s="22" t="inlineStr">
        <is>
          <t>산출물 완성도</t>
        </is>
      </c>
      <c r="C15" s="32" t="inlineStr">
        <is>
          <t>산출물 품질과 기한 준수</t>
        </is>
      </c>
      <c r="D15" s="18" t="inlineStr"/>
      <c r="E15" s="18" t="inlineStr"/>
      <c r="F15" s="33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4">
        <f>IF(F15="","",IF(F15&gt;=4.5,"S",IF(F15&gt;=3.5,"A",IF(F15&gt;=2.5,"B",IF(F15&gt;=1.5,"C","D")))))</f>
        <v/>
      </c>
    </row>
    <row r="16" ht="24" customHeight="1">
      <c r="A16" s="35" t="inlineStr">
        <is>
          <t>1차 평가자 종합</t>
        </is>
      </c>
      <c r="D16" s="36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0" t="inlineStr">
        <is>
          <t>→ 등급</t>
        </is>
      </c>
      <c r="G16" s="37">
        <f>IF(D16="","",IF(D16&gt;=4.5,"S",IF(D16&gt;=3.5,"A",IF(D16&gt;=2.5,"B",IF(D16&gt;=1.5,"C","D")))))</f>
        <v/>
      </c>
    </row>
    <row r="17" ht="24" customHeight="1">
      <c r="A17" s="35" t="inlineStr">
        <is>
          <t>2차 평가자 종합</t>
        </is>
      </c>
      <c r="D17" s="36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0" t="inlineStr">
        <is>
          <t>→ 등급</t>
        </is>
      </c>
      <c r="G17" s="37">
        <f>IF(D17="","",IF(D17&gt;=4.5,"S",IF(D17&gt;=3.5,"A",IF(D17&gt;=2.5,"B",IF(D17&gt;=1.5,"C","D")))))</f>
        <v/>
      </c>
    </row>
    <row r="19" ht="26" customHeight="1">
      <c r="A19" s="38" t="inlineStr">
        <is>
          <t>▶ ② 공통역량평가 - 11개 (1·2차 가중평균)</t>
        </is>
      </c>
    </row>
    <row r="20" ht="28" customHeight="1">
      <c r="A20" s="31" t="inlineStr">
        <is>
          <t>No.</t>
        </is>
      </c>
      <c r="B20" s="31" t="inlineStr">
        <is>
          <t>역량군</t>
        </is>
      </c>
      <c r="C20" s="31" t="inlineStr">
        <is>
          <t>핵심 역량</t>
        </is>
      </c>
      <c r="D20" s="31" t="inlineStr">
        <is>
          <t>가중</t>
        </is>
      </c>
      <c r="E20" s="31" t="inlineStr">
        <is>
          <t>1차</t>
        </is>
      </c>
      <c r="F20" s="31" t="inlineStr">
        <is>
          <t>2차</t>
        </is>
      </c>
      <c r="G20" s="31" t="inlineStr">
        <is>
          <t>가중평균(점수)</t>
        </is>
      </c>
      <c r="H20" s="31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2" t="inlineStr">
        <is>
          <t>직무 전문성</t>
        </is>
      </c>
      <c r="D21" s="39" t="n">
        <v>0.15</v>
      </c>
      <c r="E21" s="18" t="inlineStr"/>
      <c r="F21" s="18" t="inlineStr"/>
      <c r="G21" s="33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7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2" t="inlineStr">
        <is>
          <t>분석력</t>
        </is>
      </c>
      <c r="D22" s="39" t="n">
        <v>0.1</v>
      </c>
      <c r="E22" s="18" t="inlineStr"/>
      <c r="F22" s="18" t="inlineStr"/>
      <c r="G22" s="33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7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2" t="inlineStr">
        <is>
          <t>기획/실행력</t>
        </is>
      </c>
      <c r="D23" s="39" t="n">
        <v>0.1</v>
      </c>
      <c r="E23" s="18" t="inlineStr"/>
      <c r="F23" s="18" t="inlineStr"/>
      <c r="G23" s="33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7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2" t="inlineStr">
        <is>
          <t>자원·시간 관리</t>
        </is>
      </c>
      <c r="D24" s="39" t="n">
        <v>0.1</v>
      </c>
      <c r="E24" s="18" t="inlineStr"/>
      <c r="F24" s="18" t="inlineStr"/>
      <c r="G24" s="33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7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2" t="inlineStr">
        <is>
          <t>협업 능력</t>
        </is>
      </c>
      <c r="D25" s="39" t="n">
        <v>0.1</v>
      </c>
      <c r="E25" s="18" t="inlineStr"/>
      <c r="F25" s="18" t="inlineStr"/>
      <c r="G25" s="33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7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2" t="inlineStr">
        <is>
          <t>소통 능력</t>
        </is>
      </c>
      <c r="D26" s="39" t="n">
        <v>0.1</v>
      </c>
      <c r="E26" s="18" t="inlineStr"/>
      <c r="F26" s="18" t="inlineStr"/>
      <c r="G26" s="33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7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2" t="inlineStr">
        <is>
          <t>윤리/책임감</t>
        </is>
      </c>
      <c r="D27" s="39" t="n">
        <v>0.1</v>
      </c>
      <c r="E27" s="18" t="inlineStr"/>
      <c r="F27" s="18" t="inlineStr"/>
      <c r="G27" s="33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7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2" t="inlineStr">
        <is>
          <t>업무 태도</t>
        </is>
      </c>
      <c r="D28" s="39" t="n">
        <v>0.1</v>
      </c>
      <c r="E28" s="18" t="inlineStr"/>
      <c r="F28" s="18" t="inlineStr"/>
      <c r="G28" s="33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7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2" t="inlineStr">
        <is>
          <t>혁신 역량</t>
        </is>
      </c>
      <c r="D29" s="39" t="n">
        <v>0.05</v>
      </c>
      <c r="E29" s="18" t="inlineStr"/>
      <c r="F29" s="18" t="inlineStr"/>
      <c r="G29" s="33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7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2" t="inlineStr">
        <is>
          <t>프로세스 개선</t>
        </is>
      </c>
      <c r="D30" s="39" t="n">
        <v>0.05</v>
      </c>
      <c r="E30" s="18" t="inlineStr"/>
      <c r="F30" s="18" t="inlineStr"/>
      <c r="G30" s="33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7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2" t="inlineStr">
        <is>
          <t>지속가능 기여</t>
        </is>
      </c>
      <c r="D31" s="39" t="n">
        <v>0.05</v>
      </c>
      <c r="E31" s="18" t="inlineStr"/>
      <c r="F31" s="18" t="inlineStr"/>
      <c r="G31" s="33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7">
        <f>IF(G31="","",IF(G31&gt;=4.5,"S",IF(G31&gt;=3.5,"A",IF(G31&gt;=2.5,"B",IF(G31&gt;=1.5,"C","D")))))</f>
        <v/>
      </c>
    </row>
    <row r="33" ht="26" customHeight="1">
      <c r="A33" s="40" t="inlineStr">
        <is>
          <t>▶ ③ 직무역량평가 - 메인 책무(O)만 평가</t>
        </is>
      </c>
    </row>
    <row r="34" ht="28" customHeight="1">
      <c r="A34" s="31" t="inlineStr">
        <is>
          <t>No.</t>
        </is>
      </c>
      <c r="B34" s="31" t="inlineStr">
        <is>
          <t>전문영역</t>
        </is>
      </c>
      <c r="C34" s="31" t="inlineStr">
        <is>
          <t>핵심 책무</t>
        </is>
      </c>
      <c r="D34" s="31" t="inlineStr">
        <is>
          <t>메인</t>
        </is>
      </c>
      <c r="E34" s="31" t="inlineStr">
        <is>
          <t>1차</t>
        </is>
      </c>
      <c r="F34" s="31" t="inlineStr">
        <is>
          <t>2차</t>
        </is>
      </c>
      <c r="G34" s="31" t="inlineStr">
        <is>
          <t>가중평균(점수)</t>
        </is>
      </c>
      <c r="H34" s="31" t="inlineStr">
        <is>
          <t>평균(등급)</t>
        </is>
      </c>
    </row>
    <row r="35" ht="22" customHeight="1">
      <c r="A35" s="20" t="inlineStr">
        <is>
          <t>J-1</t>
        </is>
      </c>
      <c r="B35" s="41" t="inlineStr">
        <is>
          <t>경영기획</t>
        </is>
      </c>
      <c r="C35" s="42" t="inlineStr">
        <is>
          <t>중장기 경영전략 수립</t>
        </is>
      </c>
      <c r="D35" s="18" t="inlineStr">
        <is>
          <t>O</t>
        </is>
      </c>
      <c r="E35" s="18" t="inlineStr"/>
      <c r="F35" s="18" t="inlineStr"/>
      <c r="G35" s="33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4">
        <f>IF(G35="","",IF(G35&gt;=4.5,"S",IF(G35&gt;=3.5,"A",IF(G35&gt;=2.5,"B",IF(G35&gt;=1.5,"C","D")))))</f>
        <v/>
      </c>
    </row>
    <row r="36" ht="22" customHeight="1">
      <c r="A36" s="20" t="inlineStr">
        <is>
          <t>J-2</t>
        </is>
      </c>
      <c r="B36" s="41" t="inlineStr">
        <is>
          <t>경영기획</t>
        </is>
      </c>
      <c r="C36" s="42" t="inlineStr">
        <is>
          <t>조직 목표 및 KPI 관리</t>
        </is>
      </c>
      <c r="D36" s="18" t="inlineStr">
        <is>
          <t>O</t>
        </is>
      </c>
      <c r="E36" s="18" t="inlineStr"/>
      <c r="F36" s="18" t="inlineStr"/>
      <c r="G36" s="33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4">
        <f>IF(G36="","",IF(G36&gt;=4.5,"S",IF(G36&gt;=3.5,"A",IF(G36&gt;=2.5,"B",IF(G36&gt;=1.5,"C","D")))))</f>
        <v/>
      </c>
    </row>
    <row r="37" ht="22" customHeight="1">
      <c r="A37" s="20" t="inlineStr">
        <is>
          <t>J-3</t>
        </is>
      </c>
      <c r="B37" s="41" t="inlineStr">
        <is>
          <t>경영기획</t>
        </is>
      </c>
      <c r="C37" s="42" t="inlineStr">
        <is>
          <t>경영계획 및 예산수립</t>
        </is>
      </c>
      <c r="D37" s="18" t="inlineStr">
        <is>
          <t>O</t>
        </is>
      </c>
      <c r="E37" s="18" t="inlineStr"/>
      <c r="F37" s="18" t="inlineStr"/>
      <c r="G37" s="33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4">
        <f>IF(G37="","",IF(G37&gt;=4.5,"S",IF(G37&gt;=3.5,"A",IF(G37&gt;=2.5,"B",IF(G37&gt;=1.5,"C","D")))))</f>
        <v/>
      </c>
    </row>
    <row r="38" ht="22" customHeight="1">
      <c r="A38" s="20" t="inlineStr">
        <is>
          <t>J-4</t>
        </is>
      </c>
      <c r="B38" s="41" t="inlineStr">
        <is>
          <t>경영기획</t>
        </is>
      </c>
      <c r="C38" s="42" t="inlineStr">
        <is>
          <t>경영평가 및 모니터링</t>
        </is>
      </c>
      <c r="D38" s="18" t="inlineStr">
        <is>
          <t>O</t>
        </is>
      </c>
      <c r="E38" s="18" t="inlineStr"/>
      <c r="F38" s="18" t="inlineStr"/>
      <c r="G38" s="33">
        <f>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</f>
        <v/>
      </c>
      <c r="H38" s="34">
        <f>IF(G38="","",IF(G38&gt;=4.5,"S",IF(G38&gt;=3.5,"A",IF(G38&gt;=2.5,"B",IF(G38&gt;=1.5,"C","D")))))</f>
        <v/>
      </c>
    </row>
    <row r="39" ht="22" customHeight="1">
      <c r="A39" s="20" t="inlineStr">
        <is>
          <t>J-5</t>
        </is>
      </c>
      <c r="B39" s="41" t="inlineStr">
        <is>
          <t>경영기획</t>
        </is>
      </c>
      <c r="C39" s="42" t="inlineStr">
        <is>
          <t>신규 사업 기획 및 타당성 검토</t>
        </is>
      </c>
      <c r="D39" s="18" t="inlineStr">
        <is>
          <t>O</t>
        </is>
      </c>
      <c r="E39" s="18" t="inlineStr"/>
      <c r="F39" s="18" t="inlineStr"/>
      <c r="G39" s="33">
        <f>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</f>
        <v/>
      </c>
      <c r="H39" s="34">
        <f>IF(G39="","",IF(G39&gt;=4.5,"S",IF(G39&gt;=3.5,"A",IF(G39&gt;=2.5,"B",IF(G39&gt;=1.5,"C","D")))))</f>
        <v/>
      </c>
    </row>
    <row r="40" ht="22" customHeight="1">
      <c r="A40" s="20" t="inlineStr">
        <is>
          <t>J-6</t>
        </is>
      </c>
      <c r="B40" s="41" t="inlineStr">
        <is>
          <t>경영기획</t>
        </is>
      </c>
      <c r="C40" s="42" t="inlineStr">
        <is>
          <t>리스크 성과분석</t>
        </is>
      </c>
      <c r="D40" s="18" t="inlineStr">
        <is>
          <t>O</t>
        </is>
      </c>
      <c r="E40" s="18" t="inlineStr"/>
      <c r="F40" s="18" t="inlineStr"/>
      <c r="G40" s="33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4">
        <f>IF(G40="","",IF(G40&gt;=4.5,"S",IF(G40&gt;=3.5,"A",IF(G40&gt;=2.5,"B",IF(G40&gt;=1.5,"C","D")))))</f>
        <v/>
      </c>
    </row>
    <row r="41" ht="22" customHeight="1">
      <c r="A41" s="20" t="inlineStr">
        <is>
          <t>J-7</t>
        </is>
      </c>
      <c r="B41" s="41" t="inlineStr">
        <is>
          <t>인사총무</t>
        </is>
      </c>
      <c r="C41" s="42" t="inlineStr">
        <is>
          <t>인사관리 및 인력운영</t>
        </is>
      </c>
      <c r="D41" s="18" t="inlineStr">
        <is>
          <t>O</t>
        </is>
      </c>
      <c r="E41" s="18" t="inlineStr"/>
      <c r="F41" s="18" t="inlineStr"/>
      <c r="G41" s="33">
        <f>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</f>
        <v/>
      </c>
      <c r="H41" s="34">
        <f>IF(G41="","",IF(G41&gt;=4.5,"S",IF(G41&gt;=3.5,"A",IF(G41&gt;=2.5,"B",IF(G41&gt;=1.5,"C","D")))))</f>
        <v/>
      </c>
    </row>
    <row r="42" ht="22" customHeight="1">
      <c r="A42" s="20" t="inlineStr">
        <is>
          <t>J-8</t>
        </is>
      </c>
      <c r="B42" s="41" t="inlineStr">
        <is>
          <t>인사총무</t>
        </is>
      </c>
      <c r="C42" s="42" t="inlineStr">
        <is>
          <t>급여 및 복리후생</t>
        </is>
      </c>
      <c r="D42" s="18" t="inlineStr">
        <is>
          <t>O</t>
        </is>
      </c>
      <c r="E42" s="18" t="inlineStr"/>
      <c r="F42" s="18" t="inlineStr"/>
      <c r="G42" s="33">
        <f>IFERROR(IF(AND(E42&lt;&gt;"",F42&lt;&gt;""),$B$3*IF(E42="S",5,IF(E42="A",4,IF(E42="B",3,IF(E42="C",2,IF(E42="D",1,0)))))+$D$3*IF(F42="S",5,IF(F42="A",4,IF(F42="B",3,IF(F42="C",2,IF(F42="D",1,0))))),IF(E42&lt;&gt;"",IF(E42="S",5,IF(E42="A",4,IF(E42="B",3,IF(E42="C",2,IF(E42="D",1,0))))),IF(F42&lt;&gt;"",IF(F42="S",5,IF(F42="A",4,IF(F42="B",3,IF(F42="C",2,IF(F42="D",1,0))))),""))),"")</f>
        <v/>
      </c>
      <c r="H42" s="34">
        <f>IF(G42="","",IF(G42&gt;=4.5,"S",IF(G42&gt;=3.5,"A",IF(G42&gt;=2.5,"B",IF(G42&gt;=1.5,"C","D")))))</f>
        <v/>
      </c>
    </row>
    <row r="43" ht="22" customHeight="1">
      <c r="A43" s="20" t="inlineStr">
        <is>
          <t>J-9</t>
        </is>
      </c>
      <c r="B43" s="41" t="inlineStr">
        <is>
          <t>인사총무</t>
        </is>
      </c>
      <c r="C43" s="42" t="inlineStr">
        <is>
          <t>총무 및 자산관리</t>
        </is>
      </c>
      <c r="D43" s="18" t="inlineStr">
        <is>
          <t>O</t>
        </is>
      </c>
      <c r="E43" s="18" t="inlineStr"/>
      <c r="F43" s="18" t="inlineStr"/>
      <c r="G43" s="33">
        <f>IFERROR(IF(AND(E43&lt;&gt;"",F43&lt;&gt;""),$B$3*IF(E43="S",5,IF(E43="A",4,IF(E43="B",3,IF(E43="C",2,IF(E43="D",1,0)))))+$D$3*IF(F43="S",5,IF(F43="A",4,IF(F43="B",3,IF(F43="C",2,IF(F43="D",1,0))))),IF(E43&lt;&gt;"",IF(E43="S",5,IF(E43="A",4,IF(E43="B",3,IF(E43="C",2,IF(E43="D",1,0))))),IF(F43&lt;&gt;"",IF(F43="S",5,IF(F43="A",4,IF(F43="B",3,IF(F43="C",2,IF(F43="D",1,0))))),""))),"")</f>
        <v/>
      </c>
      <c r="H43" s="34">
        <f>IF(G43="","",IF(G43&gt;=4.5,"S",IF(G43&gt;=3.5,"A",IF(G43&gt;=2.5,"B",IF(G43&gt;=1.5,"C","D")))))</f>
        <v/>
      </c>
    </row>
    <row r="44" ht="22" customHeight="1">
      <c r="A44" s="20" t="inlineStr">
        <is>
          <t>J-10</t>
        </is>
      </c>
      <c r="B44" s="41" t="inlineStr">
        <is>
          <t>인사총무</t>
        </is>
      </c>
      <c r="C44" s="42" t="inlineStr">
        <is>
          <t>노무 및 법규</t>
        </is>
      </c>
      <c r="D44" s="18" t="inlineStr">
        <is>
          <t>O</t>
        </is>
      </c>
      <c r="E44" s="18" t="inlineStr"/>
      <c r="F44" s="18" t="inlineStr"/>
      <c r="G44" s="33">
        <f>IFERROR(IF(AND(E44&lt;&gt;"",F44&lt;&gt;""),$B$3*IF(E44="S",5,IF(E44="A",4,IF(E44="B",3,IF(E44="C",2,IF(E44="D",1,0)))))+$D$3*IF(F44="S",5,IF(F44="A",4,IF(F44="B",3,IF(F44="C",2,IF(F44="D",1,0))))),IF(E44&lt;&gt;"",IF(E44="S",5,IF(E44="A",4,IF(E44="B",3,IF(E44="C",2,IF(E44="D",1,0))))),IF(F44&lt;&gt;"",IF(F44="S",5,IF(F44="A",4,IF(F44="B",3,IF(F44="C",2,IF(F44="D",1,0))))),""))),"")</f>
        <v/>
      </c>
      <c r="H44" s="34">
        <f>IF(G44="","",IF(G44&gt;=4.5,"S",IF(G44&gt;=3.5,"A",IF(G44&gt;=2.5,"B",IF(G44&gt;=1.5,"C","D")))))</f>
        <v/>
      </c>
    </row>
    <row r="45" ht="22" customHeight="1">
      <c r="A45" s="20" t="inlineStr">
        <is>
          <t>J-11</t>
        </is>
      </c>
      <c r="B45" s="41" t="inlineStr">
        <is>
          <t>인사총무</t>
        </is>
      </c>
      <c r="C45" s="42" t="inlineStr">
        <is>
          <t>조직문화 및 사내행사</t>
        </is>
      </c>
      <c r="D45" s="18" t="inlineStr">
        <is>
          <t>O</t>
        </is>
      </c>
      <c r="E45" s="18" t="inlineStr"/>
      <c r="F45" s="18" t="inlineStr"/>
      <c r="G45" s="33">
        <f>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</f>
        <v/>
      </c>
      <c r="H45" s="34">
        <f>IF(G45="","",IF(G45&gt;=4.5,"S",IF(G45&gt;=3.5,"A",IF(G45&gt;=2.5,"B",IF(G45&gt;=1.5,"C","D")))))</f>
        <v/>
      </c>
    </row>
    <row r="46" ht="22" customHeight="1">
      <c r="A46" s="20" t="inlineStr">
        <is>
          <t>J-12</t>
        </is>
      </c>
      <c r="B46" s="41" t="inlineStr">
        <is>
          <t>재무회계</t>
        </is>
      </c>
      <c r="C46" s="42" t="inlineStr">
        <is>
          <t>재무 전략 및 자금 관리</t>
        </is>
      </c>
      <c r="D46" s="18" t="inlineStr">
        <is>
          <t>O</t>
        </is>
      </c>
      <c r="E46" s="18" t="inlineStr"/>
      <c r="F46" s="18" t="inlineStr"/>
      <c r="G46" s="33">
        <f>IFERROR(IF(AND(E46&lt;&gt;"",F46&lt;&gt;""),$B$3*IF(E46="S",5,IF(E46="A",4,IF(E46="B",3,IF(E46="C",2,IF(E46="D",1,0)))))+$D$3*IF(F46="S",5,IF(F46="A",4,IF(F46="B",3,IF(F46="C",2,IF(F46="D",1,0))))),IF(E46&lt;&gt;"",IF(E46="S",5,IF(E46="A",4,IF(E46="B",3,IF(E46="C",2,IF(E46="D",1,0))))),IF(F46&lt;&gt;"",IF(F46="S",5,IF(F46="A",4,IF(F46="B",3,IF(F46="C",2,IF(F46="D",1,0))))),""))),"")</f>
        <v/>
      </c>
      <c r="H46" s="34">
        <f>IF(G46="","",IF(G46&gt;=4.5,"S",IF(G46&gt;=3.5,"A",IF(G46&gt;=2.5,"B",IF(G46&gt;=1.5,"C","D")))))</f>
        <v/>
      </c>
    </row>
    <row r="47" ht="22" customHeight="1">
      <c r="A47" s="20" t="inlineStr">
        <is>
          <t>J-13</t>
        </is>
      </c>
      <c r="B47" s="41" t="inlineStr">
        <is>
          <t>재무회계</t>
        </is>
      </c>
      <c r="C47" s="42" t="inlineStr">
        <is>
          <t>회계 관리 및 결산</t>
        </is>
      </c>
      <c r="D47" s="18" t="inlineStr">
        <is>
          <t>O</t>
        </is>
      </c>
      <c r="E47" s="18" t="inlineStr"/>
      <c r="F47" s="18" t="inlineStr"/>
      <c r="G47" s="33">
        <f>IFERROR(IF(AND(E47&lt;&gt;"",F47&lt;&gt;""),$B$3*IF(E47="S",5,IF(E47="A",4,IF(E47="B",3,IF(E47="C",2,IF(E47="D",1,0)))))+$D$3*IF(F47="S",5,IF(F47="A",4,IF(F47="B",3,IF(F47="C",2,IF(F47="D",1,0))))),IF(E47&lt;&gt;"",IF(E47="S",5,IF(E47="A",4,IF(E47="B",3,IF(E47="C",2,IF(E47="D",1,0))))),IF(F47&lt;&gt;"",IF(F47="S",5,IF(F47="A",4,IF(F47="B",3,IF(F47="C",2,IF(F47="D",1,0))))),""))),"")</f>
        <v/>
      </c>
      <c r="H47" s="34">
        <f>IF(G47="","",IF(G47&gt;=4.5,"S",IF(G47&gt;=3.5,"A",IF(G47&gt;=2.5,"B",IF(G47&gt;=1.5,"C","D")))))</f>
        <v/>
      </c>
    </row>
    <row r="48" ht="22" customHeight="1">
      <c r="A48" s="20" t="inlineStr">
        <is>
          <t>J-14</t>
        </is>
      </c>
      <c r="B48" s="41" t="inlineStr">
        <is>
          <t>재무회계</t>
        </is>
      </c>
      <c r="C48" s="42" t="inlineStr">
        <is>
          <t>결산 및 세무</t>
        </is>
      </c>
      <c r="D48" s="18" t="inlineStr">
        <is>
          <t>O</t>
        </is>
      </c>
      <c r="E48" s="18" t="inlineStr"/>
      <c r="F48" s="18" t="inlineStr"/>
      <c r="G48" s="33">
        <f>IFERROR(IF(AND(E48&lt;&gt;"",F48&lt;&gt;""),$B$3*IF(E48="S",5,IF(E48="A",4,IF(E48="B",3,IF(E48="C",2,IF(E48="D",1,0)))))+$D$3*IF(F48="S",5,IF(F48="A",4,IF(F48="B",3,IF(F48="C",2,IF(F48="D",1,0))))),IF(E48&lt;&gt;"",IF(E48="S",5,IF(E48="A",4,IF(E48="B",3,IF(E48="C",2,IF(E48="D",1,0))))),IF(F48&lt;&gt;"",IF(F48="S",5,IF(F48="A",4,IF(F48="B",3,IF(F48="C",2,IF(F48="D",1,0))))),""))),"")</f>
        <v/>
      </c>
      <c r="H48" s="34">
        <f>IF(G48="","",IF(G48&gt;=4.5,"S",IF(G48&gt;=3.5,"A",IF(G48&gt;=2.5,"B",IF(G48&gt;=1.5,"C","D")))))</f>
        <v/>
      </c>
    </row>
    <row r="49" ht="22" customHeight="1">
      <c r="A49" s="20" t="inlineStr">
        <is>
          <t>J-15</t>
        </is>
      </c>
      <c r="B49" s="41" t="inlineStr">
        <is>
          <t>재무회계</t>
        </is>
      </c>
      <c r="C49" s="42" t="inlineStr">
        <is>
          <t>프로젝트 손익 및 원가관리</t>
        </is>
      </c>
      <c r="D49" s="18" t="inlineStr">
        <is>
          <t>O</t>
        </is>
      </c>
      <c r="E49" s="18" t="inlineStr"/>
      <c r="F49" s="18" t="inlineStr"/>
      <c r="G49" s="33">
        <f>IFERROR(IF(AND(E49&lt;&gt;"",F49&lt;&gt;""),$B$3*IF(E49="S",5,IF(E49="A",4,IF(E49="B",3,IF(E49="C",2,IF(E49="D",1,0)))))+$D$3*IF(F49="S",5,IF(F49="A",4,IF(F49="B",3,IF(F49="C",2,IF(F49="D",1,0))))),IF(E49&lt;&gt;"",IF(E49="S",5,IF(E49="A",4,IF(E49="B",3,IF(E49="C",2,IF(E49="D",1,0))))),IF(F49&lt;&gt;"",IF(F49="S",5,IF(F49="A",4,IF(F49="B",3,IF(F49="C",2,IF(F49="D",1,0))))),""))),"")</f>
        <v/>
      </c>
      <c r="H49" s="34">
        <f>IF(G49="","",IF(G49&gt;=4.5,"S",IF(G49&gt;=3.5,"A",IF(G49&gt;=2.5,"B",IF(G49&gt;=1.5,"C","D")))))</f>
        <v/>
      </c>
    </row>
    <row r="50" ht="22" customHeight="1">
      <c r="A50" s="20" t="inlineStr">
        <is>
          <t>J-16</t>
        </is>
      </c>
      <c r="B50" s="41" t="inlineStr">
        <is>
          <t>재무회계</t>
        </is>
      </c>
      <c r="C50" s="42" t="inlineStr">
        <is>
          <t>자금 및 경영지원</t>
        </is>
      </c>
      <c r="D50" s="18" t="inlineStr">
        <is>
          <t>O</t>
        </is>
      </c>
      <c r="E50" s="18" t="inlineStr"/>
      <c r="F50" s="18" t="inlineStr"/>
      <c r="G50" s="33">
        <f>IFERROR(IF(AND(E50&lt;&gt;"",F50&lt;&gt;""),$B$3*IF(E50="S",5,IF(E50="A",4,IF(E50="B",3,IF(E50="C",2,IF(E50="D",1,0)))))+$D$3*IF(F50="S",5,IF(F50="A",4,IF(F50="B",3,IF(F50="C",2,IF(F50="D",1,0))))),IF(E50&lt;&gt;"",IF(E50="S",5,IF(E50="A",4,IF(E50="B",3,IF(E50="C",2,IF(E50="D",1,0))))),IF(F50&lt;&gt;"",IF(F50="S",5,IF(F50="A",4,IF(F50="B",3,IF(F50="C",2,IF(F50="D",1,0))))),""))),"")</f>
        <v/>
      </c>
      <c r="H50" s="34">
        <f>IF(G50="","",IF(G50&gt;=4.5,"S",IF(G50&gt;=3.5,"A",IF(G50&gt;=2.5,"B",IF(G50&gt;=1.5,"C","D")))))</f>
        <v/>
      </c>
    </row>
    <row r="51" ht="22" customHeight="1">
      <c r="A51" s="20" t="inlineStr">
        <is>
          <t>J-17</t>
        </is>
      </c>
      <c r="B51" s="41" t="inlineStr">
        <is>
          <t>마케팅</t>
        </is>
      </c>
      <c r="C51" s="42" t="inlineStr">
        <is>
          <t>마케팅 전략 수립</t>
        </is>
      </c>
      <c r="D51" s="18" t="inlineStr">
        <is>
          <t>O</t>
        </is>
      </c>
      <c r="E51" s="18" t="inlineStr"/>
      <c r="F51" s="18" t="inlineStr"/>
      <c r="G51" s="33">
        <f>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</f>
        <v/>
      </c>
      <c r="H51" s="34">
        <f>IF(G51="","",IF(G51&gt;=4.5,"S",IF(G51&gt;=3.5,"A",IF(G51&gt;=2.5,"B",IF(G51&gt;=1.5,"C","D")))))</f>
        <v/>
      </c>
    </row>
    <row r="52" ht="22" customHeight="1">
      <c r="A52" s="20" t="inlineStr">
        <is>
          <t>J-18</t>
        </is>
      </c>
      <c r="B52" s="41" t="inlineStr">
        <is>
          <t>마케팅</t>
        </is>
      </c>
      <c r="C52" s="42" t="inlineStr">
        <is>
          <t>브랜드 마케팅</t>
        </is>
      </c>
      <c r="D52" s="18" t="inlineStr">
        <is>
          <t>O</t>
        </is>
      </c>
      <c r="E52" s="18" t="inlineStr"/>
      <c r="F52" s="18" t="inlineStr"/>
      <c r="G52" s="33">
        <f>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</f>
        <v/>
      </c>
      <c r="H52" s="34">
        <f>IF(G52="","",IF(G52&gt;=4.5,"S",IF(G52&gt;=3.5,"A",IF(G52&gt;=2.5,"B",IF(G52&gt;=1.5,"C","D")))))</f>
        <v/>
      </c>
    </row>
    <row r="53" ht="22" customHeight="1">
      <c r="A53" s="20" t="inlineStr">
        <is>
          <t>J-19</t>
        </is>
      </c>
      <c r="B53" s="41" t="inlineStr">
        <is>
          <t>마케팅</t>
        </is>
      </c>
      <c r="C53" s="42" t="inlineStr">
        <is>
          <t>컨텐츠 마케팅</t>
        </is>
      </c>
      <c r="D53" s="18" t="inlineStr">
        <is>
          <t>O</t>
        </is>
      </c>
      <c r="E53" s="18" t="inlineStr"/>
      <c r="F53" s="18" t="inlineStr"/>
      <c r="G53" s="33">
        <f>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</f>
        <v/>
      </c>
      <c r="H53" s="34">
        <f>IF(G53="","",IF(G53&gt;=4.5,"S",IF(G53&gt;=3.5,"A",IF(G53&gt;=2.5,"B",IF(G53&gt;=1.5,"C","D")))))</f>
        <v/>
      </c>
    </row>
    <row r="55" ht="24" customHeight="1">
      <c r="A55" s="43" t="inlineStr">
        <is>
          <t>1차 평가자 직무 종합</t>
        </is>
      </c>
      <c r="E55" s="36">
        <f>IFERROR((IF(E35="S",5,IF(E35="A",4,IF(E35="B",3,IF(E35="C",2,IF(E35="D",1,0)))))+IF(E36="S",5,IF(E36="A",4,IF(E36="B",3,IF(E36="C",2,IF(E36="D",1,0)))))+IF(E37="S",5,IF(E37="A",4,IF(E37="B",3,IF(E37="C",2,IF(E37="D",1,0)))))+IF(E38="S",5,IF(E38="A",4,IF(E38="B",3,IF(E38="C",2,IF(E38="D",1,0)))))+IF(E39="S",5,IF(E39="A",4,IF(E39="B",3,IF(E39="C",2,IF(E39="D",1,0)))))+IF(E40="S",5,IF(E40="A",4,IF(E40="B",3,IF(E40="C",2,IF(E40="D",1,0)))))+IF(E41="S",5,IF(E41="A",4,IF(E41="B",3,IF(E41="C",2,IF(E41="D",1,0)))))+IF(E42="S",5,IF(E42="A",4,IF(E42="B",3,IF(E42="C",2,IF(E42="D",1,0)))))+IF(E43="S",5,IF(E43="A",4,IF(E43="B",3,IF(E43="C",2,IF(E43="D",1,0)))))+IF(E44="S",5,IF(E44="A",4,IF(E44="B",3,IF(E44="C",2,IF(E44="D",1,0)))))+IF(E45="S",5,IF(E45="A",4,IF(E45="B",3,IF(E45="C",2,IF(E45="D",1,0)))))+IF(E46="S",5,IF(E46="A",4,IF(E46="B",3,IF(E46="C",2,IF(E46="D",1,0)))))+IF(E47="S",5,IF(E47="A",4,IF(E47="B",3,IF(E47="C",2,IF(E47="D",1,0)))))+IF(E48="S",5,IF(E48="A",4,IF(E48="B",3,IF(E48="C",2,IF(E48="D",1,0)))))+IF(E49="S",5,IF(E49="A",4,IF(E49="B",3,IF(E49="C",2,IF(E49="D",1,0)))))+IF(E50="S",5,IF(E50="A",4,IF(E50="B",3,IF(E50="C",2,IF(E50="D",1,0)))))+IF(E51="S",5,IF(E51="A",4,IF(E51="B",3,IF(E51="C",2,IF(E51="D",1,0)))))+IF(E52="S",5,IF(E52="A",4,IF(E52="B",3,IF(E52="C",2,IF(E52="D",1,0)))))+IF(E53="S",5,IF(E53="A",4,IF(E53="B",3,IF(E53="C",2,IF(E53="D",1,0))))))/19,"")</f>
        <v/>
      </c>
      <c r="H55" s="37">
        <f>IF(E55="","",IF(E55&gt;=4.5,"S",IF(E55&gt;=3.5,"A",IF(E55&gt;=2.5,"B",IF(E55&gt;=1.5,"C","D")))))</f>
        <v/>
      </c>
    </row>
    <row r="56" ht="24" customHeight="1">
      <c r="A56" s="43" t="inlineStr">
        <is>
          <t>2차 평가자 직무 종합</t>
        </is>
      </c>
      <c r="F56" s="36">
        <f>IFERROR((IF(F35="S",5,IF(F35="A",4,IF(F35="B",3,IF(F35="C",2,IF(F35="D",1,0)))))+IF(F36="S",5,IF(F36="A",4,IF(F36="B",3,IF(F36="C",2,IF(F36="D",1,0)))))+IF(F37="S",5,IF(F37="A",4,IF(F37="B",3,IF(F37="C",2,IF(F37="D",1,0)))))+IF(F38="S",5,IF(F38="A",4,IF(F38="B",3,IF(F38="C",2,IF(F38="D",1,0)))))+IF(F39="S",5,IF(F39="A",4,IF(F39="B",3,IF(F39="C",2,IF(F39="D",1,0)))))+IF(F40="S",5,IF(F40="A",4,IF(F40="B",3,IF(F40="C",2,IF(F40="D",1,0)))))+IF(F41="S",5,IF(F41="A",4,IF(F41="B",3,IF(F41="C",2,IF(F41="D",1,0)))))+IF(F42="S",5,IF(F42="A",4,IF(F42="B",3,IF(F42="C",2,IF(F42="D",1,0)))))+IF(F43="S",5,IF(F43="A",4,IF(F43="B",3,IF(F43="C",2,IF(F43="D",1,0)))))+IF(F44="S",5,IF(F44="A",4,IF(F44="B",3,IF(F44="C",2,IF(F44="D",1,0)))))+IF(F45="S",5,IF(F45="A",4,IF(F45="B",3,IF(F45="C",2,IF(F45="D",1,0)))))+IF(F46="S",5,IF(F46="A",4,IF(F46="B",3,IF(F46="C",2,IF(F46="D",1,0)))))+IF(F47="S",5,IF(F47="A",4,IF(F47="B",3,IF(F47="C",2,IF(F47="D",1,0)))))+IF(F48="S",5,IF(F48="A",4,IF(F48="B",3,IF(F48="C",2,IF(F48="D",1,0)))))+IF(F49="S",5,IF(F49="A",4,IF(F49="B",3,IF(F49="C",2,IF(F49="D",1,0)))))+IF(F50="S",5,IF(F50="A",4,IF(F50="B",3,IF(F50="C",2,IF(F50="D",1,0)))))+IF(F51="S",5,IF(F51="A",4,IF(F51="B",3,IF(F51="C",2,IF(F51="D",1,0)))))+IF(F52="S",5,IF(F52="A",4,IF(F52="B",3,IF(F52="C",2,IF(F52="D",1,0)))))+IF(F53="S",5,IF(F53="A",4,IF(F53="B",3,IF(F53="C",2,IF(F53="D",1,0))))))/19,"")</f>
        <v/>
      </c>
      <c r="H56" s="37">
        <f>IF(F56="","",IF(F56&gt;=4.5,"S",IF(F56&gt;=3.5,"A",IF(F56&gt;=2.5,"B",IF(F56&gt;=1.5,"C","D")))))</f>
        <v/>
      </c>
    </row>
    <row r="59" ht="32" customHeight="1">
      <c r="A59" s="44" t="inlineStr">
        <is>
          <t>▶ ★ 통합관리시트 입력 행 (한 줄 A~U 21개 셀 통째 복사 → 마스터 07a/07b의 G~AA에 [값 붙여넣기])</t>
        </is>
      </c>
    </row>
    <row r="60" ht="30" customHeight="1">
      <c r="A60" s="45" t="inlineStr">
        <is>
          <t>R-1</t>
        </is>
      </c>
      <c r="B60" s="45" t="inlineStr">
        <is>
          <t>R-2</t>
        </is>
      </c>
      <c r="C60" s="45" t="inlineStr">
        <is>
          <t>R-3</t>
        </is>
      </c>
      <c r="D60" s="45" t="inlineStr">
        <is>
          <t>R-4</t>
        </is>
      </c>
      <c r="E60" s="45" t="inlineStr">
        <is>
          <t>R-5</t>
        </is>
      </c>
      <c r="F60" s="45" t="inlineStr">
        <is>
          <t>역할(1차)</t>
        </is>
      </c>
      <c r="G60" s="45" t="inlineStr">
        <is>
          <t>역할(2차)</t>
        </is>
      </c>
      <c r="H60" s="45" t="inlineStr">
        <is>
          <t>C-1 직무전문성</t>
        </is>
      </c>
      <c r="I60" s="45" t="inlineStr">
        <is>
          <t>C-2 분석력</t>
        </is>
      </c>
      <c r="J60" s="45" t="inlineStr">
        <is>
          <t>C-3 기획실행</t>
        </is>
      </c>
      <c r="K60" s="45" t="inlineStr">
        <is>
          <t>C-4 자원시간</t>
        </is>
      </c>
      <c r="L60" s="45" t="inlineStr">
        <is>
          <t>C-5 협업</t>
        </is>
      </c>
      <c r="M60" s="45" t="inlineStr">
        <is>
          <t>C-6 소통</t>
        </is>
      </c>
      <c r="N60" s="45" t="inlineStr">
        <is>
          <t>C-7 윤리</t>
        </is>
      </c>
      <c r="O60" s="45" t="inlineStr">
        <is>
          <t>C-8 태도</t>
        </is>
      </c>
      <c r="P60" s="45" t="inlineStr">
        <is>
          <t>C-9 혁신</t>
        </is>
      </c>
      <c r="Q60" s="45" t="inlineStr">
        <is>
          <t>C-10 프로세스</t>
        </is>
      </c>
      <c r="R60" s="45" t="inlineStr">
        <is>
          <t>C-11 지속가능</t>
        </is>
      </c>
      <c r="S60" s="45" t="inlineStr">
        <is>
          <t>직무(1차)</t>
        </is>
      </c>
      <c r="T60" s="45" t="inlineStr">
        <is>
          <t>직무(2차)</t>
        </is>
      </c>
      <c r="U60" s="45" t="inlineStr">
        <is>
          <t>소견</t>
        </is>
      </c>
    </row>
    <row r="61" ht="32" customHeight="1">
      <c r="A61" s="37">
        <f>IF(F11="","",IF(F11&gt;=4.5,"S",IF(F11&gt;=3.5,"A",IF(F11&gt;=2.5,"B",IF(F11&gt;=1.5,"C","D")))))</f>
        <v/>
      </c>
      <c r="B61" s="37">
        <f>IF(F12="","",IF(F12&gt;=4.5,"S",IF(F12&gt;=3.5,"A",IF(F12&gt;=2.5,"B",IF(F12&gt;=1.5,"C","D")))))</f>
        <v/>
      </c>
      <c r="C61" s="37">
        <f>IF(F13="","",IF(F13&gt;=4.5,"S",IF(F13&gt;=3.5,"A",IF(F13&gt;=2.5,"B",IF(F13&gt;=1.5,"C","D")))))</f>
        <v/>
      </c>
      <c r="D61" s="37">
        <f>IF(F14="","",IF(F14&gt;=4.5,"S",IF(F14&gt;=3.5,"A",IF(F14&gt;=2.5,"B",IF(F14&gt;=1.5,"C","D")))))</f>
        <v/>
      </c>
      <c r="E61" s="37">
        <f>IF(F15="","",IF(F15&gt;=4.5,"S",IF(F15&gt;=3.5,"A",IF(F15&gt;=2.5,"B",IF(F15&gt;=1.5,"C","D")))))</f>
        <v/>
      </c>
      <c r="F61" s="37">
        <f>IF(D16="","",IF(D16&gt;=4.5,"S",IF(D16&gt;=3.5,"A",IF(D16&gt;=2.5,"B",IF(D16&gt;=1.5,"C","D")))))</f>
        <v/>
      </c>
      <c r="G61" s="37">
        <f>IF(D17="","",IF(D17&gt;=4.5,"S",IF(D17&gt;=3.5,"A",IF(D17&gt;=2.5,"B",IF(D17&gt;=1.5,"C","D")))))</f>
        <v/>
      </c>
      <c r="H61" s="37">
        <f>IF(G21="","",IF(G21&gt;=4.5,"S",IF(G21&gt;=3.5,"A",IF(G21&gt;=2.5,"B",IF(G21&gt;=1.5,"C","D")))))</f>
        <v/>
      </c>
      <c r="I61" s="37">
        <f>IF(G22="","",IF(G22&gt;=4.5,"S",IF(G22&gt;=3.5,"A",IF(G22&gt;=2.5,"B",IF(G22&gt;=1.5,"C","D")))))</f>
        <v/>
      </c>
      <c r="J61" s="37">
        <f>IF(G23="","",IF(G23&gt;=4.5,"S",IF(G23&gt;=3.5,"A",IF(G23&gt;=2.5,"B",IF(G23&gt;=1.5,"C","D")))))</f>
        <v/>
      </c>
      <c r="K61" s="37">
        <f>IF(G24="","",IF(G24&gt;=4.5,"S",IF(G24&gt;=3.5,"A",IF(G24&gt;=2.5,"B",IF(G24&gt;=1.5,"C","D")))))</f>
        <v/>
      </c>
      <c r="L61" s="37">
        <f>IF(G25="","",IF(G25&gt;=4.5,"S",IF(G25&gt;=3.5,"A",IF(G25&gt;=2.5,"B",IF(G25&gt;=1.5,"C","D")))))</f>
        <v/>
      </c>
      <c r="M61" s="37">
        <f>IF(G26="","",IF(G26&gt;=4.5,"S",IF(G26&gt;=3.5,"A",IF(G26&gt;=2.5,"B",IF(G26&gt;=1.5,"C","D")))))</f>
        <v/>
      </c>
      <c r="N61" s="37">
        <f>IF(G27="","",IF(G27&gt;=4.5,"S",IF(G27&gt;=3.5,"A",IF(G27&gt;=2.5,"B",IF(G27&gt;=1.5,"C","D")))))</f>
        <v/>
      </c>
      <c r="O61" s="37">
        <f>IF(G28="","",IF(G28&gt;=4.5,"S",IF(G28&gt;=3.5,"A",IF(G28&gt;=2.5,"B",IF(G28&gt;=1.5,"C","D")))))</f>
        <v/>
      </c>
      <c r="P61" s="37">
        <f>IF(G29="","",IF(G29&gt;=4.5,"S",IF(G29&gt;=3.5,"A",IF(G29&gt;=2.5,"B",IF(G29&gt;=1.5,"C","D")))))</f>
        <v/>
      </c>
      <c r="Q61" s="37">
        <f>IF(G30="","",IF(G30&gt;=4.5,"S",IF(G30&gt;=3.5,"A",IF(G30&gt;=2.5,"B",IF(G30&gt;=1.5,"C","D")))))</f>
        <v/>
      </c>
      <c r="R61" s="37">
        <f>IF(G31="","",IF(G31&gt;=4.5,"S",IF(G31&gt;=3.5,"A",IF(G31&gt;=2.5,"B",IF(G31&gt;=1.5,"C","D")))))</f>
        <v/>
      </c>
      <c r="S61" s="37">
        <f>IF(E55="","",IF(E55&gt;=4.5,"S",IF(E55&gt;=3.5,"A",IF(E55&gt;=2.5,"B",IF(E55&gt;=1.5,"C","D")))))</f>
        <v/>
      </c>
      <c r="T61" s="37">
        <f>IF(F56="","",IF(F56&gt;=4.5,"S",IF(F56&gt;=3.5,"A",IF(F56&gt;=2.5,"B",IF(F56&gt;=1.5,"C","D")))))</f>
        <v/>
      </c>
      <c r="U61" s="46" t="inlineStr"/>
    </row>
    <row r="62" ht="26" customHeight="1">
      <c r="A62" s="47" t="inlineStr">
        <is>
          <t>사용법: 위 한 줄 A~U 선택 → Ctrl+C → 마스터 07a/07b 해당 사번 행 G~AA에 [선택하여 붙여넣기 → 값]</t>
        </is>
      </c>
    </row>
    <row r="64" ht="24" customHeight="1">
      <c r="A64" s="3" t="inlineStr">
        <is>
          <t>▶ 종합 소견</t>
        </is>
      </c>
    </row>
    <row r="65" ht="40" customHeight="1">
      <c r="A65" s="16" t="inlineStr">
        <is>
          <t>강점</t>
        </is>
      </c>
      <c r="B65" s="17" t="inlineStr"/>
    </row>
    <row r="66" ht="40" customHeight="1">
      <c r="A66" s="16" t="inlineStr">
        <is>
          <t>개선</t>
        </is>
      </c>
      <c r="B66" s="17" t="inlineStr"/>
    </row>
    <row r="67" ht="40" customHeight="1">
      <c r="A67" s="16" t="inlineStr">
        <is>
          <t>육성 방향</t>
        </is>
      </c>
      <c r="B67" s="17" t="inlineStr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2026-05-13T04:01:31Z</dcterms:created>
  <dcterms:modified xmlns:dcterms="http://purl.org/dc/terms/" xmlns:xsi="http://www.w3.org/2001/XMLSchema-instance" xsi:type="dcterms:W3CDTF">2026-05-13T04:01:32Z</dcterms:modified>
</cp:coreProperties>
</file>