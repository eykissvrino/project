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07_이진행" sheetId="4" state="visible" r:id="rId4"/>
    <sheet xmlns:r="http://schemas.openxmlformats.org/officeDocument/2006/relationships" name="평가_BSS-008_김민수" sheetId="5" state="visible" r:id="rId5"/>
    <sheet xmlns:r="http://schemas.openxmlformats.org/officeDocument/2006/relationships" name="평가_BSS-017_김우람" sheetId="6" state="visible" r:id="rId6"/>
    <sheet xmlns:r="http://schemas.openxmlformats.org/officeDocument/2006/relationships" name="평가_BSS-020_박진용" sheetId="7" state="visible" r:id="rId7"/>
    <sheet xmlns:r="http://schemas.openxmlformats.org/officeDocument/2006/relationships" name="평가_BSS-027_장은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color rgb="00A0A0A0"/>
      <sz val="11"/>
    </font>
    <font>
      <name val="맑은 고딕"/>
      <color rgb="00A0A0A0"/>
      <sz val="9"/>
    </font>
    <font>
      <name val="맑은 고딕"/>
      <b val="1"/>
      <color rgb="00A0A0A0"/>
      <sz val="11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9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솔루션본부</t>
        </is>
      </c>
    </row>
    <row r="2" ht="22" customHeight="1">
      <c r="A2" s="2" t="inlineStr">
        <is>
          <t>1차/2차 평가자가 각자 등급 입력 → 가중평균 자동 → 하단 [복사용 행]을 마스터 07a/07b에 붙여넣기</t>
        </is>
      </c>
    </row>
    <row r="4" ht="24" customHeight="1">
      <c r="A4" s="3" t="inlineStr">
        <is>
          <t>▶ 사용 방법</t>
        </is>
      </c>
    </row>
    <row r="5" ht="22" customHeight="1">
      <c r="A5" s="4" t="inlineStr">
        <is>
          <t>1) [01_평가자정보]에 1차·2차 평가자 정보 + 평가 차수 입력</t>
        </is>
      </c>
    </row>
    <row r="6" ht="22" customHeight="1">
      <c r="A6" s="4" t="inlineStr">
        <is>
          <t>2) [02_평가대상자명단]에서 평가 대상 확인</t>
        </is>
      </c>
    </row>
    <row r="7" ht="22" customHeight="1">
      <c r="A7" s="4" t="inlineStr">
        <is>
          <t>3) 직원별 평가지 시트로 진입</t>
        </is>
      </c>
    </row>
    <row r="8" ht="22" customHeight="1">
      <c r="A8" s="4" t="inlineStr">
        <is>
          <t>4) 시트 상단 B3·D3에 1차/2차 평가자 가중치 입력 (★ 마스터 02_의사결정과 동일)</t>
        </is>
      </c>
    </row>
    <row r="9" ht="22" customHeight="1">
      <c r="A9" s="4" t="inlineStr">
        <is>
          <t>5) 1차·2차 평가자가 각자 등급(S/A/B/C/D) 입력 → 자동 가중평균 산출</t>
        </is>
      </c>
    </row>
    <row r="10" ht="22" customHeight="1">
      <c r="A10" s="4" t="inlineStr">
        <is>
          <t>6) ★ 시트 가장 하단 [복사용 입력 행] A~U 21개 셀 통째로 복사</t>
        </is>
      </c>
    </row>
    <row r="11" ht="22" customHeight="1">
      <c r="A11" s="4" t="inlineStr">
        <is>
          <t>7) 마스터 07a 또는 07b의 해당 사번 행 G~AA에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</sheetData>
  <mergeCells count="16">
    <mergeCell ref="A1:H1"/>
    <mergeCell ref="A4:H4"/>
    <mergeCell ref="A9:H9"/>
    <mergeCell ref="B14:H14"/>
    <mergeCell ref="B17:H17"/>
    <mergeCell ref="B18:H18"/>
    <mergeCell ref="A7:H7"/>
    <mergeCell ref="A2:H2"/>
    <mergeCell ref="A10:H10"/>
    <mergeCell ref="A13:H13"/>
    <mergeCell ref="A11:H11"/>
    <mergeCell ref="B15:H15"/>
    <mergeCell ref="B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- 솔루션본부</t>
        </is>
      </c>
    </row>
    <row r="3">
      <c r="A3" s="3" t="inlineStr">
        <is>
          <t>▶ 평가자 정보</t>
        </is>
      </c>
    </row>
    <row r="4">
      <c r="A4" s="15" t="inlineStr">
        <is>
          <t>구분</t>
        </is>
      </c>
      <c r="B4" s="15" t="inlineStr">
        <is>
          <t>1차 평가자 (직속상사)</t>
        </is>
      </c>
      <c r="D4" s="15" t="inlineStr">
        <is>
          <t>2차 평가자 (조정자)</t>
        </is>
      </c>
    </row>
    <row r="5" ht="24" customHeight="1">
      <c r="A5" s="16" t="inlineStr">
        <is>
          <t>사번</t>
        </is>
      </c>
      <c r="B5" s="17" t="inlineStr"/>
      <c r="D5" s="17" t="inlineStr"/>
    </row>
    <row r="6" ht="24" customHeight="1">
      <c r="A6" s="16" t="inlineStr">
        <is>
          <t>성명</t>
        </is>
      </c>
      <c r="B6" s="17" t="inlineStr"/>
      <c r="D6" s="17" t="inlineStr"/>
    </row>
    <row r="7" ht="24" customHeight="1">
      <c r="A7" s="16" t="inlineStr">
        <is>
          <t>직책</t>
        </is>
      </c>
      <c r="B7" s="17" t="inlineStr"/>
      <c r="D7" s="17" t="inlineStr"/>
    </row>
    <row r="8" ht="24" customHeight="1">
      <c r="A8" s="16" t="inlineStr">
        <is>
          <t>이메일</t>
        </is>
      </c>
      <c r="B8" s="17" t="inlineStr"/>
      <c r="D8" s="17" t="inlineStr"/>
    </row>
    <row r="9" ht="24" customHeight="1">
      <c r="A9" s="16" t="inlineStr">
        <is>
          <t>연락처</t>
        </is>
      </c>
      <c r="B9" s="17" t="inlineStr"/>
      <c r="D9" s="17" t="inlineStr"/>
    </row>
    <row r="11">
      <c r="A11" s="3" t="inlineStr">
        <is>
          <t>▶ 평가 차수</t>
        </is>
      </c>
    </row>
    <row r="12">
      <c r="A12" s="16" t="inlineStr">
        <is>
          <t>평가 차수</t>
        </is>
      </c>
      <c r="B12" s="18" t="inlineStr">
        <is>
          <t>상반기</t>
        </is>
      </c>
    </row>
  </sheetData>
  <mergeCells count="15">
    <mergeCell ref="B8:C8"/>
    <mergeCell ref="D7:F7"/>
    <mergeCell ref="B6:C6"/>
    <mergeCell ref="A11:F11"/>
    <mergeCell ref="D5:F5"/>
    <mergeCell ref="B7:C7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솔루션본부 (5명)</t>
        </is>
      </c>
    </row>
    <row r="3" ht="26" customHeight="1">
      <c r="A3" s="19" t="inlineStr">
        <is>
          <t>No.</t>
        </is>
      </c>
      <c r="B3" s="19" t="inlineStr">
        <is>
          <t>사번</t>
        </is>
      </c>
      <c r="C3" s="19" t="inlineStr">
        <is>
          <t>성명</t>
        </is>
      </c>
      <c r="D3" s="19" t="inlineStr">
        <is>
          <t>기존직급</t>
        </is>
      </c>
      <c r="E3" s="19" t="inlineStr">
        <is>
          <t>직군</t>
        </is>
      </c>
      <c r="F3" s="19" t="inlineStr">
        <is>
          <t>직무</t>
        </is>
      </c>
      <c r="G3" s="19" t="inlineStr">
        <is>
          <t>역할등급</t>
        </is>
      </c>
      <c r="H3" s="19" t="inlineStr">
        <is>
          <t>평가 시트명</t>
        </is>
      </c>
      <c r="I3" s="19" t="inlineStr">
        <is>
          <t>비고</t>
        </is>
      </c>
    </row>
    <row r="4" ht="22" customHeight="1">
      <c r="A4" s="20" t="n">
        <v>1</v>
      </c>
      <c r="B4" s="21" t="inlineStr">
        <is>
          <t>BSS-007</t>
        </is>
      </c>
      <c r="C4" s="22" t="inlineStr">
        <is>
          <t>이진행</t>
        </is>
      </c>
      <c r="D4" s="20" t="inlineStr">
        <is>
          <t>부장</t>
        </is>
      </c>
      <c r="E4" s="23" t="inlineStr">
        <is>
          <t>교육 및 기술지원</t>
        </is>
      </c>
      <c r="F4" s="23" t="inlineStr">
        <is>
          <t>교육</t>
        </is>
      </c>
      <c r="G4" s="21" t="inlineStr">
        <is>
          <t>G5-M</t>
        </is>
      </c>
      <c r="H4" s="2" t="inlineStr">
        <is>
          <t>평가_BSS-007_이진행</t>
        </is>
      </c>
      <c r="I4" s="23" t="inlineStr"/>
    </row>
    <row r="5" ht="22" customHeight="1">
      <c r="A5" s="20" t="n">
        <v>2</v>
      </c>
      <c r="B5" s="21" t="inlineStr">
        <is>
          <t>BSS-008</t>
        </is>
      </c>
      <c r="C5" s="22" t="inlineStr">
        <is>
          <t>김민수</t>
        </is>
      </c>
      <c r="D5" s="20" t="inlineStr">
        <is>
          <t>부장</t>
        </is>
      </c>
      <c r="E5" s="23" t="inlineStr">
        <is>
          <t>교육 및 기술지원</t>
        </is>
      </c>
      <c r="F5" s="23" t="inlineStr">
        <is>
          <t>기술지원</t>
        </is>
      </c>
      <c r="G5" s="21" t="inlineStr">
        <is>
          <t>G5-M</t>
        </is>
      </c>
      <c r="H5" s="2" t="inlineStr">
        <is>
          <t>평가_BSS-008_김민수</t>
        </is>
      </c>
      <c r="I5" s="23" t="inlineStr"/>
    </row>
    <row r="6" ht="22" customHeight="1">
      <c r="A6" s="20" t="n">
        <v>3</v>
      </c>
      <c r="B6" s="21" t="inlineStr">
        <is>
          <t>BSS-017</t>
        </is>
      </c>
      <c r="C6" s="22" t="inlineStr">
        <is>
          <t>김우람</t>
        </is>
      </c>
      <c r="D6" s="20" t="inlineStr">
        <is>
          <t>과장</t>
        </is>
      </c>
      <c r="E6" s="23" t="inlineStr">
        <is>
          <t>교육 및 기술지원</t>
        </is>
      </c>
      <c r="F6" s="23" t="inlineStr">
        <is>
          <t>교육</t>
        </is>
      </c>
      <c r="G6" s="21" t="inlineStr">
        <is>
          <t>G4</t>
        </is>
      </c>
      <c r="H6" s="2" t="inlineStr">
        <is>
          <t>평가_BSS-017_김우람</t>
        </is>
      </c>
      <c r="I6" s="23" t="inlineStr"/>
    </row>
    <row r="7" ht="22" customHeight="1">
      <c r="A7" s="20" t="n">
        <v>4</v>
      </c>
      <c r="B7" s="21" t="inlineStr">
        <is>
          <t>BSS-020</t>
        </is>
      </c>
      <c r="C7" s="22" t="inlineStr">
        <is>
          <t>박진용</t>
        </is>
      </c>
      <c r="D7" s="20" t="inlineStr">
        <is>
          <t>대리</t>
        </is>
      </c>
      <c r="E7" s="23" t="inlineStr">
        <is>
          <t>교육 및 기술지원</t>
        </is>
      </c>
      <c r="F7" s="23" t="inlineStr">
        <is>
          <t>기술지원</t>
        </is>
      </c>
      <c r="G7" s="21" t="inlineStr">
        <is>
          <t>G3</t>
        </is>
      </c>
      <c r="H7" s="2" t="inlineStr">
        <is>
          <t>평가_BSS-020_박진용</t>
        </is>
      </c>
      <c r="I7" s="23" t="inlineStr"/>
    </row>
    <row r="8" ht="22" customHeight="1">
      <c r="A8" s="20" t="n">
        <v>5</v>
      </c>
      <c r="B8" s="21" t="inlineStr">
        <is>
          <t>BSS-027</t>
        </is>
      </c>
      <c r="C8" s="22" t="inlineStr">
        <is>
          <t>장은한</t>
        </is>
      </c>
      <c r="D8" s="20" t="inlineStr">
        <is>
          <t>주임</t>
        </is>
      </c>
      <c r="E8" s="23" t="inlineStr">
        <is>
          <t>교육 및 기술지원</t>
        </is>
      </c>
      <c r="F8" s="23" t="inlineStr">
        <is>
          <t>교육</t>
        </is>
      </c>
      <c r="G8" s="21" t="inlineStr">
        <is>
          <t>G2</t>
        </is>
      </c>
      <c r="H8" s="2" t="inlineStr">
        <is>
          <t>평가_BSS-027_장은한</t>
        </is>
      </c>
      <c r="I8" s="2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이진행 (G5-M, 교육)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BSS-007</t>
        </is>
      </c>
      <c r="C5" s="24" t="inlineStr">
        <is>
          <t>성명</t>
        </is>
      </c>
      <c r="D5" s="28" t="inlineStr">
        <is>
          <t>이진행</t>
        </is>
      </c>
      <c r="E5" s="24" t="inlineStr">
        <is>
          <t>직군</t>
        </is>
      </c>
      <c r="F5" s="28" t="inlineStr">
        <is>
          <t>교육 및 기술지원</t>
        </is>
      </c>
      <c r="G5" s="24" t="inlineStr">
        <is>
          <t>직무</t>
        </is>
      </c>
      <c r="H5" s="28" t="inlineStr">
        <is>
          <t>교육</t>
        </is>
      </c>
      <c r="I5" s="24" t="inlineStr">
        <is>
          <t>부서</t>
        </is>
      </c>
      <c r="J5" s="28" t="inlineStr">
        <is>
          <t>솔루션본부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G5-M</t>
        </is>
      </c>
      <c r="E6" s="24" t="inlineStr">
        <is>
          <t>역할명</t>
        </is>
      </c>
      <c r="F6" s="28" t="inlineStr">
        <is>
          <t>직무 관리(부서장)</t>
        </is>
      </c>
      <c r="G6" s="24" t="inlineStr">
        <is>
          <t>입사일</t>
        </is>
      </c>
      <c r="H6" s="28" t="inlineStr">
        <is>
          <t>2015-07-22</t>
        </is>
      </c>
      <c r="I6" s="24" t="inlineStr">
        <is>
          <t>연봉</t>
        </is>
      </c>
      <c r="J6" s="28" t="inlineStr">
        <is>
          <t>59,700,000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부서 전략·목표 수립, 자원 배분·예산 관리·성과 관리, 부서 의사결정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교육 기획</t>
        </is>
      </c>
      <c r="C35" s="42" t="inlineStr">
        <is>
          <t>교육과정 기획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교육 기획</t>
        </is>
      </c>
      <c r="C36" s="42" t="inlineStr">
        <is>
          <t>교재 개발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교육 운영</t>
        </is>
      </c>
      <c r="C37" s="42" t="inlineStr">
        <is>
          <t>교육 진행 및 강의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교육 운영</t>
        </is>
      </c>
      <c r="C38" s="42" t="inlineStr">
        <is>
          <t>실습 지원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교육 운영</t>
        </is>
      </c>
      <c r="C39" s="42" t="inlineStr">
        <is>
          <t>평가 및 피드백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43" t="inlineStr">
        <is>
          <t>J-6</t>
        </is>
      </c>
      <c r="B40" s="44" t="inlineStr">
        <is>
          <t>수료/인증</t>
        </is>
      </c>
      <c r="C40" s="45" t="inlineStr">
        <is>
          <t>수료 관리·인증 발급</t>
        </is>
      </c>
      <c r="D40" s="46" t="inlineStr">
        <is>
          <t>X</t>
        </is>
      </c>
      <c r="E40" s="47" t="inlineStr">
        <is>
          <t>-</t>
        </is>
      </c>
      <c r="F40" s="47" t="inlineStr">
        <is>
          <t>-</t>
        </is>
      </c>
      <c r="G40" s="47" t="inlineStr">
        <is>
          <t>-</t>
        </is>
      </c>
      <c r="H40" s="47" t="inlineStr">
        <is>
          <t>-</t>
        </is>
      </c>
    </row>
    <row r="42" ht="24" customHeight="1">
      <c r="A42" s="48" t="inlineStr">
        <is>
          <t>1차 평가자 직무 종합</t>
        </is>
      </c>
      <c r="E42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)/5,"")</f>
        <v/>
      </c>
      <c r="H42" s="37">
        <f>IF(E42="","",IF(E42&gt;=4.5,"S",IF(E42&gt;=3.5,"A",IF(E42&gt;=2.5,"B",IF(E42&gt;=1.5,"C","D")))))</f>
        <v/>
      </c>
    </row>
    <row r="43" ht="24" customHeight="1">
      <c r="A43" s="48" t="inlineStr">
        <is>
          <t>2차 평가자 직무 종합</t>
        </is>
      </c>
      <c r="F43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)/5,"")</f>
        <v/>
      </c>
      <c r="H43" s="37">
        <f>IF(F43="","",IF(F43&gt;=4.5,"S",IF(F43&gt;=3.5,"A",IF(F43&gt;=2.5,"B",IF(F43&gt;=1.5,"C","D")))))</f>
        <v/>
      </c>
    </row>
    <row r="46" ht="32" customHeight="1">
      <c r="A46" s="49" t="inlineStr">
        <is>
          <t>▶ ★ 통합관리시트 입력 행 (한 줄 A~U 21개 셀 통째 복사 → 마스터 07a/07b의 G~AA에 [값 붙여넣기])</t>
        </is>
      </c>
    </row>
    <row r="47" ht="30" customHeight="1">
      <c r="A47" s="50" t="inlineStr">
        <is>
          <t>R-1</t>
        </is>
      </c>
      <c r="B47" s="50" t="inlineStr">
        <is>
          <t>R-2</t>
        </is>
      </c>
      <c r="C47" s="50" t="inlineStr">
        <is>
          <t>R-3</t>
        </is>
      </c>
      <c r="D47" s="50" t="inlineStr">
        <is>
          <t>R-4</t>
        </is>
      </c>
      <c r="E47" s="50" t="inlineStr">
        <is>
          <t>R-5</t>
        </is>
      </c>
      <c r="F47" s="50" t="inlineStr">
        <is>
          <t>역할(1차)</t>
        </is>
      </c>
      <c r="G47" s="50" t="inlineStr">
        <is>
          <t>역할(2차)</t>
        </is>
      </c>
      <c r="H47" s="50" t="inlineStr">
        <is>
          <t>C-1 직무전문성</t>
        </is>
      </c>
      <c r="I47" s="50" t="inlineStr">
        <is>
          <t>C-2 분석력</t>
        </is>
      </c>
      <c r="J47" s="50" t="inlineStr">
        <is>
          <t>C-3 기획실행</t>
        </is>
      </c>
      <c r="K47" s="50" t="inlineStr">
        <is>
          <t>C-4 자원시간</t>
        </is>
      </c>
      <c r="L47" s="50" t="inlineStr">
        <is>
          <t>C-5 협업</t>
        </is>
      </c>
      <c r="M47" s="50" t="inlineStr">
        <is>
          <t>C-6 소통</t>
        </is>
      </c>
      <c r="N47" s="50" t="inlineStr">
        <is>
          <t>C-7 윤리</t>
        </is>
      </c>
      <c r="O47" s="50" t="inlineStr">
        <is>
          <t>C-8 태도</t>
        </is>
      </c>
      <c r="P47" s="50" t="inlineStr">
        <is>
          <t>C-9 혁신</t>
        </is>
      </c>
      <c r="Q47" s="50" t="inlineStr">
        <is>
          <t>C-10 프로세스</t>
        </is>
      </c>
      <c r="R47" s="50" t="inlineStr">
        <is>
          <t>C-11 지속가능</t>
        </is>
      </c>
      <c r="S47" s="50" t="inlineStr">
        <is>
          <t>직무(1차)</t>
        </is>
      </c>
      <c r="T47" s="50" t="inlineStr">
        <is>
          <t>직무(2차)</t>
        </is>
      </c>
      <c r="U47" s="50" t="inlineStr">
        <is>
          <t>소견</t>
        </is>
      </c>
    </row>
    <row r="48" ht="32" customHeight="1">
      <c r="A48" s="37">
        <f>IF(F11="","",IF(F11&gt;=4.5,"S",IF(F11&gt;=3.5,"A",IF(F11&gt;=2.5,"B",IF(F11&gt;=1.5,"C","D")))))</f>
        <v/>
      </c>
      <c r="B48" s="37">
        <f>IF(F12="","",IF(F12&gt;=4.5,"S",IF(F12&gt;=3.5,"A",IF(F12&gt;=2.5,"B",IF(F12&gt;=1.5,"C","D")))))</f>
        <v/>
      </c>
      <c r="C48" s="37">
        <f>IF(F13="","",IF(F13&gt;=4.5,"S",IF(F13&gt;=3.5,"A",IF(F13&gt;=2.5,"B",IF(F13&gt;=1.5,"C","D")))))</f>
        <v/>
      </c>
      <c r="D48" s="37">
        <f>IF(F14="","",IF(F14&gt;=4.5,"S",IF(F14&gt;=3.5,"A",IF(F14&gt;=2.5,"B",IF(F14&gt;=1.5,"C","D")))))</f>
        <v/>
      </c>
      <c r="E48" s="37">
        <f>IF(F15="","",IF(F15&gt;=4.5,"S",IF(F15&gt;=3.5,"A",IF(F15&gt;=2.5,"B",IF(F15&gt;=1.5,"C","D")))))</f>
        <v/>
      </c>
      <c r="F48" s="37">
        <f>IF(D16="","",IF(D16&gt;=4.5,"S",IF(D16&gt;=3.5,"A",IF(D16&gt;=2.5,"B",IF(D16&gt;=1.5,"C","D")))))</f>
        <v/>
      </c>
      <c r="G48" s="37">
        <f>IF(D17="","",IF(D17&gt;=4.5,"S",IF(D17&gt;=3.5,"A",IF(D17&gt;=2.5,"B",IF(D17&gt;=1.5,"C","D")))))</f>
        <v/>
      </c>
      <c r="H48" s="37">
        <f>IF(G21="","",IF(G21&gt;=4.5,"S",IF(G21&gt;=3.5,"A",IF(G21&gt;=2.5,"B",IF(G21&gt;=1.5,"C","D")))))</f>
        <v/>
      </c>
      <c r="I48" s="37">
        <f>IF(G22="","",IF(G22&gt;=4.5,"S",IF(G22&gt;=3.5,"A",IF(G22&gt;=2.5,"B",IF(G22&gt;=1.5,"C","D")))))</f>
        <v/>
      </c>
      <c r="J48" s="37">
        <f>IF(G23="","",IF(G23&gt;=4.5,"S",IF(G23&gt;=3.5,"A",IF(G23&gt;=2.5,"B",IF(G23&gt;=1.5,"C","D")))))</f>
        <v/>
      </c>
      <c r="K48" s="37">
        <f>IF(G24="","",IF(G24&gt;=4.5,"S",IF(G24&gt;=3.5,"A",IF(G24&gt;=2.5,"B",IF(G24&gt;=1.5,"C","D")))))</f>
        <v/>
      </c>
      <c r="L48" s="37">
        <f>IF(G25="","",IF(G25&gt;=4.5,"S",IF(G25&gt;=3.5,"A",IF(G25&gt;=2.5,"B",IF(G25&gt;=1.5,"C","D")))))</f>
        <v/>
      </c>
      <c r="M48" s="37">
        <f>IF(G26="","",IF(G26&gt;=4.5,"S",IF(G26&gt;=3.5,"A",IF(G26&gt;=2.5,"B",IF(G26&gt;=1.5,"C","D")))))</f>
        <v/>
      </c>
      <c r="N48" s="37">
        <f>IF(G27="","",IF(G27&gt;=4.5,"S",IF(G27&gt;=3.5,"A",IF(G27&gt;=2.5,"B",IF(G27&gt;=1.5,"C","D")))))</f>
        <v/>
      </c>
      <c r="O48" s="37">
        <f>IF(G28="","",IF(G28&gt;=4.5,"S",IF(G28&gt;=3.5,"A",IF(G28&gt;=2.5,"B",IF(G28&gt;=1.5,"C","D")))))</f>
        <v/>
      </c>
      <c r="P48" s="37">
        <f>IF(G29="","",IF(G29&gt;=4.5,"S",IF(G29&gt;=3.5,"A",IF(G29&gt;=2.5,"B",IF(G29&gt;=1.5,"C","D")))))</f>
        <v/>
      </c>
      <c r="Q48" s="37">
        <f>IF(G30="","",IF(G30&gt;=4.5,"S",IF(G30&gt;=3.5,"A",IF(G30&gt;=2.5,"B",IF(G30&gt;=1.5,"C","D")))))</f>
        <v/>
      </c>
      <c r="R48" s="37">
        <f>IF(G31="","",IF(G31&gt;=4.5,"S",IF(G31&gt;=3.5,"A",IF(G31&gt;=2.5,"B",IF(G31&gt;=1.5,"C","D")))))</f>
        <v/>
      </c>
      <c r="S48" s="37">
        <f>IF(E42="","",IF(E42&gt;=4.5,"S",IF(E42&gt;=3.5,"A",IF(E42&gt;=2.5,"B",IF(E42&gt;=1.5,"C","D")))))</f>
        <v/>
      </c>
      <c r="T48" s="37">
        <f>IF(F43="","",IF(F43&gt;=4.5,"S",IF(F43&gt;=3.5,"A",IF(F43&gt;=2.5,"B",IF(F43&gt;=1.5,"C","D")))))</f>
        <v/>
      </c>
      <c r="U48" s="51" t="inlineStr"/>
    </row>
    <row r="49" ht="26" customHeight="1">
      <c r="A49" s="52" t="inlineStr">
        <is>
          <t>사용법: 위 한 줄 A~U 선택 → Ctrl+C → 마스터 07a/07b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16" t="inlineStr">
        <is>
          <t>강점</t>
        </is>
      </c>
      <c r="B52" s="17" t="inlineStr"/>
    </row>
    <row r="53" ht="40" customHeight="1">
      <c r="A53" s="16" t="inlineStr">
        <is>
          <t>개선</t>
        </is>
      </c>
      <c r="B53" s="17" t="inlineStr"/>
    </row>
    <row r="54" ht="40" customHeight="1">
      <c r="A54" s="16" t="inlineStr">
        <is>
          <t>육성 방향</t>
        </is>
      </c>
      <c r="B54" s="1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김민수 (G5-M, 기술지원)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BSS-008</t>
        </is>
      </c>
      <c r="C5" s="24" t="inlineStr">
        <is>
          <t>성명</t>
        </is>
      </c>
      <c r="D5" s="28" t="inlineStr">
        <is>
          <t>김민수</t>
        </is>
      </c>
      <c r="E5" s="24" t="inlineStr">
        <is>
          <t>직군</t>
        </is>
      </c>
      <c r="F5" s="28" t="inlineStr">
        <is>
          <t>교육 및 기술지원</t>
        </is>
      </c>
      <c r="G5" s="24" t="inlineStr">
        <is>
          <t>직무</t>
        </is>
      </c>
      <c r="H5" s="28" t="inlineStr">
        <is>
          <t>기술지원</t>
        </is>
      </c>
      <c r="I5" s="24" t="inlineStr">
        <is>
          <t>부서</t>
        </is>
      </c>
      <c r="J5" s="28" t="inlineStr">
        <is>
          <t>솔루션본부</t>
        </is>
      </c>
    </row>
    <row r="6" ht="22" customHeight="1">
      <c r="A6" s="24" t="inlineStr">
        <is>
          <t>기존직급</t>
        </is>
      </c>
      <c r="B6" s="28" t="inlineStr">
        <is>
          <t>부장</t>
        </is>
      </c>
      <c r="C6" s="24" t="inlineStr">
        <is>
          <t>역할등급</t>
        </is>
      </c>
      <c r="D6" s="28" t="inlineStr">
        <is>
          <t>G5-M</t>
        </is>
      </c>
      <c r="E6" s="24" t="inlineStr">
        <is>
          <t>역할명</t>
        </is>
      </c>
      <c r="F6" s="28" t="inlineStr">
        <is>
          <t>직무 관리(부서장)</t>
        </is>
      </c>
      <c r="G6" s="24" t="inlineStr">
        <is>
          <t>입사일</t>
        </is>
      </c>
      <c r="H6" s="28" t="inlineStr">
        <is>
          <t>2015-08-01</t>
        </is>
      </c>
      <c r="I6" s="24" t="inlineStr">
        <is>
          <t>연봉</t>
        </is>
      </c>
      <c r="J6" s="28" t="inlineStr">
        <is>
          <t>59,050,000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부서 전략·목표 수립, 자원 배분·예산 관리·성과 관리, 부서 의사결정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기술지원</t>
        </is>
      </c>
      <c r="C35" s="42" t="inlineStr">
        <is>
          <t>고객 문의 대응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기술지원</t>
        </is>
      </c>
      <c r="C36" s="42" t="inlineStr">
        <is>
          <t>원격·현장 지원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기술지원</t>
        </is>
      </c>
      <c r="C37" s="42" t="inlineStr">
        <is>
          <t>기술 문서 작성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품질개선</t>
        </is>
      </c>
      <c r="C38" s="42" t="inlineStr">
        <is>
          <t>버그 리포트 및 피드백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품질개선</t>
        </is>
      </c>
      <c r="C39" s="42" t="inlineStr">
        <is>
          <t>품질 모니터링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1" ht="24" customHeight="1">
      <c r="A41" s="48" t="inlineStr">
        <is>
          <t>1차 평가자 직무 종합</t>
        </is>
      </c>
      <c r="E41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)/5,"")</f>
        <v/>
      </c>
      <c r="H41" s="37">
        <f>IF(E41="","",IF(E41&gt;=4.5,"S",IF(E41&gt;=3.5,"A",IF(E41&gt;=2.5,"B",IF(E41&gt;=1.5,"C","D")))))</f>
        <v/>
      </c>
    </row>
    <row r="42" ht="24" customHeight="1">
      <c r="A42" s="48" t="inlineStr">
        <is>
          <t>2차 평가자 직무 종합</t>
        </is>
      </c>
      <c r="F42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)/5,"")</f>
        <v/>
      </c>
      <c r="H42" s="37">
        <f>IF(F42="","",IF(F42&gt;=4.5,"S",IF(F42&gt;=3.5,"A",IF(F42&gt;=2.5,"B",IF(F42&gt;=1.5,"C","D")))))</f>
        <v/>
      </c>
    </row>
    <row r="45" ht="32" customHeight="1">
      <c r="A45" s="49" t="inlineStr">
        <is>
          <t>▶ ★ 통합관리시트 입력 행 (한 줄 A~U 21개 셀 통째 복사 → 마스터 07a/07b의 G~AA에 [값 붙여넣기])</t>
        </is>
      </c>
    </row>
    <row r="46" ht="30" customHeight="1">
      <c r="A46" s="50" t="inlineStr">
        <is>
          <t>R-1</t>
        </is>
      </c>
      <c r="B46" s="50" t="inlineStr">
        <is>
          <t>R-2</t>
        </is>
      </c>
      <c r="C46" s="50" t="inlineStr">
        <is>
          <t>R-3</t>
        </is>
      </c>
      <c r="D46" s="50" t="inlineStr">
        <is>
          <t>R-4</t>
        </is>
      </c>
      <c r="E46" s="50" t="inlineStr">
        <is>
          <t>R-5</t>
        </is>
      </c>
      <c r="F46" s="50" t="inlineStr">
        <is>
          <t>역할(1차)</t>
        </is>
      </c>
      <c r="G46" s="50" t="inlineStr">
        <is>
          <t>역할(2차)</t>
        </is>
      </c>
      <c r="H46" s="50" t="inlineStr">
        <is>
          <t>C-1 직무전문성</t>
        </is>
      </c>
      <c r="I46" s="50" t="inlineStr">
        <is>
          <t>C-2 분석력</t>
        </is>
      </c>
      <c r="J46" s="50" t="inlineStr">
        <is>
          <t>C-3 기획실행</t>
        </is>
      </c>
      <c r="K46" s="50" t="inlineStr">
        <is>
          <t>C-4 자원시간</t>
        </is>
      </c>
      <c r="L46" s="50" t="inlineStr">
        <is>
          <t>C-5 협업</t>
        </is>
      </c>
      <c r="M46" s="50" t="inlineStr">
        <is>
          <t>C-6 소통</t>
        </is>
      </c>
      <c r="N46" s="50" t="inlineStr">
        <is>
          <t>C-7 윤리</t>
        </is>
      </c>
      <c r="O46" s="50" t="inlineStr">
        <is>
          <t>C-8 태도</t>
        </is>
      </c>
      <c r="P46" s="50" t="inlineStr">
        <is>
          <t>C-9 혁신</t>
        </is>
      </c>
      <c r="Q46" s="50" t="inlineStr">
        <is>
          <t>C-10 프로세스</t>
        </is>
      </c>
      <c r="R46" s="50" t="inlineStr">
        <is>
          <t>C-11 지속가능</t>
        </is>
      </c>
      <c r="S46" s="50" t="inlineStr">
        <is>
          <t>직무(1차)</t>
        </is>
      </c>
      <c r="T46" s="50" t="inlineStr">
        <is>
          <t>직무(2차)</t>
        </is>
      </c>
      <c r="U46" s="50" t="inlineStr">
        <is>
          <t>소견</t>
        </is>
      </c>
    </row>
    <row r="47" ht="32" customHeight="1">
      <c r="A47" s="37">
        <f>IF(F11="","",IF(F11&gt;=4.5,"S",IF(F11&gt;=3.5,"A",IF(F11&gt;=2.5,"B",IF(F11&gt;=1.5,"C","D")))))</f>
        <v/>
      </c>
      <c r="B47" s="37">
        <f>IF(F12="","",IF(F12&gt;=4.5,"S",IF(F12&gt;=3.5,"A",IF(F12&gt;=2.5,"B",IF(F12&gt;=1.5,"C","D")))))</f>
        <v/>
      </c>
      <c r="C47" s="37">
        <f>IF(F13="","",IF(F13&gt;=4.5,"S",IF(F13&gt;=3.5,"A",IF(F13&gt;=2.5,"B",IF(F13&gt;=1.5,"C","D")))))</f>
        <v/>
      </c>
      <c r="D47" s="37">
        <f>IF(F14="","",IF(F14&gt;=4.5,"S",IF(F14&gt;=3.5,"A",IF(F14&gt;=2.5,"B",IF(F14&gt;=1.5,"C","D")))))</f>
        <v/>
      </c>
      <c r="E47" s="37">
        <f>IF(F15="","",IF(F15&gt;=4.5,"S",IF(F15&gt;=3.5,"A",IF(F15&gt;=2.5,"B",IF(F15&gt;=1.5,"C","D")))))</f>
        <v/>
      </c>
      <c r="F47" s="37">
        <f>IF(D16="","",IF(D16&gt;=4.5,"S",IF(D16&gt;=3.5,"A",IF(D16&gt;=2.5,"B",IF(D16&gt;=1.5,"C","D")))))</f>
        <v/>
      </c>
      <c r="G47" s="37">
        <f>IF(D17="","",IF(D17&gt;=4.5,"S",IF(D17&gt;=3.5,"A",IF(D17&gt;=2.5,"B",IF(D17&gt;=1.5,"C","D")))))</f>
        <v/>
      </c>
      <c r="H47" s="37">
        <f>IF(G21="","",IF(G21&gt;=4.5,"S",IF(G21&gt;=3.5,"A",IF(G21&gt;=2.5,"B",IF(G21&gt;=1.5,"C","D")))))</f>
        <v/>
      </c>
      <c r="I47" s="37">
        <f>IF(G22="","",IF(G22&gt;=4.5,"S",IF(G22&gt;=3.5,"A",IF(G22&gt;=2.5,"B",IF(G22&gt;=1.5,"C","D")))))</f>
        <v/>
      </c>
      <c r="J47" s="37">
        <f>IF(G23="","",IF(G23&gt;=4.5,"S",IF(G23&gt;=3.5,"A",IF(G23&gt;=2.5,"B",IF(G23&gt;=1.5,"C","D")))))</f>
        <v/>
      </c>
      <c r="K47" s="37">
        <f>IF(G24="","",IF(G24&gt;=4.5,"S",IF(G24&gt;=3.5,"A",IF(G24&gt;=2.5,"B",IF(G24&gt;=1.5,"C","D")))))</f>
        <v/>
      </c>
      <c r="L47" s="37">
        <f>IF(G25="","",IF(G25&gt;=4.5,"S",IF(G25&gt;=3.5,"A",IF(G25&gt;=2.5,"B",IF(G25&gt;=1.5,"C","D")))))</f>
        <v/>
      </c>
      <c r="M47" s="37">
        <f>IF(G26="","",IF(G26&gt;=4.5,"S",IF(G26&gt;=3.5,"A",IF(G26&gt;=2.5,"B",IF(G26&gt;=1.5,"C","D")))))</f>
        <v/>
      </c>
      <c r="N47" s="37">
        <f>IF(G27="","",IF(G27&gt;=4.5,"S",IF(G27&gt;=3.5,"A",IF(G27&gt;=2.5,"B",IF(G27&gt;=1.5,"C","D")))))</f>
        <v/>
      </c>
      <c r="O47" s="37">
        <f>IF(G28="","",IF(G28&gt;=4.5,"S",IF(G28&gt;=3.5,"A",IF(G28&gt;=2.5,"B",IF(G28&gt;=1.5,"C","D")))))</f>
        <v/>
      </c>
      <c r="P47" s="37">
        <f>IF(G29="","",IF(G29&gt;=4.5,"S",IF(G29&gt;=3.5,"A",IF(G29&gt;=2.5,"B",IF(G29&gt;=1.5,"C","D")))))</f>
        <v/>
      </c>
      <c r="Q47" s="37">
        <f>IF(G30="","",IF(G30&gt;=4.5,"S",IF(G30&gt;=3.5,"A",IF(G30&gt;=2.5,"B",IF(G30&gt;=1.5,"C","D")))))</f>
        <v/>
      </c>
      <c r="R47" s="37">
        <f>IF(G31="","",IF(G31&gt;=4.5,"S",IF(G31&gt;=3.5,"A",IF(G31&gt;=2.5,"B",IF(G31&gt;=1.5,"C","D")))))</f>
        <v/>
      </c>
      <c r="S47" s="37">
        <f>IF(E41="","",IF(E41&gt;=4.5,"S",IF(E41&gt;=3.5,"A",IF(E41&gt;=2.5,"B",IF(E41&gt;=1.5,"C","D")))))</f>
        <v/>
      </c>
      <c r="T47" s="37">
        <f>IF(F42="","",IF(F42&gt;=4.5,"S",IF(F42&gt;=3.5,"A",IF(F42&gt;=2.5,"B",IF(F42&gt;=1.5,"C","D")))))</f>
        <v/>
      </c>
      <c r="U47" s="51" t="inlineStr"/>
    </row>
    <row r="48" ht="26" customHeight="1">
      <c r="A48" s="52" t="inlineStr">
        <is>
          <t>사용법: 위 한 줄 A~U 선택 → Ctrl+C → 마스터 07a/07b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16" t="inlineStr">
        <is>
          <t>강점</t>
        </is>
      </c>
      <c r="B51" s="17" t="inlineStr"/>
    </row>
    <row r="52" ht="40" customHeight="1">
      <c r="A52" s="16" t="inlineStr">
        <is>
          <t>개선</t>
        </is>
      </c>
      <c r="B52" s="17" t="inlineStr"/>
    </row>
    <row r="53" ht="40" customHeight="1">
      <c r="A53" s="16" t="inlineStr">
        <is>
          <t>육성 방향</t>
        </is>
      </c>
      <c r="B53" s="1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김우람 (G4, 교육)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BSS-017</t>
        </is>
      </c>
      <c r="C5" s="24" t="inlineStr">
        <is>
          <t>성명</t>
        </is>
      </c>
      <c r="D5" s="28" t="inlineStr">
        <is>
          <t>김우람</t>
        </is>
      </c>
      <c r="E5" s="24" t="inlineStr">
        <is>
          <t>직군</t>
        </is>
      </c>
      <c r="F5" s="28" t="inlineStr">
        <is>
          <t>교육 및 기술지원</t>
        </is>
      </c>
      <c r="G5" s="24" t="inlineStr">
        <is>
          <t>직무</t>
        </is>
      </c>
      <c r="H5" s="28" t="inlineStr">
        <is>
          <t>교육</t>
        </is>
      </c>
      <c r="I5" s="24" t="inlineStr">
        <is>
          <t>부서</t>
        </is>
      </c>
      <c r="J5" s="28" t="inlineStr">
        <is>
          <t>솔루션본부</t>
        </is>
      </c>
    </row>
    <row r="6" ht="22" customHeight="1">
      <c r="A6" s="24" t="inlineStr">
        <is>
          <t>기존직급</t>
        </is>
      </c>
      <c r="B6" s="28" t="inlineStr">
        <is>
          <t>과장</t>
        </is>
      </c>
      <c r="C6" s="24" t="inlineStr">
        <is>
          <t>역할등급</t>
        </is>
      </c>
      <c r="D6" s="28" t="inlineStr">
        <is>
          <t>G4</t>
        </is>
      </c>
      <c r="E6" s="24" t="inlineStr">
        <is>
          <t>역할명</t>
        </is>
      </c>
      <c r="F6" s="28" t="inlineStr">
        <is>
          <t>실무 책임(PM)</t>
        </is>
      </c>
      <c r="G6" s="24" t="inlineStr">
        <is>
          <t>입사일</t>
        </is>
      </c>
      <c r="H6" s="28" t="inlineStr">
        <is>
          <t>2018-05-08</t>
        </is>
      </c>
      <c r="I6" s="24" t="inlineStr">
        <is>
          <t>연봉</t>
        </is>
      </c>
      <c r="J6" s="28" t="inlineStr">
        <is>
          <t>49,240,000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단위 프로젝트의 전략 수립·추진을 주도하며 예산·일정·품질 목표 달성 책임.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교육 기획</t>
        </is>
      </c>
      <c r="C35" s="42" t="inlineStr">
        <is>
          <t>교육과정 기획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교육 기획</t>
        </is>
      </c>
      <c r="C36" s="42" t="inlineStr">
        <is>
          <t>교재 개발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교육 운영</t>
        </is>
      </c>
      <c r="C37" s="42" t="inlineStr">
        <is>
          <t>교육 진행 및 강의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교육 운영</t>
        </is>
      </c>
      <c r="C38" s="42" t="inlineStr">
        <is>
          <t>실습 지원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43" t="inlineStr">
        <is>
          <t>J-5</t>
        </is>
      </c>
      <c r="B39" s="44" t="inlineStr">
        <is>
          <t>교육 운영</t>
        </is>
      </c>
      <c r="C39" s="45" t="inlineStr">
        <is>
          <t>평가 및 피드백</t>
        </is>
      </c>
      <c r="D39" s="46" t="inlineStr">
        <is>
          <t>X</t>
        </is>
      </c>
      <c r="E39" s="47" t="inlineStr">
        <is>
          <t>-</t>
        </is>
      </c>
      <c r="F39" s="47" t="inlineStr">
        <is>
          <t>-</t>
        </is>
      </c>
      <c r="G39" s="47" t="inlineStr">
        <is>
          <t>-</t>
        </is>
      </c>
      <c r="H39" s="47" t="inlineStr">
        <is>
          <t>-</t>
        </is>
      </c>
    </row>
    <row r="40" ht="22" customHeight="1">
      <c r="A40" s="43" t="inlineStr">
        <is>
          <t>J-6</t>
        </is>
      </c>
      <c r="B40" s="44" t="inlineStr">
        <is>
          <t>수료/인증</t>
        </is>
      </c>
      <c r="C40" s="45" t="inlineStr">
        <is>
          <t>수료 관리·인증 발급</t>
        </is>
      </c>
      <c r="D40" s="46" t="inlineStr">
        <is>
          <t>X</t>
        </is>
      </c>
      <c r="E40" s="47" t="inlineStr">
        <is>
          <t>-</t>
        </is>
      </c>
      <c r="F40" s="47" t="inlineStr">
        <is>
          <t>-</t>
        </is>
      </c>
      <c r="G40" s="47" t="inlineStr">
        <is>
          <t>-</t>
        </is>
      </c>
      <c r="H40" s="47" t="inlineStr">
        <is>
          <t>-</t>
        </is>
      </c>
    </row>
    <row r="42" ht="24" customHeight="1">
      <c r="A42" s="48" t="inlineStr">
        <is>
          <t>1차 평가자 직무 종합</t>
        </is>
      </c>
      <c r="E42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)/4,"")</f>
        <v/>
      </c>
      <c r="H42" s="37">
        <f>IF(E42="","",IF(E42&gt;=4.5,"S",IF(E42&gt;=3.5,"A",IF(E42&gt;=2.5,"B",IF(E42&gt;=1.5,"C","D")))))</f>
        <v/>
      </c>
    </row>
    <row r="43" ht="24" customHeight="1">
      <c r="A43" s="48" t="inlineStr">
        <is>
          <t>2차 평가자 직무 종합</t>
        </is>
      </c>
      <c r="F43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)/4,"")</f>
        <v/>
      </c>
      <c r="H43" s="37">
        <f>IF(F43="","",IF(F43&gt;=4.5,"S",IF(F43&gt;=3.5,"A",IF(F43&gt;=2.5,"B",IF(F43&gt;=1.5,"C","D")))))</f>
        <v/>
      </c>
    </row>
    <row r="46" ht="32" customHeight="1">
      <c r="A46" s="49" t="inlineStr">
        <is>
          <t>▶ ★ 통합관리시트 입력 행 (한 줄 A~U 21개 셀 통째 복사 → 마스터 07a/07b의 G~AA에 [값 붙여넣기])</t>
        </is>
      </c>
    </row>
    <row r="47" ht="30" customHeight="1">
      <c r="A47" s="50" t="inlineStr">
        <is>
          <t>R-1</t>
        </is>
      </c>
      <c r="B47" s="50" t="inlineStr">
        <is>
          <t>R-2</t>
        </is>
      </c>
      <c r="C47" s="50" t="inlineStr">
        <is>
          <t>R-3</t>
        </is>
      </c>
      <c r="D47" s="50" t="inlineStr">
        <is>
          <t>R-4</t>
        </is>
      </c>
      <c r="E47" s="50" t="inlineStr">
        <is>
          <t>R-5</t>
        </is>
      </c>
      <c r="F47" s="50" t="inlineStr">
        <is>
          <t>역할(1차)</t>
        </is>
      </c>
      <c r="G47" s="50" t="inlineStr">
        <is>
          <t>역할(2차)</t>
        </is>
      </c>
      <c r="H47" s="50" t="inlineStr">
        <is>
          <t>C-1 직무전문성</t>
        </is>
      </c>
      <c r="I47" s="50" t="inlineStr">
        <is>
          <t>C-2 분석력</t>
        </is>
      </c>
      <c r="J47" s="50" t="inlineStr">
        <is>
          <t>C-3 기획실행</t>
        </is>
      </c>
      <c r="K47" s="50" t="inlineStr">
        <is>
          <t>C-4 자원시간</t>
        </is>
      </c>
      <c r="L47" s="50" t="inlineStr">
        <is>
          <t>C-5 협업</t>
        </is>
      </c>
      <c r="M47" s="50" t="inlineStr">
        <is>
          <t>C-6 소통</t>
        </is>
      </c>
      <c r="N47" s="50" t="inlineStr">
        <is>
          <t>C-7 윤리</t>
        </is>
      </c>
      <c r="O47" s="50" t="inlineStr">
        <is>
          <t>C-8 태도</t>
        </is>
      </c>
      <c r="P47" s="50" t="inlineStr">
        <is>
          <t>C-9 혁신</t>
        </is>
      </c>
      <c r="Q47" s="50" t="inlineStr">
        <is>
          <t>C-10 프로세스</t>
        </is>
      </c>
      <c r="R47" s="50" t="inlineStr">
        <is>
          <t>C-11 지속가능</t>
        </is>
      </c>
      <c r="S47" s="50" t="inlineStr">
        <is>
          <t>직무(1차)</t>
        </is>
      </c>
      <c r="T47" s="50" t="inlineStr">
        <is>
          <t>직무(2차)</t>
        </is>
      </c>
      <c r="U47" s="50" t="inlineStr">
        <is>
          <t>소견</t>
        </is>
      </c>
    </row>
    <row r="48" ht="32" customHeight="1">
      <c r="A48" s="37">
        <f>IF(F11="","",IF(F11&gt;=4.5,"S",IF(F11&gt;=3.5,"A",IF(F11&gt;=2.5,"B",IF(F11&gt;=1.5,"C","D")))))</f>
        <v/>
      </c>
      <c r="B48" s="37">
        <f>IF(F12="","",IF(F12&gt;=4.5,"S",IF(F12&gt;=3.5,"A",IF(F12&gt;=2.5,"B",IF(F12&gt;=1.5,"C","D")))))</f>
        <v/>
      </c>
      <c r="C48" s="37">
        <f>IF(F13="","",IF(F13&gt;=4.5,"S",IF(F13&gt;=3.5,"A",IF(F13&gt;=2.5,"B",IF(F13&gt;=1.5,"C","D")))))</f>
        <v/>
      </c>
      <c r="D48" s="37">
        <f>IF(F14="","",IF(F14&gt;=4.5,"S",IF(F14&gt;=3.5,"A",IF(F14&gt;=2.5,"B",IF(F14&gt;=1.5,"C","D")))))</f>
        <v/>
      </c>
      <c r="E48" s="37">
        <f>IF(F15="","",IF(F15&gt;=4.5,"S",IF(F15&gt;=3.5,"A",IF(F15&gt;=2.5,"B",IF(F15&gt;=1.5,"C","D")))))</f>
        <v/>
      </c>
      <c r="F48" s="37">
        <f>IF(D16="","",IF(D16&gt;=4.5,"S",IF(D16&gt;=3.5,"A",IF(D16&gt;=2.5,"B",IF(D16&gt;=1.5,"C","D")))))</f>
        <v/>
      </c>
      <c r="G48" s="37">
        <f>IF(D17="","",IF(D17&gt;=4.5,"S",IF(D17&gt;=3.5,"A",IF(D17&gt;=2.5,"B",IF(D17&gt;=1.5,"C","D")))))</f>
        <v/>
      </c>
      <c r="H48" s="37">
        <f>IF(G21="","",IF(G21&gt;=4.5,"S",IF(G21&gt;=3.5,"A",IF(G21&gt;=2.5,"B",IF(G21&gt;=1.5,"C","D")))))</f>
        <v/>
      </c>
      <c r="I48" s="37">
        <f>IF(G22="","",IF(G22&gt;=4.5,"S",IF(G22&gt;=3.5,"A",IF(G22&gt;=2.5,"B",IF(G22&gt;=1.5,"C","D")))))</f>
        <v/>
      </c>
      <c r="J48" s="37">
        <f>IF(G23="","",IF(G23&gt;=4.5,"S",IF(G23&gt;=3.5,"A",IF(G23&gt;=2.5,"B",IF(G23&gt;=1.5,"C","D")))))</f>
        <v/>
      </c>
      <c r="K48" s="37">
        <f>IF(G24="","",IF(G24&gt;=4.5,"S",IF(G24&gt;=3.5,"A",IF(G24&gt;=2.5,"B",IF(G24&gt;=1.5,"C","D")))))</f>
        <v/>
      </c>
      <c r="L48" s="37">
        <f>IF(G25="","",IF(G25&gt;=4.5,"S",IF(G25&gt;=3.5,"A",IF(G25&gt;=2.5,"B",IF(G25&gt;=1.5,"C","D")))))</f>
        <v/>
      </c>
      <c r="M48" s="37">
        <f>IF(G26="","",IF(G26&gt;=4.5,"S",IF(G26&gt;=3.5,"A",IF(G26&gt;=2.5,"B",IF(G26&gt;=1.5,"C","D")))))</f>
        <v/>
      </c>
      <c r="N48" s="37">
        <f>IF(G27="","",IF(G27&gt;=4.5,"S",IF(G27&gt;=3.5,"A",IF(G27&gt;=2.5,"B",IF(G27&gt;=1.5,"C","D")))))</f>
        <v/>
      </c>
      <c r="O48" s="37">
        <f>IF(G28="","",IF(G28&gt;=4.5,"S",IF(G28&gt;=3.5,"A",IF(G28&gt;=2.5,"B",IF(G28&gt;=1.5,"C","D")))))</f>
        <v/>
      </c>
      <c r="P48" s="37">
        <f>IF(G29="","",IF(G29&gt;=4.5,"S",IF(G29&gt;=3.5,"A",IF(G29&gt;=2.5,"B",IF(G29&gt;=1.5,"C","D")))))</f>
        <v/>
      </c>
      <c r="Q48" s="37">
        <f>IF(G30="","",IF(G30&gt;=4.5,"S",IF(G30&gt;=3.5,"A",IF(G30&gt;=2.5,"B",IF(G30&gt;=1.5,"C","D")))))</f>
        <v/>
      </c>
      <c r="R48" s="37">
        <f>IF(G31="","",IF(G31&gt;=4.5,"S",IF(G31&gt;=3.5,"A",IF(G31&gt;=2.5,"B",IF(G31&gt;=1.5,"C","D")))))</f>
        <v/>
      </c>
      <c r="S48" s="37">
        <f>IF(E42="","",IF(E42&gt;=4.5,"S",IF(E42&gt;=3.5,"A",IF(E42&gt;=2.5,"B",IF(E42&gt;=1.5,"C","D")))))</f>
        <v/>
      </c>
      <c r="T48" s="37">
        <f>IF(F43="","",IF(F43&gt;=4.5,"S",IF(F43&gt;=3.5,"A",IF(F43&gt;=2.5,"B",IF(F43&gt;=1.5,"C","D")))))</f>
        <v/>
      </c>
      <c r="U48" s="51" t="inlineStr"/>
    </row>
    <row r="49" ht="26" customHeight="1">
      <c r="A49" s="52" t="inlineStr">
        <is>
          <t>사용법: 위 한 줄 A~U 선택 → Ctrl+C → 마스터 07a/07b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16" t="inlineStr">
        <is>
          <t>강점</t>
        </is>
      </c>
      <c r="B52" s="17" t="inlineStr"/>
    </row>
    <row r="53" ht="40" customHeight="1">
      <c r="A53" s="16" t="inlineStr">
        <is>
          <t>개선</t>
        </is>
      </c>
      <c r="B53" s="17" t="inlineStr"/>
    </row>
    <row r="54" ht="40" customHeight="1">
      <c r="A54" s="16" t="inlineStr">
        <is>
          <t>육성 방향</t>
        </is>
      </c>
      <c r="B54" s="1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박진용 (G3, 기술지원)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BSS-020</t>
        </is>
      </c>
      <c r="C5" s="24" t="inlineStr">
        <is>
          <t>성명</t>
        </is>
      </c>
      <c r="D5" s="28" t="inlineStr">
        <is>
          <t>박진용</t>
        </is>
      </c>
      <c r="E5" s="24" t="inlineStr">
        <is>
          <t>직군</t>
        </is>
      </c>
      <c r="F5" s="28" t="inlineStr">
        <is>
          <t>교육 및 기술지원</t>
        </is>
      </c>
      <c r="G5" s="24" t="inlineStr">
        <is>
          <t>직무</t>
        </is>
      </c>
      <c r="H5" s="28" t="inlineStr">
        <is>
          <t>기술지원</t>
        </is>
      </c>
      <c r="I5" s="24" t="inlineStr">
        <is>
          <t>부서</t>
        </is>
      </c>
      <c r="J5" s="28" t="inlineStr">
        <is>
          <t>솔루션본부</t>
        </is>
      </c>
    </row>
    <row r="6" ht="22" customHeight="1">
      <c r="A6" s="24" t="inlineStr">
        <is>
          <t>기존직급</t>
        </is>
      </c>
      <c r="B6" s="28" t="inlineStr">
        <is>
          <t>대리</t>
        </is>
      </c>
      <c r="C6" s="24" t="inlineStr">
        <is>
          <t>역할등급</t>
        </is>
      </c>
      <c r="D6" s="28" t="inlineStr">
        <is>
          <t>G3</t>
        </is>
      </c>
      <c r="E6" s="24" t="inlineStr">
        <is>
          <t>역할명</t>
        </is>
      </c>
      <c r="F6" s="28" t="inlineStr">
        <is>
          <t>핵심 실무</t>
        </is>
      </c>
      <c r="G6" s="24" t="inlineStr">
        <is>
          <t>입사일</t>
        </is>
      </c>
      <c r="H6" s="28" t="inlineStr">
        <is>
          <t>2018-08-01</t>
        </is>
      </c>
      <c r="I6" s="24" t="inlineStr">
        <is>
          <t>연봉</t>
        </is>
      </c>
      <c r="J6" s="28" t="inlineStr">
        <is>
          <t>43,060,000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전문 지식과 기술로 핵심 과업을 기획·수행하며 산출물 품질·일정 준수 책임.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기술지원</t>
        </is>
      </c>
      <c r="C35" s="42" t="inlineStr">
        <is>
          <t>고객 문의 대응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기술지원</t>
        </is>
      </c>
      <c r="C36" s="42" t="inlineStr">
        <is>
          <t>원격·현장 지원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기술지원</t>
        </is>
      </c>
      <c r="C37" s="42" t="inlineStr">
        <is>
          <t>기술 문서 작성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3" t="inlineStr">
        <is>
          <t>J-4</t>
        </is>
      </c>
      <c r="B38" s="44" t="inlineStr">
        <is>
          <t>품질개선</t>
        </is>
      </c>
      <c r="C38" s="45" t="inlineStr">
        <is>
          <t>버그 리포트 및 피드백</t>
        </is>
      </c>
      <c r="D38" s="46" t="inlineStr">
        <is>
          <t>X</t>
        </is>
      </c>
      <c r="E38" s="47" t="inlineStr">
        <is>
          <t>-</t>
        </is>
      </c>
      <c r="F38" s="47" t="inlineStr">
        <is>
          <t>-</t>
        </is>
      </c>
      <c r="G38" s="47" t="inlineStr">
        <is>
          <t>-</t>
        </is>
      </c>
      <c r="H38" s="47" t="inlineStr">
        <is>
          <t>-</t>
        </is>
      </c>
    </row>
    <row r="39" ht="22" customHeight="1">
      <c r="A39" s="43" t="inlineStr">
        <is>
          <t>J-5</t>
        </is>
      </c>
      <c r="B39" s="44" t="inlineStr">
        <is>
          <t>품질개선</t>
        </is>
      </c>
      <c r="C39" s="45" t="inlineStr">
        <is>
          <t>품질 모니터링</t>
        </is>
      </c>
      <c r="D39" s="46" t="inlineStr">
        <is>
          <t>X</t>
        </is>
      </c>
      <c r="E39" s="47" t="inlineStr">
        <is>
          <t>-</t>
        </is>
      </c>
      <c r="F39" s="47" t="inlineStr">
        <is>
          <t>-</t>
        </is>
      </c>
      <c r="G39" s="47" t="inlineStr">
        <is>
          <t>-</t>
        </is>
      </c>
      <c r="H39" s="47" t="inlineStr">
        <is>
          <t>-</t>
        </is>
      </c>
    </row>
    <row r="41" ht="24" customHeight="1">
      <c r="A41" s="48" t="inlineStr">
        <is>
          <t>1차 평가자 직무 종합</t>
        </is>
      </c>
      <c r="E41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41" s="37">
        <f>IF(E41="","",IF(E41&gt;=4.5,"S",IF(E41&gt;=3.5,"A",IF(E41&gt;=2.5,"B",IF(E41&gt;=1.5,"C","D")))))</f>
        <v/>
      </c>
    </row>
    <row r="42" ht="24" customHeight="1">
      <c r="A42" s="48" t="inlineStr">
        <is>
          <t>2차 평가자 직무 종합</t>
        </is>
      </c>
      <c r="F42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42" s="37">
        <f>IF(F42="","",IF(F42&gt;=4.5,"S",IF(F42&gt;=3.5,"A",IF(F42&gt;=2.5,"B",IF(F42&gt;=1.5,"C","D")))))</f>
        <v/>
      </c>
    </row>
    <row r="45" ht="32" customHeight="1">
      <c r="A45" s="49" t="inlineStr">
        <is>
          <t>▶ ★ 통합관리시트 입력 행 (한 줄 A~U 21개 셀 통째 복사 → 마스터 07a/07b의 G~AA에 [값 붙여넣기])</t>
        </is>
      </c>
    </row>
    <row r="46" ht="30" customHeight="1">
      <c r="A46" s="50" t="inlineStr">
        <is>
          <t>R-1</t>
        </is>
      </c>
      <c r="B46" s="50" t="inlineStr">
        <is>
          <t>R-2</t>
        </is>
      </c>
      <c r="C46" s="50" t="inlineStr">
        <is>
          <t>R-3</t>
        </is>
      </c>
      <c r="D46" s="50" t="inlineStr">
        <is>
          <t>R-4</t>
        </is>
      </c>
      <c r="E46" s="50" t="inlineStr">
        <is>
          <t>R-5</t>
        </is>
      </c>
      <c r="F46" s="50" t="inlineStr">
        <is>
          <t>역할(1차)</t>
        </is>
      </c>
      <c r="G46" s="50" t="inlineStr">
        <is>
          <t>역할(2차)</t>
        </is>
      </c>
      <c r="H46" s="50" t="inlineStr">
        <is>
          <t>C-1 직무전문성</t>
        </is>
      </c>
      <c r="I46" s="50" t="inlineStr">
        <is>
          <t>C-2 분석력</t>
        </is>
      </c>
      <c r="J46" s="50" t="inlineStr">
        <is>
          <t>C-3 기획실행</t>
        </is>
      </c>
      <c r="K46" s="50" t="inlineStr">
        <is>
          <t>C-4 자원시간</t>
        </is>
      </c>
      <c r="L46" s="50" t="inlineStr">
        <is>
          <t>C-5 협업</t>
        </is>
      </c>
      <c r="M46" s="50" t="inlineStr">
        <is>
          <t>C-6 소통</t>
        </is>
      </c>
      <c r="N46" s="50" t="inlineStr">
        <is>
          <t>C-7 윤리</t>
        </is>
      </c>
      <c r="O46" s="50" t="inlineStr">
        <is>
          <t>C-8 태도</t>
        </is>
      </c>
      <c r="P46" s="50" t="inlineStr">
        <is>
          <t>C-9 혁신</t>
        </is>
      </c>
      <c r="Q46" s="50" t="inlineStr">
        <is>
          <t>C-10 프로세스</t>
        </is>
      </c>
      <c r="R46" s="50" t="inlineStr">
        <is>
          <t>C-11 지속가능</t>
        </is>
      </c>
      <c r="S46" s="50" t="inlineStr">
        <is>
          <t>직무(1차)</t>
        </is>
      </c>
      <c r="T46" s="50" t="inlineStr">
        <is>
          <t>직무(2차)</t>
        </is>
      </c>
      <c r="U46" s="50" t="inlineStr">
        <is>
          <t>소견</t>
        </is>
      </c>
    </row>
    <row r="47" ht="32" customHeight="1">
      <c r="A47" s="37">
        <f>IF(F11="","",IF(F11&gt;=4.5,"S",IF(F11&gt;=3.5,"A",IF(F11&gt;=2.5,"B",IF(F11&gt;=1.5,"C","D")))))</f>
        <v/>
      </c>
      <c r="B47" s="37">
        <f>IF(F12="","",IF(F12&gt;=4.5,"S",IF(F12&gt;=3.5,"A",IF(F12&gt;=2.5,"B",IF(F12&gt;=1.5,"C","D")))))</f>
        <v/>
      </c>
      <c r="C47" s="37">
        <f>IF(F13="","",IF(F13&gt;=4.5,"S",IF(F13&gt;=3.5,"A",IF(F13&gt;=2.5,"B",IF(F13&gt;=1.5,"C","D")))))</f>
        <v/>
      </c>
      <c r="D47" s="37">
        <f>IF(F14="","",IF(F14&gt;=4.5,"S",IF(F14&gt;=3.5,"A",IF(F14&gt;=2.5,"B",IF(F14&gt;=1.5,"C","D")))))</f>
        <v/>
      </c>
      <c r="E47" s="37">
        <f>IF(F15="","",IF(F15&gt;=4.5,"S",IF(F15&gt;=3.5,"A",IF(F15&gt;=2.5,"B",IF(F15&gt;=1.5,"C","D")))))</f>
        <v/>
      </c>
      <c r="F47" s="37">
        <f>IF(D16="","",IF(D16&gt;=4.5,"S",IF(D16&gt;=3.5,"A",IF(D16&gt;=2.5,"B",IF(D16&gt;=1.5,"C","D")))))</f>
        <v/>
      </c>
      <c r="G47" s="37">
        <f>IF(D17="","",IF(D17&gt;=4.5,"S",IF(D17&gt;=3.5,"A",IF(D17&gt;=2.5,"B",IF(D17&gt;=1.5,"C","D")))))</f>
        <v/>
      </c>
      <c r="H47" s="37">
        <f>IF(G21="","",IF(G21&gt;=4.5,"S",IF(G21&gt;=3.5,"A",IF(G21&gt;=2.5,"B",IF(G21&gt;=1.5,"C","D")))))</f>
        <v/>
      </c>
      <c r="I47" s="37">
        <f>IF(G22="","",IF(G22&gt;=4.5,"S",IF(G22&gt;=3.5,"A",IF(G22&gt;=2.5,"B",IF(G22&gt;=1.5,"C","D")))))</f>
        <v/>
      </c>
      <c r="J47" s="37">
        <f>IF(G23="","",IF(G23&gt;=4.5,"S",IF(G23&gt;=3.5,"A",IF(G23&gt;=2.5,"B",IF(G23&gt;=1.5,"C","D")))))</f>
        <v/>
      </c>
      <c r="K47" s="37">
        <f>IF(G24="","",IF(G24&gt;=4.5,"S",IF(G24&gt;=3.5,"A",IF(G24&gt;=2.5,"B",IF(G24&gt;=1.5,"C","D")))))</f>
        <v/>
      </c>
      <c r="L47" s="37">
        <f>IF(G25="","",IF(G25&gt;=4.5,"S",IF(G25&gt;=3.5,"A",IF(G25&gt;=2.5,"B",IF(G25&gt;=1.5,"C","D")))))</f>
        <v/>
      </c>
      <c r="M47" s="37">
        <f>IF(G26="","",IF(G26&gt;=4.5,"S",IF(G26&gt;=3.5,"A",IF(G26&gt;=2.5,"B",IF(G26&gt;=1.5,"C","D")))))</f>
        <v/>
      </c>
      <c r="N47" s="37">
        <f>IF(G27="","",IF(G27&gt;=4.5,"S",IF(G27&gt;=3.5,"A",IF(G27&gt;=2.5,"B",IF(G27&gt;=1.5,"C","D")))))</f>
        <v/>
      </c>
      <c r="O47" s="37">
        <f>IF(G28="","",IF(G28&gt;=4.5,"S",IF(G28&gt;=3.5,"A",IF(G28&gt;=2.5,"B",IF(G28&gt;=1.5,"C","D")))))</f>
        <v/>
      </c>
      <c r="P47" s="37">
        <f>IF(G29="","",IF(G29&gt;=4.5,"S",IF(G29&gt;=3.5,"A",IF(G29&gt;=2.5,"B",IF(G29&gt;=1.5,"C","D")))))</f>
        <v/>
      </c>
      <c r="Q47" s="37">
        <f>IF(G30="","",IF(G30&gt;=4.5,"S",IF(G30&gt;=3.5,"A",IF(G30&gt;=2.5,"B",IF(G30&gt;=1.5,"C","D")))))</f>
        <v/>
      </c>
      <c r="R47" s="37">
        <f>IF(G31="","",IF(G31&gt;=4.5,"S",IF(G31&gt;=3.5,"A",IF(G31&gt;=2.5,"B",IF(G31&gt;=1.5,"C","D")))))</f>
        <v/>
      </c>
      <c r="S47" s="37">
        <f>IF(E41="","",IF(E41&gt;=4.5,"S",IF(E41&gt;=3.5,"A",IF(E41&gt;=2.5,"B",IF(E41&gt;=1.5,"C","D")))))</f>
        <v/>
      </c>
      <c r="T47" s="37">
        <f>IF(F42="","",IF(F42&gt;=4.5,"S",IF(F42&gt;=3.5,"A",IF(F42&gt;=2.5,"B",IF(F42&gt;=1.5,"C","D")))))</f>
        <v/>
      </c>
      <c r="U47" s="51" t="inlineStr"/>
    </row>
    <row r="48" ht="26" customHeight="1">
      <c r="A48" s="52" t="inlineStr">
        <is>
          <t>사용법: 위 한 줄 A~U 선택 → Ctrl+C → 마스터 07a/07b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16" t="inlineStr">
        <is>
          <t>강점</t>
        </is>
      </c>
      <c r="B51" s="17" t="inlineStr"/>
    </row>
    <row r="52" ht="40" customHeight="1">
      <c r="A52" s="16" t="inlineStr">
        <is>
          <t>개선</t>
        </is>
      </c>
      <c r="B52" s="17" t="inlineStr"/>
    </row>
    <row r="53" ht="40" customHeight="1">
      <c r="A53" s="16" t="inlineStr">
        <is>
          <t>육성 방향</t>
        </is>
      </c>
      <c r="B53" s="1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장은한 (G2, 교육)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BSS-027</t>
        </is>
      </c>
      <c r="C5" s="24" t="inlineStr">
        <is>
          <t>성명</t>
        </is>
      </c>
      <c r="D5" s="28" t="inlineStr">
        <is>
          <t>장은한</t>
        </is>
      </c>
      <c r="E5" s="24" t="inlineStr">
        <is>
          <t>직군</t>
        </is>
      </c>
      <c r="F5" s="28" t="inlineStr">
        <is>
          <t>교육 및 기술지원</t>
        </is>
      </c>
      <c r="G5" s="24" t="inlineStr">
        <is>
          <t>직무</t>
        </is>
      </c>
      <c r="H5" s="28" t="inlineStr">
        <is>
          <t>교육</t>
        </is>
      </c>
      <c r="I5" s="24" t="inlineStr">
        <is>
          <t>부서</t>
        </is>
      </c>
      <c r="J5" s="28" t="inlineStr">
        <is>
          <t>솔루션본부</t>
        </is>
      </c>
    </row>
    <row r="6" ht="22" customHeight="1">
      <c r="A6" s="24" t="inlineStr">
        <is>
          <t>기존직급</t>
        </is>
      </c>
      <c r="B6" s="28" t="inlineStr">
        <is>
          <t>주임</t>
        </is>
      </c>
      <c r="C6" s="24" t="inlineStr">
        <is>
          <t>역할등급</t>
        </is>
      </c>
      <c r="D6" s="28" t="inlineStr">
        <is>
          <t>G2</t>
        </is>
      </c>
      <c r="E6" s="24" t="inlineStr">
        <is>
          <t>역할명</t>
        </is>
      </c>
      <c r="F6" s="28" t="inlineStr">
        <is>
          <t>실무</t>
        </is>
      </c>
      <c r="G6" s="24" t="inlineStr">
        <is>
          <t>입사일</t>
        </is>
      </c>
      <c r="H6" s="28" t="inlineStr">
        <is>
          <t>2020-03-22</t>
        </is>
      </c>
      <c r="I6" s="24" t="inlineStr">
        <is>
          <t>연봉</t>
        </is>
      </c>
      <c r="J6" s="28" t="inlineStr">
        <is>
          <t>35,000,000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프로젝트 계획에 따라 독립적·자율적으로 세부 과업을 수행하고 산출물을 도출.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교육 기획</t>
        </is>
      </c>
      <c r="C35" s="42" t="inlineStr">
        <is>
          <t>교육과정 기획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교육 기획</t>
        </is>
      </c>
      <c r="C36" s="42" t="inlineStr">
        <is>
          <t>교재 개발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교육 운영</t>
        </is>
      </c>
      <c r="C37" s="42" t="inlineStr">
        <is>
          <t>교육 진행 및 강의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43" t="inlineStr">
        <is>
          <t>J-4</t>
        </is>
      </c>
      <c r="B38" s="44" t="inlineStr">
        <is>
          <t>교육 운영</t>
        </is>
      </c>
      <c r="C38" s="45" t="inlineStr">
        <is>
          <t>실습 지원</t>
        </is>
      </c>
      <c r="D38" s="46" t="inlineStr">
        <is>
          <t>X</t>
        </is>
      </c>
      <c r="E38" s="47" t="inlineStr">
        <is>
          <t>-</t>
        </is>
      </c>
      <c r="F38" s="47" t="inlineStr">
        <is>
          <t>-</t>
        </is>
      </c>
      <c r="G38" s="47" t="inlineStr">
        <is>
          <t>-</t>
        </is>
      </c>
      <c r="H38" s="47" t="inlineStr">
        <is>
          <t>-</t>
        </is>
      </c>
    </row>
    <row r="39" ht="22" customHeight="1">
      <c r="A39" s="43" t="inlineStr">
        <is>
          <t>J-5</t>
        </is>
      </c>
      <c r="B39" s="44" t="inlineStr">
        <is>
          <t>교육 운영</t>
        </is>
      </c>
      <c r="C39" s="45" t="inlineStr">
        <is>
          <t>평가 및 피드백</t>
        </is>
      </c>
      <c r="D39" s="46" t="inlineStr">
        <is>
          <t>X</t>
        </is>
      </c>
      <c r="E39" s="47" t="inlineStr">
        <is>
          <t>-</t>
        </is>
      </c>
      <c r="F39" s="47" t="inlineStr">
        <is>
          <t>-</t>
        </is>
      </c>
      <c r="G39" s="47" t="inlineStr">
        <is>
          <t>-</t>
        </is>
      </c>
      <c r="H39" s="47" t="inlineStr">
        <is>
          <t>-</t>
        </is>
      </c>
    </row>
    <row r="40" ht="22" customHeight="1">
      <c r="A40" s="43" t="inlineStr">
        <is>
          <t>J-6</t>
        </is>
      </c>
      <c r="B40" s="44" t="inlineStr">
        <is>
          <t>수료/인증</t>
        </is>
      </c>
      <c r="C40" s="45" t="inlineStr">
        <is>
          <t>수료 관리·인증 발급</t>
        </is>
      </c>
      <c r="D40" s="46" t="inlineStr">
        <is>
          <t>X</t>
        </is>
      </c>
      <c r="E40" s="47" t="inlineStr">
        <is>
          <t>-</t>
        </is>
      </c>
      <c r="F40" s="47" t="inlineStr">
        <is>
          <t>-</t>
        </is>
      </c>
      <c r="G40" s="47" t="inlineStr">
        <is>
          <t>-</t>
        </is>
      </c>
      <c r="H40" s="47" t="inlineStr">
        <is>
          <t>-</t>
        </is>
      </c>
    </row>
    <row r="42" ht="24" customHeight="1">
      <c r="A42" s="48" t="inlineStr">
        <is>
          <t>1차 평가자 직무 종합</t>
        </is>
      </c>
      <c r="E42" s="36">
        <f>IFERROR((IF(E35="S",5,IF(E35="A",4,IF(E35="B",3,IF(E35="C",2,IF(E35="D",1,0)))))+IF(E36="S",5,IF(E36="A",4,IF(E36="B",3,IF(E36="C",2,IF(E36="D",1,0)))))+IF(E37="S",5,IF(E37="A",4,IF(E37="B",3,IF(E37="C",2,IF(E37="D",1,0))))))/3,"")</f>
        <v/>
      </c>
      <c r="H42" s="37">
        <f>IF(E42="","",IF(E42&gt;=4.5,"S",IF(E42&gt;=3.5,"A",IF(E42&gt;=2.5,"B",IF(E42&gt;=1.5,"C","D")))))</f>
        <v/>
      </c>
    </row>
    <row r="43" ht="24" customHeight="1">
      <c r="A43" s="48" t="inlineStr">
        <is>
          <t>2차 평가자 직무 종합</t>
        </is>
      </c>
      <c r="F43" s="36">
        <f>IFERROR((IF(F35="S",5,IF(F35="A",4,IF(F35="B",3,IF(F35="C",2,IF(F35="D",1,0)))))+IF(F36="S",5,IF(F36="A",4,IF(F36="B",3,IF(F36="C",2,IF(F36="D",1,0)))))+IF(F37="S",5,IF(F37="A",4,IF(F37="B",3,IF(F37="C",2,IF(F37="D",1,0))))))/3,"")</f>
        <v/>
      </c>
      <c r="H43" s="37">
        <f>IF(F43="","",IF(F43&gt;=4.5,"S",IF(F43&gt;=3.5,"A",IF(F43&gt;=2.5,"B",IF(F43&gt;=1.5,"C","D")))))</f>
        <v/>
      </c>
    </row>
    <row r="46" ht="32" customHeight="1">
      <c r="A46" s="49" t="inlineStr">
        <is>
          <t>▶ ★ 통합관리시트 입력 행 (한 줄 A~U 21개 셀 통째 복사 → 마스터 07a/07b의 G~AA에 [값 붙여넣기])</t>
        </is>
      </c>
    </row>
    <row r="47" ht="30" customHeight="1">
      <c r="A47" s="50" t="inlineStr">
        <is>
          <t>R-1</t>
        </is>
      </c>
      <c r="B47" s="50" t="inlineStr">
        <is>
          <t>R-2</t>
        </is>
      </c>
      <c r="C47" s="50" t="inlineStr">
        <is>
          <t>R-3</t>
        </is>
      </c>
      <c r="D47" s="50" t="inlineStr">
        <is>
          <t>R-4</t>
        </is>
      </c>
      <c r="E47" s="50" t="inlineStr">
        <is>
          <t>R-5</t>
        </is>
      </c>
      <c r="F47" s="50" t="inlineStr">
        <is>
          <t>역할(1차)</t>
        </is>
      </c>
      <c r="G47" s="50" t="inlineStr">
        <is>
          <t>역할(2차)</t>
        </is>
      </c>
      <c r="H47" s="50" t="inlineStr">
        <is>
          <t>C-1 직무전문성</t>
        </is>
      </c>
      <c r="I47" s="50" t="inlineStr">
        <is>
          <t>C-2 분석력</t>
        </is>
      </c>
      <c r="J47" s="50" t="inlineStr">
        <is>
          <t>C-3 기획실행</t>
        </is>
      </c>
      <c r="K47" s="50" t="inlineStr">
        <is>
          <t>C-4 자원시간</t>
        </is>
      </c>
      <c r="L47" s="50" t="inlineStr">
        <is>
          <t>C-5 협업</t>
        </is>
      </c>
      <c r="M47" s="50" t="inlineStr">
        <is>
          <t>C-6 소통</t>
        </is>
      </c>
      <c r="N47" s="50" t="inlineStr">
        <is>
          <t>C-7 윤리</t>
        </is>
      </c>
      <c r="O47" s="50" t="inlineStr">
        <is>
          <t>C-8 태도</t>
        </is>
      </c>
      <c r="P47" s="50" t="inlineStr">
        <is>
          <t>C-9 혁신</t>
        </is>
      </c>
      <c r="Q47" s="50" t="inlineStr">
        <is>
          <t>C-10 프로세스</t>
        </is>
      </c>
      <c r="R47" s="50" t="inlineStr">
        <is>
          <t>C-11 지속가능</t>
        </is>
      </c>
      <c r="S47" s="50" t="inlineStr">
        <is>
          <t>직무(1차)</t>
        </is>
      </c>
      <c r="T47" s="50" t="inlineStr">
        <is>
          <t>직무(2차)</t>
        </is>
      </c>
      <c r="U47" s="50" t="inlineStr">
        <is>
          <t>소견</t>
        </is>
      </c>
    </row>
    <row r="48" ht="32" customHeight="1">
      <c r="A48" s="37">
        <f>IF(F11="","",IF(F11&gt;=4.5,"S",IF(F11&gt;=3.5,"A",IF(F11&gt;=2.5,"B",IF(F11&gt;=1.5,"C","D")))))</f>
        <v/>
      </c>
      <c r="B48" s="37">
        <f>IF(F12="","",IF(F12&gt;=4.5,"S",IF(F12&gt;=3.5,"A",IF(F12&gt;=2.5,"B",IF(F12&gt;=1.5,"C","D")))))</f>
        <v/>
      </c>
      <c r="C48" s="37">
        <f>IF(F13="","",IF(F13&gt;=4.5,"S",IF(F13&gt;=3.5,"A",IF(F13&gt;=2.5,"B",IF(F13&gt;=1.5,"C","D")))))</f>
        <v/>
      </c>
      <c r="D48" s="37">
        <f>IF(F14="","",IF(F14&gt;=4.5,"S",IF(F14&gt;=3.5,"A",IF(F14&gt;=2.5,"B",IF(F14&gt;=1.5,"C","D")))))</f>
        <v/>
      </c>
      <c r="E48" s="37">
        <f>IF(F15="","",IF(F15&gt;=4.5,"S",IF(F15&gt;=3.5,"A",IF(F15&gt;=2.5,"B",IF(F15&gt;=1.5,"C","D")))))</f>
        <v/>
      </c>
      <c r="F48" s="37">
        <f>IF(D16="","",IF(D16&gt;=4.5,"S",IF(D16&gt;=3.5,"A",IF(D16&gt;=2.5,"B",IF(D16&gt;=1.5,"C","D")))))</f>
        <v/>
      </c>
      <c r="G48" s="37">
        <f>IF(D17="","",IF(D17&gt;=4.5,"S",IF(D17&gt;=3.5,"A",IF(D17&gt;=2.5,"B",IF(D17&gt;=1.5,"C","D")))))</f>
        <v/>
      </c>
      <c r="H48" s="37">
        <f>IF(G21="","",IF(G21&gt;=4.5,"S",IF(G21&gt;=3.5,"A",IF(G21&gt;=2.5,"B",IF(G21&gt;=1.5,"C","D")))))</f>
        <v/>
      </c>
      <c r="I48" s="37">
        <f>IF(G22="","",IF(G22&gt;=4.5,"S",IF(G22&gt;=3.5,"A",IF(G22&gt;=2.5,"B",IF(G22&gt;=1.5,"C","D")))))</f>
        <v/>
      </c>
      <c r="J48" s="37">
        <f>IF(G23="","",IF(G23&gt;=4.5,"S",IF(G23&gt;=3.5,"A",IF(G23&gt;=2.5,"B",IF(G23&gt;=1.5,"C","D")))))</f>
        <v/>
      </c>
      <c r="K48" s="37">
        <f>IF(G24="","",IF(G24&gt;=4.5,"S",IF(G24&gt;=3.5,"A",IF(G24&gt;=2.5,"B",IF(G24&gt;=1.5,"C","D")))))</f>
        <v/>
      </c>
      <c r="L48" s="37">
        <f>IF(G25="","",IF(G25&gt;=4.5,"S",IF(G25&gt;=3.5,"A",IF(G25&gt;=2.5,"B",IF(G25&gt;=1.5,"C","D")))))</f>
        <v/>
      </c>
      <c r="M48" s="37">
        <f>IF(G26="","",IF(G26&gt;=4.5,"S",IF(G26&gt;=3.5,"A",IF(G26&gt;=2.5,"B",IF(G26&gt;=1.5,"C","D")))))</f>
        <v/>
      </c>
      <c r="N48" s="37">
        <f>IF(G27="","",IF(G27&gt;=4.5,"S",IF(G27&gt;=3.5,"A",IF(G27&gt;=2.5,"B",IF(G27&gt;=1.5,"C","D")))))</f>
        <v/>
      </c>
      <c r="O48" s="37">
        <f>IF(G28="","",IF(G28&gt;=4.5,"S",IF(G28&gt;=3.5,"A",IF(G28&gt;=2.5,"B",IF(G28&gt;=1.5,"C","D")))))</f>
        <v/>
      </c>
      <c r="P48" s="37">
        <f>IF(G29="","",IF(G29&gt;=4.5,"S",IF(G29&gt;=3.5,"A",IF(G29&gt;=2.5,"B",IF(G29&gt;=1.5,"C","D")))))</f>
        <v/>
      </c>
      <c r="Q48" s="37">
        <f>IF(G30="","",IF(G30&gt;=4.5,"S",IF(G30&gt;=3.5,"A",IF(G30&gt;=2.5,"B",IF(G30&gt;=1.5,"C","D")))))</f>
        <v/>
      </c>
      <c r="R48" s="37">
        <f>IF(G31="","",IF(G31&gt;=4.5,"S",IF(G31&gt;=3.5,"A",IF(G31&gt;=2.5,"B",IF(G31&gt;=1.5,"C","D")))))</f>
        <v/>
      </c>
      <c r="S48" s="37">
        <f>IF(E42="","",IF(E42&gt;=4.5,"S",IF(E42&gt;=3.5,"A",IF(E42&gt;=2.5,"B",IF(E42&gt;=1.5,"C","D")))))</f>
        <v/>
      </c>
      <c r="T48" s="37">
        <f>IF(F43="","",IF(F43&gt;=4.5,"S",IF(F43&gt;=3.5,"A",IF(F43&gt;=2.5,"B",IF(F43&gt;=1.5,"C","D")))))</f>
        <v/>
      </c>
      <c r="U48" s="51" t="inlineStr"/>
    </row>
    <row r="49" ht="26" customHeight="1">
      <c r="A49" s="52" t="inlineStr">
        <is>
          <t>사용법: 위 한 줄 A~U 선택 → Ctrl+C → 마스터 07a/07b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16" t="inlineStr">
        <is>
          <t>강점</t>
        </is>
      </c>
      <c r="B52" s="17" t="inlineStr"/>
    </row>
    <row r="53" ht="40" customHeight="1">
      <c r="A53" s="16" t="inlineStr">
        <is>
          <t>개선</t>
        </is>
      </c>
      <c r="B53" s="17" t="inlineStr"/>
    </row>
    <row r="54" ht="40" customHeight="1">
      <c r="A54" s="16" t="inlineStr">
        <is>
          <t>육성 방향</t>
        </is>
      </c>
      <c r="B54" s="1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3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2026-05-13T04:01:32Z</dcterms:created>
  <dcterms:modified xmlns:dcterms="http://purl.org/dc/terms/" xmlns:xsi="http://www.w3.org/2001/XMLSchema-instance" xsi:type="dcterms:W3CDTF">2026-05-13T04:01:32Z</dcterms:modified>
</cp:coreProperties>
</file>