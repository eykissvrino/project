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프로젝트영업_G6" sheetId="2" state="visible" r:id="rId2"/>
    <sheet xmlns:r="http://schemas.openxmlformats.org/officeDocument/2006/relationships" name="양식_프로젝트영업_G5-M" sheetId="3" state="visible" r:id="rId3"/>
    <sheet xmlns:r="http://schemas.openxmlformats.org/officeDocument/2006/relationships" name="양식_프로젝트영업_G5-S" sheetId="4" state="visible" r:id="rId4"/>
    <sheet xmlns:r="http://schemas.openxmlformats.org/officeDocument/2006/relationships" name="양식_프로젝트영업_G4" sheetId="5" state="visible" r:id="rId5"/>
    <sheet xmlns:r="http://schemas.openxmlformats.org/officeDocument/2006/relationships" name="양식_프로젝트영업_G3" sheetId="6" state="visible" r:id="rId6"/>
    <sheet xmlns:r="http://schemas.openxmlformats.org/officeDocument/2006/relationships" name="양식_프로젝트영업_G2" sheetId="7" state="visible" r:id="rId7"/>
    <sheet xmlns:r="http://schemas.openxmlformats.org/officeDocument/2006/relationships" name="양식_프로젝트영업_G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11"/>
    </font>
    <font>
      <name val="맑은 고딕"/>
      <b val="1"/>
      <color rgb="00FFFFFF"/>
      <sz val="12"/>
    </font>
    <font>
      <name val="맑은 고딕"/>
      <b val="1"/>
      <color rgb="00000000"/>
      <sz val="11"/>
    </font>
    <font>
      <name val="맑은 고딕"/>
      <b val="1"/>
      <color rgb="00000000"/>
      <sz val="10"/>
    </font>
    <font>
      <name val="맑은 고딕"/>
      <b val="1"/>
      <color rgb="00000000"/>
      <sz val="12"/>
    </font>
    <font>
      <name val="맑은 고딕"/>
      <b val="1"/>
      <color rgb="00FFFFFF"/>
      <sz val="10"/>
    </font>
    <font>
      <name val="맑은 고딕"/>
      <color rgb="00000000"/>
      <sz val="9"/>
    </font>
    <font>
      <name val="맑은 고딕"/>
      <b val="1"/>
      <color rgb="00000000"/>
      <sz val="9"/>
    </font>
    <font>
      <name val="맑은 고딕"/>
      <b val="1"/>
      <color rgb="00000000"/>
      <sz val="8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2E74B5"/>
      </patternFill>
    </fill>
    <fill>
      <patternFill patternType="solid">
        <fgColor rgb="00C6E0B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B4C7E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9" fontId="6" fillId="11" borderId="1" applyAlignment="1" pivotButton="0" quotePrefix="0" xfId="0">
      <alignment horizontal="center" vertical="center" wrapText="1"/>
    </xf>
    <xf numFmtId="9" fontId="6" fillId="12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 wrapText="1"/>
    </xf>
    <xf numFmtId="2" fontId="2" fillId="1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9" fontId="2" fillId="3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0B4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2" customHeight="1">
      <c r="A1" s="1" t="inlineStr">
        <is>
          <t>성과평가지 양식 - 프로젝트영업</t>
        </is>
      </c>
    </row>
    <row r="2" ht="22" customHeight="1">
      <c r="A2" s="2" t="inlineStr">
        <is>
          <t>본 파일은 빈 양식입니다. 평가 대상자별로 시트를 복사한 뒤 정보·등급을 입력하여 사용합니다.</t>
        </is>
      </c>
    </row>
    <row r="4" ht="24" customHeight="1">
      <c r="A4" s="3" t="inlineStr">
        <is>
          <t>▶ 사용 방법</t>
        </is>
      </c>
    </row>
    <row r="5" ht="24" customHeight="1">
      <c r="A5" s="4" t="inlineStr">
        <is>
          <t>1) 평가 대상자의 역할등급에 맞는 양식 시트를 우클릭 → [시트 이동/복사 → 복사본 만들기]</t>
        </is>
      </c>
    </row>
    <row r="6" ht="24" customHeight="1">
      <c r="A6" s="4" t="inlineStr">
        <is>
          <t>2) 복사한 시트의 이름을 [평가_사번_성명]으로 변경 (예: 평가_BSS-001_홍길동)</t>
        </is>
      </c>
    </row>
    <row r="7" ht="24" customHeight="1">
      <c r="A7" s="4" t="inlineStr">
        <is>
          <t>3) 시트 상단 평가 대상자 정보 영역(주황색)에 사번·성명 등 입력</t>
        </is>
      </c>
    </row>
    <row r="8" ht="24" customHeight="1">
      <c r="A8" s="4" t="inlineStr">
        <is>
          <t>4) 1차/2차 평가자 가중치(B3·D3)는 HR이 결정한 값과 동일하게 입력 (기본 50:50)</t>
        </is>
      </c>
    </row>
    <row r="9" ht="24" customHeight="1">
      <c r="A9" s="4" t="inlineStr">
        <is>
          <t>5) 1차 평가자와 2차 평가자가 각자 등급(S/A/B/C/D)을 노란셀에 입력</t>
        </is>
      </c>
    </row>
    <row r="10" ht="24" customHeight="1">
      <c r="A10" s="4" t="inlineStr">
        <is>
          <t>6) 직무역량 영역에서 평가 대상자의 메인 책무는 D열을 O, 비메인은 X로 표시</t>
        </is>
      </c>
    </row>
    <row r="11" ht="24" customHeight="1">
      <c r="A11" s="4" t="inlineStr">
        <is>
          <t>7) 하단 [복사용 입력 행]을 통째로 복사하여 HR이 제공하는 통합관리시트에 붙여넣기</t>
        </is>
      </c>
    </row>
    <row r="13" ht="24" customHeight="1">
      <c r="A13" s="3" t="inlineStr">
        <is>
          <t>▶ 평가 등급 체계</t>
        </is>
      </c>
    </row>
    <row r="14" ht="24" customHeight="1">
      <c r="A14" s="5" t="inlineStr">
        <is>
          <t>S (탁월)</t>
        </is>
      </c>
      <c r="B14" s="6" t="inlineStr">
        <is>
          <t>기대 현저히 초과. 모범 사례</t>
        </is>
      </c>
    </row>
    <row r="15" ht="24" customHeight="1">
      <c r="A15" s="7" t="inlineStr">
        <is>
          <t>A (우수)</t>
        </is>
      </c>
      <c r="B15" s="8" t="inlineStr">
        <is>
          <t>기대 상회. 자기주도적 성과</t>
        </is>
      </c>
    </row>
    <row r="16" ht="24" customHeight="1">
      <c r="A16" s="9" t="inlineStr">
        <is>
          <t>B (양호)</t>
        </is>
      </c>
      <c r="B16" s="10" t="inlineStr">
        <is>
          <t>기대 수준 부합. 책임과 과제를 기한 내 완수</t>
        </is>
      </c>
    </row>
    <row r="17" ht="24" customHeight="1">
      <c r="A17" s="11" t="inlineStr">
        <is>
          <t>C (미흡)</t>
        </is>
      </c>
      <c r="B17" s="12" t="inlineStr">
        <is>
          <t>부분적 미흡. 추가 지도 필요</t>
        </is>
      </c>
    </row>
    <row r="18" ht="24" customHeight="1">
      <c r="A18" s="13" t="inlineStr">
        <is>
          <t>D (부족)</t>
        </is>
      </c>
      <c r="B18" s="14" t="inlineStr">
        <is>
          <t>전반적 미흡. 개선 계획 필요</t>
        </is>
      </c>
    </row>
    <row r="20" ht="24" customHeight="1">
      <c r="A20" s="3" t="inlineStr">
        <is>
          <t>▶ 본 파일에 포함된 양식</t>
        </is>
      </c>
    </row>
    <row r="21">
      <c r="A21" s="15" t="inlineStr">
        <is>
          <t>역할등급</t>
        </is>
      </c>
      <c r="B21" s="15" t="inlineStr">
        <is>
          <t>역할명</t>
        </is>
      </c>
      <c r="C21" s="15" t="inlineStr">
        <is>
          <t>시트명</t>
        </is>
      </c>
    </row>
    <row r="22" ht="22" customHeight="1">
      <c r="A22" s="16" t="inlineStr">
        <is>
          <t>G6</t>
        </is>
      </c>
      <c r="B22" s="17" t="inlineStr">
        <is>
          <t>사업·조직 관리</t>
        </is>
      </c>
      <c r="C22" s="4" t="inlineStr">
        <is>
          <t>양식_프로젝트영업_G6</t>
        </is>
      </c>
    </row>
    <row r="23" ht="22" customHeight="1">
      <c r="A23" s="16" t="inlineStr">
        <is>
          <t>G5-M</t>
        </is>
      </c>
      <c r="B23" s="17" t="inlineStr">
        <is>
          <t>직무 관리(부서장)</t>
        </is>
      </c>
      <c r="C23" s="4" t="inlineStr">
        <is>
          <t>양식_프로젝트영업_G5-M</t>
        </is>
      </c>
    </row>
    <row r="24" ht="22" customHeight="1">
      <c r="A24" s="16" t="inlineStr">
        <is>
          <t>G5-S</t>
        </is>
      </c>
      <c r="B24" s="17" t="inlineStr">
        <is>
          <t>실무 스페셜리스트</t>
        </is>
      </c>
      <c r="C24" s="4" t="inlineStr">
        <is>
          <t>양식_프로젝트영업_G5-S</t>
        </is>
      </c>
    </row>
    <row r="25" ht="22" customHeight="1">
      <c r="A25" s="16" t="inlineStr">
        <is>
          <t>G4</t>
        </is>
      </c>
      <c r="B25" s="17" t="inlineStr">
        <is>
          <t>실무 책임(PM)</t>
        </is>
      </c>
      <c r="C25" s="4" t="inlineStr">
        <is>
          <t>양식_프로젝트영업_G4</t>
        </is>
      </c>
    </row>
    <row r="26" ht="22" customHeight="1">
      <c r="A26" s="16" t="inlineStr">
        <is>
          <t>G3</t>
        </is>
      </c>
      <c r="B26" s="17" t="inlineStr">
        <is>
          <t>핵심 실무</t>
        </is>
      </c>
      <c r="C26" s="4" t="inlineStr">
        <is>
          <t>양식_프로젝트영업_G3</t>
        </is>
      </c>
    </row>
    <row r="27" ht="22" customHeight="1">
      <c r="A27" s="16" t="inlineStr">
        <is>
          <t>G2</t>
        </is>
      </c>
      <c r="B27" s="17" t="inlineStr">
        <is>
          <t>실무</t>
        </is>
      </c>
      <c r="C27" s="4" t="inlineStr">
        <is>
          <t>양식_프로젝트영업_G2</t>
        </is>
      </c>
    </row>
    <row r="28" ht="22" customHeight="1">
      <c r="A28" s="16" t="inlineStr">
        <is>
          <t>G1</t>
        </is>
      </c>
      <c r="B28" s="17" t="inlineStr">
        <is>
          <t>실무 보조</t>
        </is>
      </c>
      <c r="C28" s="4" t="inlineStr">
        <is>
          <t>양식_프로젝트영업_G1</t>
        </is>
      </c>
    </row>
  </sheetData>
  <mergeCells count="25">
    <mergeCell ref="A9:H9"/>
    <mergeCell ref="C25:H25"/>
    <mergeCell ref="C22:H22"/>
    <mergeCell ref="A11:H11"/>
    <mergeCell ref="B15:H15"/>
    <mergeCell ref="A1:H1"/>
    <mergeCell ref="C21:H21"/>
    <mergeCell ref="A6:H6"/>
    <mergeCell ref="A7:H7"/>
    <mergeCell ref="C27:H27"/>
    <mergeCell ref="C23:H23"/>
    <mergeCell ref="B16:H16"/>
    <mergeCell ref="B18:H18"/>
    <mergeCell ref="C28:H28"/>
    <mergeCell ref="A2:H2"/>
    <mergeCell ref="A5:H5"/>
    <mergeCell ref="A8:H8"/>
    <mergeCell ref="A4:H4"/>
    <mergeCell ref="B14:H14"/>
    <mergeCell ref="C24:H24"/>
    <mergeCell ref="B17:H17"/>
    <mergeCell ref="A20:H20"/>
    <mergeCell ref="A10:H10"/>
    <mergeCell ref="A13:H13"/>
    <mergeCell ref="C26:H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G6 (사업·조직 관리)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G6</t>
        </is>
      </c>
      <c r="E6" s="18" t="inlineStr">
        <is>
          <t>역할명</t>
        </is>
      </c>
      <c r="F6" s="23" t="inlineStr">
        <is>
          <t>사업·조직 관리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회사의 비전·중장기 전략을 총괄하며, 전사 의사결정·대외 협력·리스크 관리를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G5-M (직무 관리(부서장))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G5-M</t>
        </is>
      </c>
      <c r="E6" s="18" t="inlineStr">
        <is>
          <t>역할명</t>
        </is>
      </c>
      <c r="F6" s="23" t="inlineStr">
        <is>
          <t>직무 관리(부서장)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부서 전략·목표 수립, 자원 배분·예산 관리·성과 관리, 부서 의사결정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G5-S (실무 스페셜리스트)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G5-S</t>
        </is>
      </c>
      <c r="E6" s="18" t="inlineStr">
        <is>
          <t>역할명</t>
        </is>
      </c>
      <c r="F6" s="23" t="inlineStr">
        <is>
          <t>실무 스페셜리스트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직무 최고 수준의 전문성과 고난이도 프로젝트를 수행하며 기술 자산화·전파 주도.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G4 (실무 책임(PM))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G4</t>
        </is>
      </c>
      <c r="E6" s="18" t="inlineStr">
        <is>
          <t>역할명</t>
        </is>
      </c>
      <c r="F6" s="23" t="inlineStr">
        <is>
          <t>실무 책임(PM)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단위 프로젝트의 전략 수립·추진을 주도하며 예산·일정·품질 목표 달성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G3 (핵심 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G3</t>
        </is>
      </c>
      <c r="E6" s="18" t="inlineStr">
        <is>
          <t>역할명</t>
        </is>
      </c>
      <c r="F6" s="23" t="inlineStr">
        <is>
          <t>핵심 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전문 지식과 기술로 핵심 과업을 기획·수행하며 산출물 품질·일정 준수 책임.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G2 (실무)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G2</t>
        </is>
      </c>
      <c r="E6" s="18" t="inlineStr">
        <is>
          <t>역할명</t>
        </is>
      </c>
      <c r="F6" s="23" t="inlineStr">
        <is>
          <t>실무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프로젝트 계획에 따라 독립적·자율적으로 세부 과업을 수행하고 산출물을 도출.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AD47"/>
    <outlinePr summaryBelow="1" summaryRight="1"/>
    <pageSetUpPr/>
  </sheetPr>
  <dimension ref="A1:U55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26" customWidth="1" min="3" max="3"/>
    <col width="8" customWidth="1" min="4" max="4"/>
    <col width="11" customWidth="1" min="5" max="5"/>
    <col width="11" customWidth="1" min="6" max="6"/>
    <col width="14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</cols>
  <sheetData>
    <row r="1" ht="30" customHeight="1">
      <c r="A1" s="1" t="inlineStr">
        <is>
          <t>성과평가지 양식 - 프로젝트영업 / G1 (실무 보조)</t>
        </is>
      </c>
    </row>
    <row r="2" ht="22" customHeight="1">
      <c r="A2" s="2" t="inlineStr">
        <is>
          <t>본 시트를 복사하여 평가 대상자별로 작성하세요. 주황색 셀에 직원 정보 입력, 노란색 셀에 등급 입력.</t>
        </is>
      </c>
    </row>
    <row r="3" ht="24" customHeight="1">
      <c r="A3" s="18" t="inlineStr">
        <is>
          <t>1차 W</t>
        </is>
      </c>
      <c r="B3" s="19" t="n">
        <v>0.5</v>
      </c>
      <c r="C3" s="18" t="inlineStr">
        <is>
          <t>2차 W</t>
        </is>
      </c>
      <c r="D3" s="20">
        <f>1-B3</f>
        <v/>
      </c>
      <c r="E3" s="21" t="inlineStr">
        <is>
          <t>통합관리시트 02_의사결정 ⑥ 가중치와 동일하게 입력 (기본 50:50)</t>
        </is>
      </c>
    </row>
    <row r="4" ht="24" customHeight="1">
      <c r="A4" s="3" t="inlineStr">
        <is>
          <t>▶ 평가 대상자 정보 (주황셀에 입력)</t>
        </is>
      </c>
    </row>
    <row r="5" ht="22" customHeight="1">
      <c r="A5" s="18" t="inlineStr">
        <is>
          <t>사번</t>
        </is>
      </c>
      <c r="B5" s="22" t="inlineStr"/>
      <c r="C5" s="18" t="inlineStr">
        <is>
          <t>성명</t>
        </is>
      </c>
      <c r="D5" s="22" t="inlineStr"/>
      <c r="E5" s="18" t="inlineStr">
        <is>
          <t>직군</t>
        </is>
      </c>
      <c r="F5" s="22" t="inlineStr"/>
      <c r="G5" s="18" t="inlineStr">
        <is>
          <t>직무</t>
        </is>
      </c>
      <c r="H5" s="23" t="inlineStr">
        <is>
          <t>프로젝트영업</t>
        </is>
      </c>
      <c r="I5" s="18" t="inlineStr">
        <is>
          <t>부서</t>
        </is>
      </c>
      <c r="J5" s="22" t="inlineStr"/>
    </row>
    <row r="6" ht="22" customHeight="1">
      <c r="A6" s="18" t="inlineStr">
        <is>
          <t>기존직급</t>
        </is>
      </c>
      <c r="B6" s="22" t="inlineStr"/>
      <c r="C6" s="18" t="inlineStr">
        <is>
          <t>역할등급</t>
        </is>
      </c>
      <c r="D6" s="23" t="inlineStr">
        <is>
          <t>G1</t>
        </is>
      </c>
      <c r="E6" s="18" t="inlineStr">
        <is>
          <t>역할명</t>
        </is>
      </c>
      <c r="F6" s="23" t="inlineStr">
        <is>
          <t>실무 보조</t>
        </is>
      </c>
      <c r="G6" s="18" t="inlineStr">
        <is>
          <t>입사일</t>
        </is>
      </c>
      <c r="H6" s="22" t="inlineStr"/>
      <c r="I6" s="18" t="inlineStr">
        <is>
          <t>연봉</t>
        </is>
      </c>
      <c r="J6" s="22" t="inlineStr"/>
    </row>
    <row r="8" ht="26" customHeight="1">
      <c r="A8" s="24" t="inlineStr">
        <is>
          <t>▶ ① 역할평가 - 5개 BARS 항목</t>
        </is>
      </c>
    </row>
    <row r="9" ht="38" customHeight="1">
      <c r="A9" s="25" t="inlineStr">
        <is>
          <t>역할 정의</t>
        </is>
      </c>
      <c r="B9" s="26" t="inlineStr">
        <is>
          <t>실무 이해와 기술·지식을 습득하며 프로젝트 진행 과정의 기본 과업을 보조.</t>
        </is>
      </c>
    </row>
    <row r="10" ht="28" customHeight="1">
      <c r="A10" s="27" t="inlineStr">
        <is>
          <t>No.</t>
        </is>
      </c>
      <c r="B10" s="27" t="inlineStr">
        <is>
          <t>평가항목</t>
        </is>
      </c>
      <c r="C10" s="27" t="inlineStr">
        <is>
          <t>평가 기준</t>
        </is>
      </c>
      <c r="D10" s="27" t="inlineStr">
        <is>
          <t>1차</t>
        </is>
      </c>
      <c r="E10" s="27" t="inlineStr">
        <is>
          <t>2차</t>
        </is>
      </c>
      <c r="F10" s="27" t="inlineStr">
        <is>
          <t>가중평균(점수)</t>
        </is>
      </c>
      <c r="G10" s="27" t="inlineStr">
        <is>
          <t>평균(등급)</t>
        </is>
      </c>
    </row>
    <row r="11" ht="38" customHeight="1">
      <c r="A11" s="25" t="inlineStr">
        <is>
          <t>R-1</t>
        </is>
      </c>
      <c r="B11" s="17" t="inlineStr">
        <is>
          <t>책임범위 이행도</t>
        </is>
      </c>
      <c r="C11" s="28" t="inlineStr">
        <is>
          <t>역할등급에 부합하는 책임 범위 내 업무 수행</t>
        </is>
      </c>
      <c r="D11" s="29" t="inlineStr"/>
      <c r="E11" s="29" t="inlineStr"/>
      <c r="F11" s="30">
        <f>IFERROR(IF(AND(D11&lt;&gt;"",E11&lt;&gt;""),$B$3*IF(D11="S",5,IF(D11="A",4,IF(D11="B",3,IF(D11="C",2,IF(D11="D",1,0)))))+$D$3*IF(E11="S",5,IF(E11="A",4,IF(E11="B",3,IF(E11="C",2,IF(E11="D",1,0))))),IF(D11&lt;&gt;"",IF(D11="S",5,IF(D11="A",4,IF(D11="B",3,IF(D11="C",2,IF(D11="D",1,0))))),IF(E11&lt;&gt;"",IF(E11="S",5,IF(E11="A",4,IF(E11="B",3,IF(E11="C",2,IF(E11="D",1,0))))),""))),"")</f>
        <v/>
      </c>
      <c r="G11" s="31">
        <f>IF(F11="","",IF(F11&gt;=4.5,"S",IF(F11&gt;=3.5,"A",IF(F11&gt;=2.5,"B",IF(F11&gt;=1.5,"C","D")))))</f>
        <v/>
      </c>
    </row>
    <row r="12" ht="38" customHeight="1">
      <c r="A12" s="25" t="inlineStr">
        <is>
          <t>R-2</t>
        </is>
      </c>
      <c r="B12" s="17" t="inlineStr">
        <is>
          <t>의사결정 적절성</t>
        </is>
      </c>
      <c r="C12" s="28" t="inlineStr">
        <is>
          <t>권한 수준 내 시의적절·합리적 의사결정</t>
        </is>
      </c>
      <c r="D12" s="29" t="inlineStr"/>
      <c r="E12" s="29" t="inlineStr"/>
      <c r="F12" s="30">
        <f>IFERROR(IF(AND(D12&lt;&gt;"",E12&lt;&gt;""),$B$3*IF(D12="S",5,IF(D12="A",4,IF(D12="B",3,IF(D12="C",2,IF(D12="D",1,0)))))+$D$3*IF(E12="S",5,IF(E12="A",4,IF(E12="B",3,IF(E12="C",2,IF(E12="D",1,0))))),IF(D12&lt;&gt;"",IF(D12="S",5,IF(D12="A",4,IF(D12="B",3,IF(D12="C",2,IF(D12="D",1,0))))),IF(E12&lt;&gt;"",IF(E12="S",5,IF(E12="A",4,IF(E12="B",3,IF(E12="C",2,IF(E12="D",1,0))))),""))),"")</f>
        <v/>
      </c>
      <c r="G12" s="31">
        <f>IF(F12="","",IF(F12&gt;=4.5,"S",IF(F12&gt;=3.5,"A",IF(F12&gt;=2.5,"B",IF(F12&gt;=1.5,"C","D")))))</f>
        <v/>
      </c>
    </row>
    <row r="13" ht="38" customHeight="1">
      <c r="A13" s="25" t="inlineStr">
        <is>
          <t>R-3</t>
        </is>
      </c>
      <c r="B13" s="17" t="inlineStr">
        <is>
          <t>성과 기여도</t>
        </is>
      </c>
      <c r="C13" s="28" t="inlineStr">
        <is>
          <t>조직·프로젝트 목표 달성에 정량적 기여</t>
        </is>
      </c>
      <c r="D13" s="29" t="inlineStr"/>
      <c r="E13" s="29" t="inlineStr"/>
      <c r="F13" s="30">
        <f>IFERROR(IF(AND(D13&lt;&gt;"",E13&lt;&gt;""),$B$3*IF(D13="S",5,IF(D13="A",4,IF(D13="B",3,IF(D13="C",2,IF(D13="D",1,0)))))+$D$3*IF(E13="S",5,IF(E13="A",4,IF(E13="B",3,IF(E13="C",2,IF(E13="D",1,0))))),IF(D13&lt;&gt;"",IF(D13="S",5,IF(D13="A",4,IF(D13="B",3,IF(D13="C",2,IF(D13="D",1,0))))),IF(E13&lt;&gt;"",IF(E13="S",5,IF(E13="A",4,IF(E13="B",3,IF(E13="C",2,IF(E13="D",1,0))))),""))),"")</f>
        <v/>
      </c>
      <c r="G13" s="31">
        <f>IF(F13="","",IF(F13&gt;=4.5,"S",IF(F13&gt;=3.5,"A",IF(F13&gt;=2.5,"B",IF(F13&gt;=1.5,"C","D")))))</f>
        <v/>
      </c>
    </row>
    <row r="14" ht="38" customHeight="1">
      <c r="A14" s="25" t="inlineStr">
        <is>
          <t>R-4</t>
        </is>
      </c>
      <c r="B14" s="17" t="inlineStr">
        <is>
          <t>조직 후배 코칭</t>
        </is>
      </c>
      <c r="C14" s="28" t="inlineStr">
        <is>
          <t>상·하위 역할과 효과적 협업 및 후배 코칭</t>
        </is>
      </c>
      <c r="D14" s="29" t="inlineStr"/>
      <c r="E14" s="29" t="inlineStr"/>
      <c r="F14" s="30">
        <f>IFERROR(IF(AND(D14&lt;&gt;"",E14&lt;&gt;""),$B$3*IF(D14="S",5,IF(D14="A",4,IF(D14="B",3,IF(D14="C",2,IF(D14="D",1,0)))))+$D$3*IF(E14="S",5,IF(E14="A",4,IF(E14="B",3,IF(E14="C",2,IF(E14="D",1,0))))),IF(D14&lt;&gt;"",IF(D14="S",5,IF(D14="A",4,IF(D14="B",3,IF(D14="C",2,IF(D14="D",1,0))))),IF(E14&lt;&gt;"",IF(E14="S",5,IF(E14="A",4,IF(E14="B",3,IF(E14="C",2,IF(E14="D",1,0))))),""))),"")</f>
        <v/>
      </c>
      <c r="G14" s="31">
        <f>IF(F14="","",IF(F14&gt;=4.5,"S",IF(F14&gt;=3.5,"A",IF(F14&gt;=2.5,"B",IF(F14&gt;=1.5,"C","D")))))</f>
        <v/>
      </c>
    </row>
    <row r="15" ht="38" customHeight="1">
      <c r="A15" s="25" t="inlineStr">
        <is>
          <t>R-5</t>
        </is>
      </c>
      <c r="B15" s="17" t="inlineStr">
        <is>
          <t>산출물 완성도</t>
        </is>
      </c>
      <c r="C15" s="28" t="inlineStr">
        <is>
          <t>산출물 품질과 기한 준수</t>
        </is>
      </c>
      <c r="D15" s="29" t="inlineStr"/>
      <c r="E15" s="29" t="inlineStr"/>
      <c r="F15" s="30">
        <f>IFERROR(IF(AND(D15&lt;&gt;"",E15&lt;&gt;""),$B$3*IF(D15="S",5,IF(D15="A",4,IF(D15="B",3,IF(D15="C",2,IF(D15="D",1,0)))))+$D$3*IF(E15="S",5,IF(E15="A",4,IF(E15="B",3,IF(E15="C",2,IF(E15="D",1,0))))),IF(D15&lt;&gt;"",IF(D15="S",5,IF(D15="A",4,IF(D15="B",3,IF(D15="C",2,IF(D15="D",1,0))))),IF(E15&lt;&gt;"",IF(E15="S",5,IF(E15="A",4,IF(E15="B",3,IF(E15="C",2,IF(E15="D",1,0))))),""))),"")</f>
        <v/>
      </c>
      <c r="G15" s="31">
        <f>IF(F15="","",IF(F15&gt;=4.5,"S",IF(F15&gt;=3.5,"A",IF(F15&gt;=2.5,"B",IF(F15&gt;=1.5,"C","D")))))</f>
        <v/>
      </c>
    </row>
    <row r="16" ht="24" customHeight="1">
      <c r="A16" s="32" t="inlineStr">
        <is>
          <t>1차 평가자 종합</t>
        </is>
      </c>
      <c r="D16" s="33">
        <f>IFERROR((IF(D11="S",5,IF(D11="A",4,IF(D11="B",3,IF(D11="C",2,IF(D11="D",1,0)))))+IF(D12="S",5,IF(D12="A",4,IF(D12="B",3,IF(D12="C",2,IF(D12="D",1,0)))))+IF(D13="S",5,IF(D13="A",4,IF(D13="B",3,IF(D13="C",2,IF(D13="D",1,0)))))+IF(D14="S",5,IF(D14="A",4,IF(D14="B",3,IF(D14="C",2,IF(D14="D",1,0)))))+IF(D15="S",5,IF(D15="A",4,IF(D15="B",3,IF(D15="C",2,IF(D15="D",1,0))))))/5,"")</f>
        <v/>
      </c>
      <c r="E16" s="34" t="inlineStr">
        <is>
          <t>→ 등급</t>
        </is>
      </c>
      <c r="G16" s="35">
        <f>IF(D16="","",IF(D16&gt;=4.5,"S",IF(D16&gt;=3.5,"A",IF(D16&gt;=2.5,"B",IF(D16&gt;=1.5,"C","D")))))</f>
        <v/>
      </c>
    </row>
    <row r="17" ht="24" customHeight="1">
      <c r="A17" s="32" t="inlineStr">
        <is>
          <t>2차 평가자 종합</t>
        </is>
      </c>
      <c r="D17" s="33">
        <f>IFERROR((IF(E11="S",5,IF(E11="A",4,IF(E11="B",3,IF(E11="C",2,IF(E11="D",1,0)))))+IF(E12="S",5,IF(E12="A",4,IF(E12="B",3,IF(E12="C",2,IF(E12="D",1,0)))))+IF(E13="S",5,IF(E13="A",4,IF(E13="B",3,IF(E13="C",2,IF(E13="D",1,0)))))+IF(E14="S",5,IF(E14="A",4,IF(E14="B",3,IF(E14="C",2,IF(E14="D",1,0)))))+IF(E15="S",5,IF(E15="A",4,IF(E15="B",3,IF(E15="C",2,IF(E15="D",1,0))))))/5,"")</f>
        <v/>
      </c>
      <c r="E17" s="34" t="inlineStr">
        <is>
          <t>→ 등급</t>
        </is>
      </c>
      <c r="G17" s="35">
        <f>IF(D17="","",IF(D17&gt;=4.5,"S",IF(D17&gt;=3.5,"A",IF(D17&gt;=2.5,"B",IF(D17&gt;=1.5,"C","D")))))</f>
        <v/>
      </c>
    </row>
    <row r="19" ht="26" customHeight="1">
      <c r="A19" s="36" t="inlineStr">
        <is>
          <t>▶ ② 공통역량평가 - 11개 (1·2차 가중평균)</t>
        </is>
      </c>
    </row>
    <row r="20" ht="28" customHeight="1">
      <c r="A20" s="27" t="inlineStr">
        <is>
          <t>No.</t>
        </is>
      </c>
      <c r="B20" s="27" t="inlineStr">
        <is>
          <t>역량군</t>
        </is>
      </c>
      <c r="C20" s="27" t="inlineStr">
        <is>
          <t>핵심 역량</t>
        </is>
      </c>
      <c r="D20" s="27" t="inlineStr">
        <is>
          <t>가중</t>
        </is>
      </c>
      <c r="E20" s="27" t="inlineStr">
        <is>
          <t>1차</t>
        </is>
      </c>
      <c r="F20" s="27" t="inlineStr">
        <is>
          <t>2차</t>
        </is>
      </c>
      <c r="G20" s="27" t="inlineStr">
        <is>
          <t>가중평균(점수)</t>
        </is>
      </c>
      <c r="H20" s="27" t="inlineStr">
        <is>
          <t>평균(등급)</t>
        </is>
      </c>
    </row>
    <row r="21" ht="24" customHeight="1">
      <c r="A21" s="2" t="inlineStr">
        <is>
          <t>C-1</t>
        </is>
      </c>
      <c r="B21" s="2" t="inlineStr">
        <is>
          <t>업무</t>
        </is>
      </c>
      <c r="C21" s="17" t="inlineStr">
        <is>
          <t>직무 전문성</t>
        </is>
      </c>
      <c r="D21" s="37" t="n">
        <v>0.15</v>
      </c>
      <c r="E21" s="29" t="inlineStr"/>
      <c r="F21" s="29" t="inlineStr"/>
      <c r="G21" s="30">
        <f>IFERROR(IF(AND(E21&lt;&gt;"",F21&lt;&gt;""),$B$3*IF(E21="S",5,IF(E21="A",4,IF(E21="B",3,IF(E21="C",2,IF(E21="D",1,0)))))+$D$3*IF(F21="S",5,IF(F21="A",4,IF(F21="B",3,IF(F21="C",2,IF(F21="D",1,0))))),IF(E21&lt;&gt;"",IF(E21="S",5,IF(E21="A",4,IF(E21="B",3,IF(E21="C",2,IF(E21="D",1,0))))),IF(F21&lt;&gt;"",IF(F21="S",5,IF(F21="A",4,IF(F21="B",3,IF(F21="C",2,IF(F21="D",1,0))))),""))),"")</f>
        <v/>
      </c>
      <c r="H21" s="35">
        <f>IF(G21="","",IF(G21&gt;=4.5,"S",IF(G21&gt;=3.5,"A",IF(G21&gt;=2.5,"B",IF(G21&gt;=1.5,"C","D")))))</f>
        <v/>
      </c>
    </row>
    <row r="22" ht="24" customHeight="1">
      <c r="A22" s="2" t="inlineStr">
        <is>
          <t>C-2</t>
        </is>
      </c>
      <c r="B22" s="2" t="inlineStr">
        <is>
          <t>업무</t>
        </is>
      </c>
      <c r="C22" s="17" t="inlineStr">
        <is>
          <t>분석력</t>
        </is>
      </c>
      <c r="D22" s="37" t="n">
        <v>0.1</v>
      </c>
      <c r="E22" s="29" t="inlineStr"/>
      <c r="F22" s="29" t="inlineStr"/>
      <c r="G22" s="30">
        <f>IFERROR(IF(AND(E22&lt;&gt;"",F22&lt;&gt;""),$B$3*IF(E22="S",5,IF(E22="A",4,IF(E22="B",3,IF(E22="C",2,IF(E22="D",1,0)))))+$D$3*IF(F22="S",5,IF(F22="A",4,IF(F22="B",3,IF(F22="C",2,IF(F22="D",1,0))))),IF(E22&lt;&gt;"",IF(E22="S",5,IF(E22="A",4,IF(E22="B",3,IF(E22="C",2,IF(E22="D",1,0))))),IF(F22&lt;&gt;"",IF(F22="S",5,IF(F22="A",4,IF(F22="B",3,IF(F22="C",2,IF(F22="D",1,0))))),""))),"")</f>
        <v/>
      </c>
      <c r="H22" s="35">
        <f>IF(G22="","",IF(G22&gt;=4.5,"S",IF(G22&gt;=3.5,"A",IF(G22&gt;=2.5,"B",IF(G22&gt;=1.5,"C","D")))))</f>
        <v/>
      </c>
    </row>
    <row r="23" ht="24" customHeight="1">
      <c r="A23" s="2" t="inlineStr">
        <is>
          <t>C-3</t>
        </is>
      </c>
      <c r="B23" s="2" t="inlineStr">
        <is>
          <t>업무</t>
        </is>
      </c>
      <c r="C23" s="17" t="inlineStr">
        <is>
          <t>기획/실행력</t>
        </is>
      </c>
      <c r="D23" s="37" t="n">
        <v>0.1</v>
      </c>
      <c r="E23" s="29" t="inlineStr"/>
      <c r="F23" s="29" t="inlineStr"/>
      <c r="G23" s="30">
        <f>IFERROR(IF(AND(E23&lt;&gt;"",F23&lt;&gt;""),$B$3*IF(E23="S",5,IF(E23="A",4,IF(E23="B",3,IF(E23="C",2,IF(E23="D",1,0)))))+$D$3*IF(F23="S",5,IF(F23="A",4,IF(F23="B",3,IF(F23="C",2,IF(F23="D",1,0))))),IF(E23&lt;&gt;"",IF(E23="S",5,IF(E23="A",4,IF(E23="B",3,IF(E23="C",2,IF(E23="D",1,0))))),IF(F23&lt;&gt;"",IF(F23="S",5,IF(F23="A",4,IF(F23="B",3,IF(F23="C",2,IF(F23="D",1,0))))),""))),"")</f>
        <v/>
      </c>
      <c r="H23" s="35">
        <f>IF(G23="","",IF(G23&gt;=4.5,"S",IF(G23&gt;=3.5,"A",IF(G23&gt;=2.5,"B",IF(G23&gt;=1.5,"C","D")))))</f>
        <v/>
      </c>
    </row>
    <row r="24" ht="24" customHeight="1">
      <c r="A24" s="2" t="inlineStr">
        <is>
          <t>C-4</t>
        </is>
      </c>
      <c r="B24" s="2" t="inlineStr">
        <is>
          <t>조직</t>
        </is>
      </c>
      <c r="C24" s="17" t="inlineStr">
        <is>
          <t>자원·시간 관리</t>
        </is>
      </c>
      <c r="D24" s="37" t="n">
        <v>0.1</v>
      </c>
      <c r="E24" s="29" t="inlineStr"/>
      <c r="F24" s="29" t="inlineStr"/>
      <c r="G24" s="30">
        <f>IFERROR(IF(AND(E24&lt;&gt;"",F24&lt;&gt;""),$B$3*IF(E24="S",5,IF(E24="A",4,IF(E24="B",3,IF(E24="C",2,IF(E24="D",1,0)))))+$D$3*IF(F24="S",5,IF(F24="A",4,IF(F24="B",3,IF(F24="C",2,IF(F24="D",1,0))))),IF(E24&lt;&gt;"",IF(E24="S",5,IF(E24="A",4,IF(E24="B",3,IF(E24="C",2,IF(E24="D",1,0))))),IF(F24&lt;&gt;"",IF(F24="S",5,IF(F24="A",4,IF(F24="B",3,IF(F24="C",2,IF(F24="D",1,0))))),""))),"")</f>
        <v/>
      </c>
      <c r="H24" s="35">
        <f>IF(G24="","",IF(G24&gt;=4.5,"S",IF(G24&gt;=3.5,"A",IF(G24&gt;=2.5,"B",IF(G24&gt;=1.5,"C","D")))))</f>
        <v/>
      </c>
    </row>
    <row r="25" ht="24" customHeight="1">
      <c r="A25" s="2" t="inlineStr">
        <is>
          <t>C-5</t>
        </is>
      </c>
      <c r="B25" s="2" t="inlineStr">
        <is>
          <t>조직</t>
        </is>
      </c>
      <c r="C25" s="17" t="inlineStr">
        <is>
          <t>협업 능력</t>
        </is>
      </c>
      <c r="D25" s="37" t="n">
        <v>0.1</v>
      </c>
      <c r="E25" s="29" t="inlineStr"/>
      <c r="F25" s="29" t="inlineStr"/>
      <c r="G25" s="30">
        <f>IFERROR(IF(AND(E25&lt;&gt;"",F25&lt;&gt;""),$B$3*IF(E25="S",5,IF(E25="A",4,IF(E25="B",3,IF(E25="C",2,IF(E25="D",1,0)))))+$D$3*IF(F25="S",5,IF(F25="A",4,IF(F25="B",3,IF(F25="C",2,IF(F25="D",1,0))))),IF(E25&lt;&gt;"",IF(E25="S",5,IF(E25="A",4,IF(E25="B",3,IF(E25="C",2,IF(E25="D",1,0))))),IF(F25&lt;&gt;"",IF(F25="S",5,IF(F25="A",4,IF(F25="B",3,IF(F25="C",2,IF(F25="D",1,0))))),""))),"")</f>
        <v/>
      </c>
      <c r="H25" s="35">
        <f>IF(G25="","",IF(G25&gt;=4.5,"S",IF(G25&gt;=3.5,"A",IF(G25&gt;=2.5,"B",IF(G25&gt;=1.5,"C","D")))))</f>
        <v/>
      </c>
    </row>
    <row r="26" ht="24" customHeight="1">
      <c r="A26" s="2" t="inlineStr">
        <is>
          <t>C-6</t>
        </is>
      </c>
      <c r="B26" s="2" t="inlineStr">
        <is>
          <t>조직</t>
        </is>
      </c>
      <c r="C26" s="17" t="inlineStr">
        <is>
          <t>소통 능력</t>
        </is>
      </c>
      <c r="D26" s="37" t="n">
        <v>0.1</v>
      </c>
      <c r="E26" s="29" t="inlineStr"/>
      <c r="F26" s="29" t="inlineStr"/>
      <c r="G26" s="30">
        <f>IFERROR(IF(AND(E26&lt;&gt;"",F26&lt;&gt;""),$B$3*IF(E26="S",5,IF(E26="A",4,IF(E26="B",3,IF(E26="C",2,IF(E26="D",1,0)))))+$D$3*IF(F26="S",5,IF(F26="A",4,IF(F26="B",3,IF(F26="C",2,IF(F26="D",1,0))))),IF(E26&lt;&gt;"",IF(E26="S",5,IF(E26="A",4,IF(E26="B",3,IF(E26="C",2,IF(E26="D",1,0))))),IF(F26&lt;&gt;"",IF(F26="S",5,IF(F26="A",4,IF(F26="B",3,IF(F26="C",2,IF(F26="D",1,0))))),""))),"")</f>
        <v/>
      </c>
      <c r="H26" s="35">
        <f>IF(G26="","",IF(G26&gt;=4.5,"S",IF(G26&gt;=3.5,"A",IF(G26&gt;=2.5,"B",IF(G26&gt;=1.5,"C","D")))))</f>
        <v/>
      </c>
    </row>
    <row r="27" ht="24" customHeight="1">
      <c r="A27" s="2" t="inlineStr">
        <is>
          <t>C-7</t>
        </is>
      </c>
      <c r="B27" s="2" t="inlineStr">
        <is>
          <t>인성</t>
        </is>
      </c>
      <c r="C27" s="17" t="inlineStr">
        <is>
          <t>윤리/책임감</t>
        </is>
      </c>
      <c r="D27" s="37" t="n">
        <v>0.1</v>
      </c>
      <c r="E27" s="29" t="inlineStr"/>
      <c r="F27" s="29" t="inlineStr"/>
      <c r="G27" s="30">
        <f>IFERROR(IF(AND(E27&lt;&gt;"",F27&lt;&gt;""),$B$3*IF(E27="S",5,IF(E27="A",4,IF(E27="B",3,IF(E27="C",2,IF(E27="D",1,0)))))+$D$3*IF(F27="S",5,IF(F27="A",4,IF(F27="B",3,IF(F27="C",2,IF(F27="D",1,0))))),IF(E27&lt;&gt;"",IF(E27="S",5,IF(E27="A",4,IF(E27="B",3,IF(E27="C",2,IF(E27="D",1,0))))),IF(F27&lt;&gt;"",IF(F27="S",5,IF(F27="A",4,IF(F27="B",3,IF(F27="C",2,IF(F27="D",1,0))))),""))),"")</f>
        <v/>
      </c>
      <c r="H27" s="35">
        <f>IF(G27="","",IF(G27&gt;=4.5,"S",IF(G27&gt;=3.5,"A",IF(G27&gt;=2.5,"B",IF(G27&gt;=1.5,"C","D")))))</f>
        <v/>
      </c>
    </row>
    <row r="28" ht="24" customHeight="1">
      <c r="A28" s="2" t="inlineStr">
        <is>
          <t>C-8</t>
        </is>
      </c>
      <c r="B28" s="2" t="inlineStr">
        <is>
          <t>인성</t>
        </is>
      </c>
      <c r="C28" s="17" t="inlineStr">
        <is>
          <t>업무 태도</t>
        </is>
      </c>
      <c r="D28" s="37" t="n">
        <v>0.1</v>
      </c>
      <c r="E28" s="29" t="inlineStr"/>
      <c r="F28" s="29" t="inlineStr"/>
      <c r="G28" s="30">
        <f>IFERROR(IF(AND(E28&lt;&gt;"",F28&lt;&gt;""),$B$3*IF(E28="S",5,IF(E28="A",4,IF(E28="B",3,IF(E28="C",2,IF(E28="D",1,0)))))+$D$3*IF(F28="S",5,IF(F28="A",4,IF(F28="B",3,IF(F28="C",2,IF(F28="D",1,0))))),IF(E28&lt;&gt;"",IF(E28="S",5,IF(E28="A",4,IF(E28="B",3,IF(E28="C",2,IF(E28="D",1,0))))),IF(F28&lt;&gt;"",IF(F28="S",5,IF(F28="A",4,IF(F28="B",3,IF(F28="C",2,IF(F28="D",1,0))))),""))),"")</f>
        <v/>
      </c>
      <c r="H28" s="35">
        <f>IF(G28="","",IF(G28&gt;=4.5,"S",IF(G28&gt;=3.5,"A",IF(G28&gt;=2.5,"B",IF(G28&gt;=1.5,"C","D")))))</f>
        <v/>
      </c>
    </row>
    <row r="29" ht="24" customHeight="1">
      <c r="A29" s="2" t="inlineStr">
        <is>
          <t>C-9</t>
        </is>
      </c>
      <c r="B29" s="2" t="inlineStr">
        <is>
          <t>미래</t>
        </is>
      </c>
      <c r="C29" s="17" t="inlineStr">
        <is>
          <t>혁신 역량</t>
        </is>
      </c>
      <c r="D29" s="37" t="n">
        <v>0.05</v>
      </c>
      <c r="E29" s="29" t="inlineStr"/>
      <c r="F29" s="29" t="inlineStr"/>
      <c r="G29" s="30">
        <f>IFERROR(IF(AND(E29&lt;&gt;"",F29&lt;&gt;""),$B$3*IF(E29="S",5,IF(E29="A",4,IF(E29="B",3,IF(E29="C",2,IF(E29="D",1,0)))))+$D$3*IF(F29="S",5,IF(F29="A",4,IF(F29="B",3,IF(F29="C",2,IF(F29="D",1,0))))),IF(E29&lt;&gt;"",IF(E29="S",5,IF(E29="A",4,IF(E29="B",3,IF(E29="C",2,IF(E29="D",1,0))))),IF(F29&lt;&gt;"",IF(F29="S",5,IF(F29="A",4,IF(F29="B",3,IF(F29="C",2,IF(F29="D",1,0))))),""))),"")</f>
        <v/>
      </c>
      <c r="H29" s="35">
        <f>IF(G29="","",IF(G29&gt;=4.5,"S",IF(G29&gt;=3.5,"A",IF(G29&gt;=2.5,"B",IF(G29&gt;=1.5,"C","D")))))</f>
        <v/>
      </c>
    </row>
    <row r="30" ht="24" customHeight="1">
      <c r="A30" s="2" t="inlineStr">
        <is>
          <t>C-10</t>
        </is>
      </c>
      <c r="B30" s="2" t="inlineStr">
        <is>
          <t>미래</t>
        </is>
      </c>
      <c r="C30" s="17" t="inlineStr">
        <is>
          <t>프로세스 개선</t>
        </is>
      </c>
      <c r="D30" s="37" t="n">
        <v>0.05</v>
      </c>
      <c r="E30" s="29" t="inlineStr"/>
      <c r="F30" s="29" t="inlineStr"/>
      <c r="G30" s="30">
        <f>IFERROR(IF(AND(E30&lt;&gt;"",F30&lt;&gt;""),$B$3*IF(E30="S",5,IF(E30="A",4,IF(E30="B",3,IF(E30="C",2,IF(E30="D",1,0)))))+$D$3*IF(F30="S",5,IF(F30="A",4,IF(F30="B",3,IF(F30="C",2,IF(F30="D",1,0))))),IF(E30&lt;&gt;"",IF(E30="S",5,IF(E30="A",4,IF(E30="B",3,IF(E30="C",2,IF(E30="D",1,0))))),IF(F30&lt;&gt;"",IF(F30="S",5,IF(F30="A",4,IF(F30="B",3,IF(F30="C",2,IF(F30="D",1,0))))),""))),"")</f>
        <v/>
      </c>
      <c r="H30" s="35">
        <f>IF(G30="","",IF(G30&gt;=4.5,"S",IF(G30&gt;=3.5,"A",IF(G30&gt;=2.5,"B",IF(G30&gt;=1.5,"C","D")))))</f>
        <v/>
      </c>
    </row>
    <row r="31" ht="24" customHeight="1">
      <c r="A31" s="2" t="inlineStr">
        <is>
          <t>C-11</t>
        </is>
      </c>
      <c r="B31" s="2" t="inlineStr">
        <is>
          <t>미래</t>
        </is>
      </c>
      <c r="C31" s="17" t="inlineStr">
        <is>
          <t>지속가능 기여</t>
        </is>
      </c>
      <c r="D31" s="37" t="n">
        <v>0.05</v>
      </c>
      <c r="E31" s="29" t="inlineStr"/>
      <c r="F31" s="29" t="inlineStr"/>
      <c r="G31" s="30">
        <f>IFERROR(IF(AND(E31&lt;&gt;"",F31&lt;&gt;""),$B$3*IF(E31="S",5,IF(E31="A",4,IF(E31="B",3,IF(E31="C",2,IF(E31="D",1,0)))))+$D$3*IF(F31="S",5,IF(F31="A",4,IF(F31="B",3,IF(F31="C",2,IF(F31="D",1,0))))),IF(E31&lt;&gt;"",IF(E31="S",5,IF(E31="A",4,IF(E31="B",3,IF(E31="C",2,IF(E31="D",1,0))))),IF(F31&lt;&gt;"",IF(F31="S",5,IF(F31="A",4,IF(F31="B",3,IF(F31="C",2,IF(F31="D",1,0))))),""))),"")</f>
        <v/>
      </c>
      <c r="H31" s="35">
        <f>IF(G31="","",IF(G31&gt;=4.5,"S",IF(G31&gt;=3.5,"A",IF(G31&gt;=2.5,"B",IF(G31&gt;=1.5,"C","D")))))</f>
        <v/>
      </c>
    </row>
    <row r="33" ht="26" customHeight="1">
      <c r="A33" s="38" t="inlineStr">
        <is>
          <t>▶ ③ 직무역량평가 - 메인 책무(D열 O)만 평가 / 비메인(X)은 평가 제외</t>
        </is>
      </c>
    </row>
    <row r="34" ht="28" customHeight="1">
      <c r="A34" s="27" t="inlineStr">
        <is>
          <t>No.</t>
        </is>
      </c>
      <c r="B34" s="27" t="inlineStr">
        <is>
          <t>전문영역</t>
        </is>
      </c>
      <c r="C34" s="27" t="inlineStr">
        <is>
          <t>핵심 책무</t>
        </is>
      </c>
      <c r="D34" s="27" t="inlineStr">
        <is>
          <t>메인</t>
        </is>
      </c>
      <c r="E34" s="27" t="inlineStr">
        <is>
          <t>1차</t>
        </is>
      </c>
      <c r="F34" s="27" t="inlineStr">
        <is>
          <t>2차</t>
        </is>
      </c>
      <c r="G34" s="27" t="inlineStr">
        <is>
          <t>가중평균(점수)</t>
        </is>
      </c>
      <c r="H34" s="27" t="inlineStr">
        <is>
          <t>평균(등급)</t>
        </is>
      </c>
    </row>
    <row r="35" ht="22" customHeight="1">
      <c r="A35" s="34" t="inlineStr">
        <is>
          <t>J-1</t>
        </is>
      </c>
      <c r="B35" s="39" t="inlineStr">
        <is>
          <t>영업기획</t>
        </is>
      </c>
      <c r="C35" s="40" t="inlineStr">
        <is>
          <t>시장조사 및 고객 발굴</t>
        </is>
      </c>
      <c r="D35" s="29" t="inlineStr"/>
      <c r="E35" s="29" t="inlineStr"/>
      <c r="F35" s="29" t="inlineStr"/>
      <c r="G35" s="30">
        <f>IF(D35="O",IFERROR(IF(AND(E35&lt;&gt;"",F35&lt;&gt;""),$B$3*IF(E35="S",5,IF(E35="A",4,IF(E35="B",3,IF(E35="C",2,IF(E35="D",1,0)))))+$D$3*IF(F35="S",5,IF(F35="A",4,IF(F35="B",3,IF(F35="C",2,IF(F35="D",1,0))))),IF(E35&lt;&gt;"",IF(E35="S",5,IF(E35="A",4,IF(E35="B",3,IF(E35="C",2,IF(E35="D",1,0))))),IF(F35&lt;&gt;"",IF(F35="S",5,IF(F35="A",4,IF(F35="B",3,IF(F35="C",2,IF(F35="D",1,0))))),""))),""),"")</f>
        <v/>
      </c>
      <c r="H35" s="31">
        <f>IF(G35="","",IF(G35&gt;=4.5,"S",IF(G35&gt;=3.5,"A",IF(G35&gt;=2.5,"B",IF(G35&gt;=1.5,"C","D")))))</f>
        <v/>
      </c>
    </row>
    <row r="36" ht="22" customHeight="1">
      <c r="A36" s="34" t="inlineStr">
        <is>
          <t>J-2</t>
        </is>
      </c>
      <c r="B36" s="39" t="inlineStr">
        <is>
          <t>영업기획</t>
        </is>
      </c>
      <c r="C36" s="40" t="inlineStr">
        <is>
          <t>제안 및 입찰 준비</t>
        </is>
      </c>
      <c r="D36" s="29" t="inlineStr"/>
      <c r="E36" s="29" t="inlineStr"/>
      <c r="F36" s="29" t="inlineStr"/>
      <c r="G36" s="30">
        <f>IF(D36="O",IFERROR(IF(AND(E36&lt;&gt;"",F36&lt;&gt;""),$B$3*IF(E36="S",5,IF(E36="A",4,IF(E36="B",3,IF(E36="C",2,IF(E36="D",1,0)))))+$D$3*IF(F36="S",5,IF(F36="A",4,IF(F36="B",3,IF(F36="C",2,IF(F36="D",1,0))))),IF(E36&lt;&gt;"",IF(E36="S",5,IF(E36="A",4,IF(E36="B",3,IF(E36="C",2,IF(E36="D",1,0))))),IF(F36&lt;&gt;"",IF(F36="S",5,IF(F36="A",4,IF(F36="B",3,IF(F36="C",2,IF(F36="D",1,0))))),""))),""),"")</f>
        <v/>
      </c>
      <c r="H36" s="31">
        <f>IF(G36="","",IF(G36&gt;=4.5,"S",IF(G36&gt;=3.5,"A",IF(G36&gt;=2.5,"B",IF(G36&gt;=1.5,"C","D")))))</f>
        <v/>
      </c>
    </row>
    <row r="37" ht="22" customHeight="1">
      <c r="A37" s="34" t="inlineStr">
        <is>
          <t>J-3</t>
        </is>
      </c>
      <c r="B37" s="39" t="inlineStr">
        <is>
          <t>영업기획</t>
        </is>
      </c>
      <c r="C37" s="40" t="inlineStr">
        <is>
          <t>계약 협상</t>
        </is>
      </c>
      <c r="D37" s="29" t="inlineStr"/>
      <c r="E37" s="29" t="inlineStr"/>
      <c r="F37" s="29" t="inlineStr"/>
      <c r="G37" s="30">
        <f>IF(D37="O",IFERROR(IF(AND(E37&lt;&gt;"",F37&lt;&gt;""),$B$3*IF(E37="S",5,IF(E37="A",4,IF(E37="B",3,IF(E37="C",2,IF(E37="D",1,0)))))+$D$3*IF(F37="S",5,IF(F37="A",4,IF(F37="B",3,IF(F37="C",2,IF(F37="D",1,0))))),IF(E37&lt;&gt;"",IF(E37="S",5,IF(E37="A",4,IF(E37="B",3,IF(E37="C",2,IF(E37="D",1,0))))),IF(F37&lt;&gt;"",IF(F37="S",5,IF(F37="A",4,IF(F37="B",3,IF(F37="C",2,IF(F37="D",1,0))))),""))),""),"")</f>
        <v/>
      </c>
      <c r="H37" s="31">
        <f>IF(G37="","",IF(G37&gt;=4.5,"S",IF(G37&gt;=3.5,"A",IF(G37&gt;=2.5,"B",IF(G37&gt;=1.5,"C","D")))))</f>
        <v/>
      </c>
    </row>
    <row r="38" ht="22" customHeight="1">
      <c r="A38" s="34" t="inlineStr">
        <is>
          <t>J-4</t>
        </is>
      </c>
      <c r="B38" s="39" t="inlineStr">
        <is>
          <t>고객관리</t>
        </is>
      </c>
      <c r="C38" s="40" t="inlineStr">
        <is>
          <t>기존 고객 관리</t>
        </is>
      </c>
      <c r="D38" s="29" t="inlineStr"/>
      <c r="E38" s="29" t="inlineStr"/>
      <c r="F38" s="29" t="inlineStr"/>
      <c r="G38" s="30">
        <f>IF(D38="O",IFERROR(IF(AND(E38&lt;&gt;"",F38&lt;&gt;""),$B$3*IF(E38="S",5,IF(E38="A",4,IF(E38="B",3,IF(E38="C",2,IF(E38="D",1,0)))))+$D$3*IF(F38="S",5,IF(F38="A",4,IF(F38="B",3,IF(F38="C",2,IF(F38="D",1,0))))),IF(E38&lt;&gt;"",IF(E38="S",5,IF(E38="A",4,IF(E38="B",3,IF(E38="C",2,IF(E38="D",1,0))))),IF(F38&lt;&gt;"",IF(F38="S",5,IF(F38="A",4,IF(F38="B",3,IF(F38="C",2,IF(F38="D",1,0))))),""))),""),"")</f>
        <v/>
      </c>
      <c r="H38" s="31">
        <f>IF(G38="","",IF(G38&gt;=4.5,"S",IF(G38&gt;=3.5,"A",IF(G38&gt;=2.5,"B",IF(G38&gt;=1.5,"C","D")))))</f>
        <v/>
      </c>
    </row>
    <row r="39" ht="22" customHeight="1">
      <c r="A39" s="34" t="inlineStr">
        <is>
          <t>J-5</t>
        </is>
      </c>
      <c r="B39" s="39" t="inlineStr">
        <is>
          <t>고객관리</t>
        </is>
      </c>
      <c r="C39" s="40" t="inlineStr">
        <is>
          <t>신규 고객 개발</t>
        </is>
      </c>
      <c r="D39" s="29" t="inlineStr"/>
      <c r="E39" s="29" t="inlineStr"/>
      <c r="F39" s="29" t="inlineStr"/>
      <c r="G39" s="30">
        <f>IF(D39="O",IFERROR(IF(AND(E39&lt;&gt;"",F39&lt;&gt;""),$B$3*IF(E39="S",5,IF(E39="A",4,IF(E39="B",3,IF(E39="C",2,IF(E39="D",1,0)))))+$D$3*IF(F39="S",5,IF(F39="A",4,IF(F39="B",3,IF(F39="C",2,IF(F39="D",1,0))))),IF(E39&lt;&gt;"",IF(E39="S",5,IF(E39="A",4,IF(E39="B",3,IF(E39="C",2,IF(E39="D",1,0))))),IF(F39&lt;&gt;"",IF(F39="S",5,IF(F39="A",4,IF(F39="B",3,IF(F39="C",2,IF(F39="D",1,0))))),""))),""),"")</f>
        <v/>
      </c>
      <c r="H39" s="31">
        <f>IF(G39="","",IF(G39&gt;=4.5,"S",IF(G39&gt;=3.5,"A",IF(G39&gt;=2.5,"B",IF(G39&gt;=1.5,"C","D")))))</f>
        <v/>
      </c>
    </row>
    <row r="40" ht="22" customHeight="1">
      <c r="A40" s="34" t="inlineStr">
        <is>
          <t>J-6</t>
        </is>
      </c>
      <c r="B40" s="39" t="inlineStr">
        <is>
          <t>프로젝트 영업</t>
        </is>
      </c>
      <c r="C40" s="40" t="inlineStr">
        <is>
          <t>프로젝트 발굴 및 수주</t>
        </is>
      </c>
      <c r="D40" s="29" t="inlineStr"/>
      <c r="E40" s="29" t="inlineStr"/>
      <c r="F40" s="29" t="inlineStr"/>
      <c r="G40" s="30">
        <f>IF(D40="O",IFERROR(IF(AND(E40&lt;&gt;"",F40&lt;&gt;""),$B$3*IF(E40="S",5,IF(E40="A",4,IF(E40="B",3,IF(E40="C",2,IF(E40="D",1,0)))))+$D$3*IF(F40="S",5,IF(F40="A",4,IF(F40="B",3,IF(F40="C",2,IF(F40="D",1,0))))),IF(E40&lt;&gt;"",IF(E40="S",5,IF(E40="A",4,IF(E40="B",3,IF(E40="C",2,IF(E40="D",1,0))))),IF(F40&lt;&gt;"",IF(F40="S",5,IF(F40="A",4,IF(F40="B",3,IF(F40="C",2,IF(F40="D",1,0))))),""))),""),"")</f>
        <v/>
      </c>
      <c r="H40" s="31">
        <f>IF(G40="","",IF(G40&gt;=4.5,"S",IF(G40&gt;=3.5,"A",IF(G40&gt;=2.5,"B",IF(G40&gt;=1.5,"C","D")))))</f>
        <v/>
      </c>
    </row>
    <row r="41" ht="22" customHeight="1">
      <c r="A41" s="34" t="inlineStr">
        <is>
          <t>J-7</t>
        </is>
      </c>
      <c r="B41" s="39" t="inlineStr">
        <is>
          <t>프로젝트 영업</t>
        </is>
      </c>
      <c r="C41" s="40" t="inlineStr">
        <is>
          <t>계약 후 사후관리</t>
        </is>
      </c>
      <c r="D41" s="29" t="inlineStr"/>
      <c r="E41" s="29" t="inlineStr"/>
      <c r="F41" s="29" t="inlineStr"/>
      <c r="G41" s="30">
        <f>IF(D41="O",IFERROR(IF(AND(E41&lt;&gt;"",F41&lt;&gt;""),$B$3*IF(E41="S",5,IF(E41="A",4,IF(E41="B",3,IF(E41="C",2,IF(E41="D",1,0)))))+$D$3*IF(F41="S",5,IF(F41="A",4,IF(F41="B",3,IF(F41="C",2,IF(F41="D",1,0))))),IF(E41&lt;&gt;"",IF(E41="S",5,IF(E41="A",4,IF(E41="B",3,IF(E41="C",2,IF(E41="D",1,0))))),IF(F41&lt;&gt;"",IF(F41="S",5,IF(F41="A",4,IF(F41="B",3,IF(F41="C",2,IF(F41="D",1,0))))),""))),""),"")</f>
        <v/>
      </c>
      <c r="H41" s="31">
        <f>IF(G41="","",IF(G41&gt;=4.5,"S",IF(G41&gt;=3.5,"A",IF(G41&gt;=2.5,"B",IF(G41&gt;=1.5,"C","D")))))</f>
        <v/>
      </c>
    </row>
    <row r="43" ht="24" customHeight="1">
      <c r="A43" s="41" t="inlineStr">
        <is>
          <t>1차 평가자 직무 종합 (메인=O 평균)</t>
        </is>
      </c>
      <c r="E43" s="33">
        <f>IFERROR(SUMPRODUCT((D35:D41="O")*IFERROR(IF(E35:E41="S",5,IF(E35:E41="A",4,IF(E35:E41="B",3,IF(E35:E41="C",2,IF(E35:E41="D",1,0))))),0))/COUNTIF(D35:D41,"O"),"")</f>
        <v/>
      </c>
      <c r="H43" s="35">
        <f>IF(E43="","",IF(E43&gt;=4.5,"S",IF(E43&gt;=3.5,"A",IF(E43&gt;=2.5,"B",IF(E43&gt;=1.5,"C","D")))))</f>
        <v/>
      </c>
    </row>
    <row r="44" ht="24" customHeight="1">
      <c r="A44" s="41" t="inlineStr">
        <is>
          <t>2차 평가자 직무 종합</t>
        </is>
      </c>
      <c r="F44" s="33">
        <f>IFERROR(SUMPRODUCT((D35:D41="O")*IFERROR(IF(F35:F41="S",5,IF(F35:F41="A",4,IF(F35:F41="B",3,IF(F35:F41="C",2,IF(F35:F41="D",1,0))))),0))/COUNTIF(D35:D41,"O"),"")</f>
        <v/>
      </c>
      <c r="H44" s="35">
        <f>IF(F44="","",IF(F44&gt;=4.5,"S",IF(F44&gt;=3.5,"A",IF(F44&gt;=2.5,"B",IF(F44&gt;=1.5,"C","D")))))</f>
        <v/>
      </c>
    </row>
    <row r="47" ht="32" customHeight="1">
      <c r="A47" s="42" t="inlineStr">
        <is>
          <t>▶ 통합관리시트 입력 행 (한 줄 A~U 21개 셀 통째 복사 → 통합관리시트 07a/07b의 G~AA에 [값 붙여넣기])</t>
        </is>
      </c>
    </row>
    <row r="48" ht="30" customHeight="1">
      <c r="A48" s="43" t="inlineStr">
        <is>
          <t>R-1</t>
        </is>
      </c>
      <c r="B48" s="43" t="inlineStr">
        <is>
          <t>R-2</t>
        </is>
      </c>
      <c r="C48" s="43" t="inlineStr">
        <is>
          <t>R-3</t>
        </is>
      </c>
      <c r="D48" s="43" t="inlineStr">
        <is>
          <t>R-4</t>
        </is>
      </c>
      <c r="E48" s="43" t="inlineStr">
        <is>
          <t>R-5</t>
        </is>
      </c>
      <c r="F48" s="43" t="inlineStr">
        <is>
          <t>역할(1차)</t>
        </is>
      </c>
      <c r="G48" s="43" t="inlineStr">
        <is>
          <t>역할(2차)</t>
        </is>
      </c>
      <c r="H48" s="43" t="inlineStr">
        <is>
          <t>C-1</t>
        </is>
      </c>
      <c r="I48" s="43" t="inlineStr">
        <is>
          <t>C-2</t>
        </is>
      </c>
      <c r="J48" s="43" t="inlineStr">
        <is>
          <t>C-3</t>
        </is>
      </c>
      <c r="K48" s="43" t="inlineStr">
        <is>
          <t>C-4</t>
        </is>
      </c>
      <c r="L48" s="43" t="inlineStr">
        <is>
          <t>C-5</t>
        </is>
      </c>
      <c r="M48" s="43" t="inlineStr">
        <is>
          <t>C-6</t>
        </is>
      </c>
      <c r="N48" s="43" t="inlineStr">
        <is>
          <t>C-7</t>
        </is>
      </c>
      <c r="O48" s="43" t="inlineStr">
        <is>
          <t>C-8</t>
        </is>
      </c>
      <c r="P48" s="43" t="inlineStr">
        <is>
          <t>C-9</t>
        </is>
      </c>
      <c r="Q48" s="43" t="inlineStr">
        <is>
          <t>C-10</t>
        </is>
      </c>
      <c r="R48" s="43" t="inlineStr">
        <is>
          <t>C-11</t>
        </is>
      </c>
      <c r="S48" s="43" t="inlineStr">
        <is>
          <t>직무(1차)</t>
        </is>
      </c>
      <c r="T48" s="43" t="inlineStr">
        <is>
          <t>직무(2차)</t>
        </is>
      </c>
      <c r="U48" s="43" t="inlineStr">
        <is>
          <t>소견</t>
        </is>
      </c>
    </row>
    <row r="49" ht="32" customHeight="1">
      <c r="A49" s="35">
        <f>IF(F11="","",IF(F11&gt;=4.5,"S",IF(F11&gt;=3.5,"A",IF(F11&gt;=2.5,"B",IF(F11&gt;=1.5,"C","D")))))</f>
        <v/>
      </c>
      <c r="B49" s="35">
        <f>IF(F12="","",IF(F12&gt;=4.5,"S",IF(F12&gt;=3.5,"A",IF(F12&gt;=2.5,"B",IF(F12&gt;=1.5,"C","D")))))</f>
        <v/>
      </c>
      <c r="C49" s="35">
        <f>IF(F13="","",IF(F13&gt;=4.5,"S",IF(F13&gt;=3.5,"A",IF(F13&gt;=2.5,"B",IF(F13&gt;=1.5,"C","D")))))</f>
        <v/>
      </c>
      <c r="D49" s="35">
        <f>IF(F14="","",IF(F14&gt;=4.5,"S",IF(F14&gt;=3.5,"A",IF(F14&gt;=2.5,"B",IF(F14&gt;=1.5,"C","D")))))</f>
        <v/>
      </c>
      <c r="E49" s="35">
        <f>IF(F15="","",IF(F15&gt;=4.5,"S",IF(F15&gt;=3.5,"A",IF(F15&gt;=2.5,"B",IF(F15&gt;=1.5,"C","D")))))</f>
        <v/>
      </c>
      <c r="F49" s="35">
        <f>IF(D16="","",IF(D16&gt;=4.5,"S",IF(D16&gt;=3.5,"A",IF(D16&gt;=2.5,"B",IF(D16&gt;=1.5,"C","D")))))</f>
        <v/>
      </c>
      <c r="G49" s="35">
        <f>IF(D17="","",IF(D17&gt;=4.5,"S",IF(D17&gt;=3.5,"A",IF(D17&gt;=2.5,"B",IF(D17&gt;=1.5,"C","D")))))</f>
        <v/>
      </c>
      <c r="H49" s="35">
        <f>IF(G21="","",IF(G21&gt;=4.5,"S",IF(G21&gt;=3.5,"A",IF(G21&gt;=2.5,"B",IF(G21&gt;=1.5,"C","D")))))</f>
        <v/>
      </c>
      <c r="I49" s="35">
        <f>IF(G22="","",IF(G22&gt;=4.5,"S",IF(G22&gt;=3.5,"A",IF(G22&gt;=2.5,"B",IF(G22&gt;=1.5,"C","D")))))</f>
        <v/>
      </c>
      <c r="J49" s="35">
        <f>IF(G23="","",IF(G23&gt;=4.5,"S",IF(G23&gt;=3.5,"A",IF(G23&gt;=2.5,"B",IF(G23&gt;=1.5,"C","D")))))</f>
        <v/>
      </c>
      <c r="K49" s="35">
        <f>IF(G24="","",IF(G24&gt;=4.5,"S",IF(G24&gt;=3.5,"A",IF(G24&gt;=2.5,"B",IF(G24&gt;=1.5,"C","D")))))</f>
        <v/>
      </c>
      <c r="L49" s="35">
        <f>IF(G25="","",IF(G25&gt;=4.5,"S",IF(G25&gt;=3.5,"A",IF(G25&gt;=2.5,"B",IF(G25&gt;=1.5,"C","D")))))</f>
        <v/>
      </c>
      <c r="M49" s="35">
        <f>IF(G26="","",IF(G26&gt;=4.5,"S",IF(G26&gt;=3.5,"A",IF(G26&gt;=2.5,"B",IF(G26&gt;=1.5,"C","D")))))</f>
        <v/>
      </c>
      <c r="N49" s="35">
        <f>IF(G27="","",IF(G27&gt;=4.5,"S",IF(G27&gt;=3.5,"A",IF(G27&gt;=2.5,"B",IF(G27&gt;=1.5,"C","D")))))</f>
        <v/>
      </c>
      <c r="O49" s="35">
        <f>IF(G28="","",IF(G28&gt;=4.5,"S",IF(G28&gt;=3.5,"A",IF(G28&gt;=2.5,"B",IF(G28&gt;=1.5,"C","D")))))</f>
        <v/>
      </c>
      <c r="P49" s="35">
        <f>IF(G29="","",IF(G29&gt;=4.5,"S",IF(G29&gt;=3.5,"A",IF(G29&gt;=2.5,"B",IF(G29&gt;=1.5,"C","D")))))</f>
        <v/>
      </c>
      <c r="Q49" s="35">
        <f>IF(G30="","",IF(G30&gt;=4.5,"S",IF(G30&gt;=3.5,"A",IF(G30&gt;=2.5,"B",IF(G30&gt;=1.5,"C","D")))))</f>
        <v/>
      </c>
      <c r="R49" s="35">
        <f>IF(G31="","",IF(G31&gt;=4.5,"S",IF(G31&gt;=3.5,"A",IF(G31&gt;=2.5,"B",IF(G31&gt;=1.5,"C","D")))))</f>
        <v/>
      </c>
      <c r="S49" s="35">
        <f>IF(E43="","",IF(E43&gt;=4.5,"S",IF(E43&gt;=3.5,"A",IF(E43&gt;=2.5,"B",IF(E43&gt;=1.5,"C","D")))))</f>
        <v/>
      </c>
      <c r="T49" s="35">
        <f>IF(F44="","",IF(F44&gt;=4.5,"S",IF(F44&gt;=3.5,"A",IF(F44&gt;=2.5,"B",IF(F44&gt;=1.5,"C","D")))))</f>
        <v/>
      </c>
      <c r="U49" s="44" t="inlineStr"/>
    </row>
    <row r="50" ht="26" customHeight="1">
      <c r="A50" s="45" t="inlineStr">
        <is>
          <t>사용법: 위 한 줄 A~U 선택 → Ctrl+C → 통합관리시트 07a/07b의 해당 사번 행 G~AA에 [선택하여 붙여넣기 → 값]</t>
        </is>
      </c>
    </row>
    <row r="52" ht="24" customHeight="1">
      <c r="A52" s="3" t="inlineStr">
        <is>
          <t>▶ 종합 소견</t>
        </is>
      </c>
    </row>
    <row r="53" ht="40" customHeight="1">
      <c r="A53" s="46" t="inlineStr">
        <is>
          <t>강점</t>
        </is>
      </c>
      <c r="B53" s="47" t="inlineStr"/>
    </row>
    <row r="54" ht="40" customHeight="1">
      <c r="A54" s="46" t="inlineStr">
        <is>
          <t>개선</t>
        </is>
      </c>
      <c r="B54" s="47" t="inlineStr"/>
    </row>
    <row r="55" ht="40" customHeight="1">
      <c r="A55" s="46" t="inlineStr">
        <is>
          <t>육성 방향</t>
        </is>
      </c>
      <c r="B55" s="47" t="inlineStr"/>
    </row>
  </sheetData>
  <mergeCells count="20">
    <mergeCell ref="A8:J8"/>
    <mergeCell ref="A4:J4"/>
    <mergeCell ref="A43:D43"/>
    <mergeCell ref="B53:J53"/>
    <mergeCell ref="A52:J52"/>
    <mergeCell ref="E17:F17"/>
    <mergeCell ref="A19:J19"/>
    <mergeCell ref="A44:D44"/>
    <mergeCell ref="A50:U50"/>
    <mergeCell ref="A17:C17"/>
    <mergeCell ref="A47:U47"/>
    <mergeCell ref="B9:J9"/>
    <mergeCell ref="B55:J55"/>
    <mergeCell ref="A1:J1"/>
    <mergeCell ref="E3:J3"/>
    <mergeCell ref="B54:J54"/>
    <mergeCell ref="E16:F16"/>
    <mergeCell ref="A2:J2"/>
    <mergeCell ref="A16:C16"/>
    <mergeCell ref="A33:J33"/>
  </mergeCells>
  <conditionalFormatting sqref="A49:U49">
    <cfRule type="cellIs" priority="1" operator="equal" dxfId="0">
      <formula>"S"</formula>
    </cfRule>
    <cfRule type="cellIs" priority="2" operator="equal" dxfId="1">
      <formula>"A"</formula>
    </cfRule>
    <cfRule type="cellIs" priority="3" operator="equal" dxfId="2">
      <formula>"C"</formula>
    </cfRule>
    <cfRule type="cellIs" priority="4" operator="equal" dxfId="3">
      <formula>"D"</formula>
    </cfRule>
  </conditionalFormatting>
  <dataValidations count="4">
    <dataValidation sqref="D11:E15" showDropDown="0" showInputMessage="0" showErrorMessage="0" allowBlank="1" type="list">
      <formula1>"S,A,B,C,D"</formula1>
    </dataValidation>
    <dataValidation sqref="E21:F31" showDropDown="0" showInputMessage="0" showErrorMessage="0" allowBlank="1" type="list">
      <formula1>"S,A,B,C,D"</formula1>
    </dataValidation>
    <dataValidation sqref="D35:D41" showDropDown="0" showInputMessage="0" showErrorMessage="0" allowBlank="1" type="list">
      <formula1>"O,X"</formula1>
    </dataValidation>
    <dataValidation sqref="E35:F41" showDropDown="0" showInputMessage="0" showErrorMessage="0" allowBlank="1" type="list">
      <formula1>"S,A,B,C,D"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2026-05-13T04:16:11Z</dcterms:created>
  <dcterms:modified xmlns:dcterms="http://purl.org/dc/terms/" xmlns:xsi="http://www.w3.org/2001/XMLSchema-instance" xsi:type="dcterms:W3CDTF">2026-05-13T04:16:12Z</dcterms:modified>
</cp:coreProperties>
</file>