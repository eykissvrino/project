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b6553f64e91d015d/바탕 화면/2025년/[25N000] 일터혁신 상생컨설팅_직업능력개발본부/03_컨설팅 수행/4차수_베이시스소프트/사후 컨설팅/HR_임금평가_관리 TOOL/"/>
    </mc:Choice>
  </mc:AlternateContent>
  <xr:revisionPtr revIDLastSave="75" documentId="11_02815D822A1AEE30843A745ED385A0A8D7E7D8C6" xr6:coauthVersionLast="47" xr6:coauthVersionMax="47" xr10:uidLastSave="{9C88088A-E6F1-48E1-B926-0216521783D7}"/>
  <bookViews>
    <workbookView xWindow="-38520" yWindow="-16350" windowWidth="38640" windowHeight="21120" xr2:uid="{00000000-000D-0000-FFFF-FFFF00000000}"/>
  </bookViews>
  <sheets>
    <sheet name="00_운영가이드" sheetId="1" r:id="rId1"/>
    <sheet name="01_인적정보" sheetId="2" r:id="rId2"/>
    <sheet name="02_의사결정·종합결과" sheetId="3" r:id="rId3"/>
    <sheet name="03_전사업적평가" sheetId="4" r:id="rId4"/>
    <sheet name="04_역할평가" sheetId="5" r:id="rId5"/>
    <sheet name="05_공통역량평가" sheetId="6" r:id="rId6"/>
    <sheet name="06_직무역량평가" sheetId="7" r:id="rId7"/>
    <sheet name="07_결과취합" sheetId="8" r:id="rId8"/>
    <sheet name="07.5_결과입력_매핑가이드" sheetId="9" r:id="rId9"/>
    <sheet name="08_종합평가" sheetId="10" r:id="rId10"/>
    <sheet name="09_보상연계" sheetId="11" r:id="rId11"/>
    <sheet name="10_성과급관리" sheetId="12" r:id="rId12"/>
    <sheet name="11_페이밴드검증" sheetId="13" r:id="rId13"/>
    <sheet name="12_시뮬레이션" sheetId="14" r:id="rId14"/>
    <sheet name="13_직무역할DB" sheetId="15" r:id="rId15"/>
    <sheet name="14_직무책무DB" sheetId="16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51" i="14" l="1"/>
  <c r="F51" i="14"/>
  <c r="E51" i="14"/>
  <c r="D51" i="14"/>
  <c r="C51" i="14"/>
  <c r="B51" i="14"/>
  <c r="A51" i="14"/>
  <c r="Q50" i="14"/>
  <c r="F50" i="14"/>
  <c r="E50" i="14"/>
  <c r="D50" i="14"/>
  <c r="C50" i="14"/>
  <c r="B50" i="14"/>
  <c r="A50" i="14"/>
  <c r="Q49" i="14"/>
  <c r="F49" i="14"/>
  <c r="E49" i="14"/>
  <c r="D49" i="14"/>
  <c r="C49" i="14"/>
  <c r="B49" i="14"/>
  <c r="A49" i="14"/>
  <c r="Q48" i="14"/>
  <c r="F48" i="14"/>
  <c r="E48" i="14"/>
  <c r="D48" i="14"/>
  <c r="C48" i="14"/>
  <c r="B48" i="14"/>
  <c r="A48" i="14"/>
  <c r="Q47" i="14"/>
  <c r="F47" i="14"/>
  <c r="E47" i="14"/>
  <c r="D47" i="14"/>
  <c r="C47" i="14"/>
  <c r="B47" i="14"/>
  <c r="A47" i="14"/>
  <c r="Q46" i="14"/>
  <c r="F46" i="14"/>
  <c r="E46" i="14"/>
  <c r="D46" i="14"/>
  <c r="C46" i="14"/>
  <c r="B46" i="14"/>
  <c r="A46" i="14"/>
  <c r="Q45" i="14"/>
  <c r="F45" i="14"/>
  <c r="E45" i="14"/>
  <c r="D45" i="14"/>
  <c r="C45" i="14"/>
  <c r="B45" i="14"/>
  <c r="A45" i="14"/>
  <c r="Q44" i="14"/>
  <c r="F44" i="14"/>
  <c r="E44" i="14"/>
  <c r="D44" i="14"/>
  <c r="C44" i="14"/>
  <c r="B44" i="14"/>
  <c r="A44" i="14"/>
  <c r="Q43" i="14"/>
  <c r="F43" i="14"/>
  <c r="E43" i="14"/>
  <c r="D43" i="14"/>
  <c r="C43" i="14"/>
  <c r="B43" i="14"/>
  <c r="A43" i="14"/>
  <c r="Q42" i="14"/>
  <c r="F42" i="14"/>
  <c r="E42" i="14"/>
  <c r="D42" i="14"/>
  <c r="C42" i="14"/>
  <c r="B42" i="14"/>
  <c r="A42" i="14"/>
  <c r="Q41" i="14"/>
  <c r="F41" i="14"/>
  <c r="E41" i="14"/>
  <c r="D41" i="14"/>
  <c r="C41" i="14"/>
  <c r="B41" i="14"/>
  <c r="A41" i="14"/>
  <c r="Q40" i="14"/>
  <c r="F40" i="14"/>
  <c r="E40" i="14"/>
  <c r="D40" i="14"/>
  <c r="C40" i="14"/>
  <c r="B40" i="14"/>
  <c r="A40" i="14"/>
  <c r="Q39" i="14"/>
  <c r="F39" i="14"/>
  <c r="E39" i="14"/>
  <c r="D39" i="14"/>
  <c r="C39" i="14"/>
  <c r="B39" i="14"/>
  <c r="A39" i="14"/>
  <c r="Q38" i="14"/>
  <c r="F38" i="14"/>
  <c r="E38" i="14"/>
  <c r="D38" i="14"/>
  <c r="C38" i="14"/>
  <c r="B38" i="14"/>
  <c r="A38" i="14"/>
  <c r="Q37" i="14"/>
  <c r="F37" i="14"/>
  <c r="E37" i="14"/>
  <c r="D37" i="14"/>
  <c r="C37" i="14"/>
  <c r="B37" i="14"/>
  <c r="A37" i="14"/>
  <c r="Q36" i="14"/>
  <c r="F36" i="14"/>
  <c r="E36" i="14"/>
  <c r="D36" i="14"/>
  <c r="C36" i="14"/>
  <c r="B36" i="14"/>
  <c r="A36" i="14"/>
  <c r="Q35" i="14"/>
  <c r="F35" i="14"/>
  <c r="E35" i="14"/>
  <c r="D35" i="14"/>
  <c r="C35" i="14"/>
  <c r="B35" i="14"/>
  <c r="A35" i="14"/>
  <c r="Q34" i="14"/>
  <c r="F34" i="14"/>
  <c r="E34" i="14"/>
  <c r="D34" i="14"/>
  <c r="C34" i="14"/>
  <c r="B34" i="14"/>
  <c r="A34" i="14"/>
  <c r="Q33" i="14"/>
  <c r="F33" i="14"/>
  <c r="E33" i="14"/>
  <c r="D33" i="14"/>
  <c r="C33" i="14"/>
  <c r="B33" i="14"/>
  <c r="A33" i="14"/>
  <c r="Q32" i="14"/>
  <c r="F32" i="14"/>
  <c r="E32" i="14"/>
  <c r="D32" i="14"/>
  <c r="C32" i="14"/>
  <c r="B32" i="14"/>
  <c r="A32" i="14"/>
  <c r="Q31" i="14"/>
  <c r="F31" i="14"/>
  <c r="E31" i="14"/>
  <c r="D31" i="14"/>
  <c r="C31" i="14"/>
  <c r="B31" i="14"/>
  <c r="A31" i="14"/>
  <c r="Q30" i="14"/>
  <c r="F30" i="14"/>
  <c r="E30" i="14"/>
  <c r="D30" i="14"/>
  <c r="C30" i="14"/>
  <c r="B30" i="14"/>
  <c r="A30" i="14"/>
  <c r="Q29" i="14"/>
  <c r="F29" i="14"/>
  <c r="E29" i="14"/>
  <c r="D29" i="14"/>
  <c r="C29" i="14"/>
  <c r="B29" i="14"/>
  <c r="A29" i="14"/>
  <c r="Q28" i="14"/>
  <c r="F28" i="14"/>
  <c r="E28" i="14"/>
  <c r="D28" i="14"/>
  <c r="C28" i="14"/>
  <c r="B28" i="14"/>
  <c r="A28" i="14"/>
  <c r="Q27" i="14"/>
  <c r="F27" i="14"/>
  <c r="E27" i="14"/>
  <c r="D27" i="14"/>
  <c r="C27" i="14"/>
  <c r="B27" i="14"/>
  <c r="A27" i="14"/>
  <c r="Q26" i="14"/>
  <c r="F26" i="14"/>
  <c r="E26" i="14"/>
  <c r="D26" i="14"/>
  <c r="C26" i="14"/>
  <c r="B26" i="14"/>
  <c r="A26" i="14"/>
  <c r="Q25" i="14"/>
  <c r="F25" i="14"/>
  <c r="E25" i="14"/>
  <c r="D25" i="14"/>
  <c r="C25" i="14"/>
  <c r="B25" i="14"/>
  <c r="A25" i="14"/>
  <c r="Q24" i="14"/>
  <c r="F24" i="14"/>
  <c r="E24" i="14"/>
  <c r="D24" i="14"/>
  <c r="C24" i="14"/>
  <c r="B24" i="14"/>
  <c r="A24" i="14"/>
  <c r="Q23" i="14"/>
  <c r="F23" i="14"/>
  <c r="E23" i="14"/>
  <c r="D23" i="14"/>
  <c r="C23" i="14"/>
  <c r="B23" i="14"/>
  <c r="A23" i="14"/>
  <c r="Q22" i="14"/>
  <c r="F22" i="14"/>
  <c r="E22" i="14"/>
  <c r="D22" i="14"/>
  <c r="C22" i="14"/>
  <c r="B22" i="14"/>
  <c r="A22" i="14"/>
  <c r="Q21" i="14"/>
  <c r="F21" i="14"/>
  <c r="E21" i="14"/>
  <c r="D21" i="14"/>
  <c r="C21" i="14"/>
  <c r="B21" i="14"/>
  <c r="A21" i="14"/>
  <c r="Q20" i="14"/>
  <c r="F20" i="14"/>
  <c r="E20" i="14"/>
  <c r="D20" i="14"/>
  <c r="C20" i="14"/>
  <c r="B20" i="14"/>
  <c r="A20" i="14"/>
  <c r="Q19" i="14"/>
  <c r="F19" i="14"/>
  <c r="E19" i="14"/>
  <c r="D19" i="14"/>
  <c r="C19" i="14"/>
  <c r="B19" i="14"/>
  <c r="A19" i="14"/>
  <c r="Q18" i="14"/>
  <c r="F18" i="14"/>
  <c r="E18" i="14"/>
  <c r="D18" i="14"/>
  <c r="C18" i="14"/>
  <c r="B18" i="14"/>
  <c r="A18" i="14"/>
  <c r="A6" i="14"/>
  <c r="G49" i="13"/>
  <c r="F49" i="13"/>
  <c r="J49" i="13" s="1"/>
  <c r="L51" i="14" s="1"/>
  <c r="E49" i="13"/>
  <c r="D49" i="13"/>
  <c r="C49" i="13"/>
  <c r="B49" i="13"/>
  <c r="A49" i="13"/>
  <c r="G48" i="13"/>
  <c r="F48" i="13"/>
  <c r="J48" i="13" s="1"/>
  <c r="L50" i="14" s="1"/>
  <c r="E48" i="13"/>
  <c r="D48" i="13"/>
  <c r="C48" i="13"/>
  <c r="B48" i="13"/>
  <c r="A48" i="13"/>
  <c r="I47" i="13"/>
  <c r="H47" i="13"/>
  <c r="K49" i="14" s="1"/>
  <c r="G47" i="13"/>
  <c r="F47" i="13"/>
  <c r="J47" i="13" s="1"/>
  <c r="L49" i="14" s="1"/>
  <c r="E47" i="13"/>
  <c r="D47" i="13"/>
  <c r="C47" i="13"/>
  <c r="B47" i="13"/>
  <c r="A47" i="13"/>
  <c r="K46" i="13"/>
  <c r="J46" i="13"/>
  <c r="L48" i="14" s="1"/>
  <c r="I46" i="13"/>
  <c r="H46" i="13"/>
  <c r="K48" i="14" s="1"/>
  <c r="G46" i="13"/>
  <c r="F46" i="13"/>
  <c r="E46" i="13"/>
  <c r="D46" i="13"/>
  <c r="C46" i="13"/>
  <c r="B46" i="13"/>
  <c r="A46" i="13"/>
  <c r="G45" i="13"/>
  <c r="F45" i="13"/>
  <c r="E45" i="13"/>
  <c r="D45" i="13"/>
  <c r="C45" i="13"/>
  <c r="B45" i="13"/>
  <c r="A45" i="13"/>
  <c r="I44" i="13"/>
  <c r="H44" i="13"/>
  <c r="K46" i="14" s="1"/>
  <c r="G44" i="13"/>
  <c r="F44" i="13"/>
  <c r="J44" i="13" s="1"/>
  <c r="L46" i="14" s="1"/>
  <c r="E44" i="13"/>
  <c r="D44" i="13"/>
  <c r="C44" i="13"/>
  <c r="B44" i="13"/>
  <c r="A44" i="13"/>
  <c r="J43" i="13"/>
  <c r="L45" i="14" s="1"/>
  <c r="I43" i="13"/>
  <c r="G43" i="13"/>
  <c r="F43" i="13"/>
  <c r="H43" i="13" s="1"/>
  <c r="E43" i="13"/>
  <c r="D43" i="13"/>
  <c r="C43" i="13"/>
  <c r="B43" i="13"/>
  <c r="A43" i="13"/>
  <c r="J42" i="13"/>
  <c r="L44" i="14" s="1"/>
  <c r="G42" i="13"/>
  <c r="F42" i="13"/>
  <c r="E42" i="13"/>
  <c r="D42" i="13"/>
  <c r="C42" i="13"/>
  <c r="B42" i="13"/>
  <c r="A42" i="13"/>
  <c r="G41" i="13"/>
  <c r="F41" i="13"/>
  <c r="E41" i="13"/>
  <c r="D41" i="13"/>
  <c r="C41" i="13"/>
  <c r="B41" i="13"/>
  <c r="A41" i="13"/>
  <c r="J40" i="13"/>
  <c r="L42" i="14" s="1"/>
  <c r="G40" i="13"/>
  <c r="F40" i="13"/>
  <c r="E40" i="13"/>
  <c r="D40" i="13"/>
  <c r="C40" i="13"/>
  <c r="B40" i="13"/>
  <c r="A40" i="13"/>
  <c r="G39" i="13"/>
  <c r="F39" i="13"/>
  <c r="E39" i="13"/>
  <c r="D39" i="13"/>
  <c r="C39" i="13"/>
  <c r="B39" i="13"/>
  <c r="A39" i="13"/>
  <c r="H38" i="13"/>
  <c r="K40" i="14" s="1"/>
  <c r="G38" i="13"/>
  <c r="F38" i="13"/>
  <c r="E38" i="13"/>
  <c r="D38" i="13"/>
  <c r="C38" i="13"/>
  <c r="B38" i="13"/>
  <c r="A38" i="13"/>
  <c r="H37" i="13"/>
  <c r="K39" i="14" s="1"/>
  <c r="G37" i="13"/>
  <c r="F37" i="13"/>
  <c r="E37" i="13"/>
  <c r="D37" i="13"/>
  <c r="C37" i="13"/>
  <c r="B37" i="13"/>
  <c r="A37" i="13"/>
  <c r="H36" i="13"/>
  <c r="K38" i="14" s="1"/>
  <c r="G36" i="13"/>
  <c r="F36" i="13"/>
  <c r="E36" i="13"/>
  <c r="D36" i="13"/>
  <c r="C36" i="13"/>
  <c r="B36" i="13"/>
  <c r="A36" i="13"/>
  <c r="J35" i="13"/>
  <c r="L37" i="14" s="1"/>
  <c r="G35" i="13"/>
  <c r="F35" i="13"/>
  <c r="E35" i="13"/>
  <c r="D35" i="13"/>
  <c r="C35" i="13"/>
  <c r="B35" i="13"/>
  <c r="A35" i="13"/>
  <c r="H34" i="13"/>
  <c r="K36" i="14" s="1"/>
  <c r="G34" i="13"/>
  <c r="L34" i="13" s="1"/>
  <c r="F34" i="13"/>
  <c r="E34" i="13"/>
  <c r="D34" i="13"/>
  <c r="C34" i="13"/>
  <c r="B34" i="13"/>
  <c r="A34" i="13"/>
  <c r="J33" i="13"/>
  <c r="L35" i="14" s="1"/>
  <c r="I33" i="13"/>
  <c r="H33" i="13"/>
  <c r="K35" i="14" s="1"/>
  <c r="G33" i="13"/>
  <c r="F33" i="13"/>
  <c r="E33" i="13"/>
  <c r="D33" i="13"/>
  <c r="C33" i="13"/>
  <c r="B33" i="13"/>
  <c r="A33" i="13"/>
  <c r="J32" i="13"/>
  <c r="L34" i="14" s="1"/>
  <c r="G32" i="13"/>
  <c r="F32" i="13"/>
  <c r="I32" i="13" s="1"/>
  <c r="E32" i="13"/>
  <c r="D32" i="13"/>
  <c r="C32" i="13"/>
  <c r="B32" i="13"/>
  <c r="A32" i="13"/>
  <c r="I31" i="13"/>
  <c r="G31" i="13"/>
  <c r="F31" i="13"/>
  <c r="H31" i="13" s="1"/>
  <c r="E31" i="13"/>
  <c r="D31" i="13"/>
  <c r="C31" i="13"/>
  <c r="B31" i="13"/>
  <c r="A31" i="13"/>
  <c r="G30" i="13"/>
  <c r="F30" i="13"/>
  <c r="I30" i="13" s="1"/>
  <c r="E30" i="13"/>
  <c r="D30" i="13"/>
  <c r="C30" i="13"/>
  <c r="B30" i="13"/>
  <c r="A30" i="13"/>
  <c r="J29" i="13"/>
  <c r="L31" i="14" s="1"/>
  <c r="G29" i="13"/>
  <c r="F29" i="13"/>
  <c r="I29" i="13" s="1"/>
  <c r="E29" i="13"/>
  <c r="D29" i="13"/>
  <c r="C29" i="13"/>
  <c r="B29" i="13"/>
  <c r="A29" i="13"/>
  <c r="I28" i="13"/>
  <c r="G28" i="13"/>
  <c r="F28" i="13"/>
  <c r="E28" i="13"/>
  <c r="D28" i="13"/>
  <c r="C28" i="13"/>
  <c r="B28" i="13"/>
  <c r="A28" i="13"/>
  <c r="G27" i="13"/>
  <c r="F27" i="13"/>
  <c r="J27" i="13" s="1"/>
  <c r="L29" i="14" s="1"/>
  <c r="E27" i="13"/>
  <c r="D27" i="13"/>
  <c r="C27" i="13"/>
  <c r="B27" i="13"/>
  <c r="A27" i="13"/>
  <c r="G26" i="13"/>
  <c r="F26" i="13"/>
  <c r="E26" i="13"/>
  <c r="D26" i="13"/>
  <c r="C26" i="13"/>
  <c r="B26" i="13"/>
  <c r="A26" i="13"/>
  <c r="I25" i="13"/>
  <c r="H25" i="13"/>
  <c r="K27" i="14" s="1"/>
  <c r="G25" i="13"/>
  <c r="F25" i="13"/>
  <c r="J25" i="13" s="1"/>
  <c r="L27" i="14" s="1"/>
  <c r="E25" i="13"/>
  <c r="D25" i="13"/>
  <c r="C25" i="13"/>
  <c r="B25" i="13"/>
  <c r="A25" i="13"/>
  <c r="I24" i="13"/>
  <c r="H24" i="13"/>
  <c r="K26" i="14" s="1"/>
  <c r="G24" i="13"/>
  <c r="F24" i="13"/>
  <c r="E24" i="13"/>
  <c r="D24" i="13"/>
  <c r="C24" i="13"/>
  <c r="B24" i="13"/>
  <c r="A24" i="13"/>
  <c r="G23" i="13"/>
  <c r="F23" i="13"/>
  <c r="E23" i="13"/>
  <c r="D23" i="13"/>
  <c r="C23" i="13"/>
  <c r="B23" i="13"/>
  <c r="A23" i="13"/>
  <c r="I22" i="13"/>
  <c r="H22" i="13"/>
  <c r="G22" i="13"/>
  <c r="F22" i="13"/>
  <c r="E22" i="13"/>
  <c r="D22" i="13"/>
  <c r="C22" i="13"/>
  <c r="B22" i="13"/>
  <c r="A22" i="13"/>
  <c r="G21" i="13"/>
  <c r="F21" i="13"/>
  <c r="I21" i="13" s="1"/>
  <c r="E21" i="13"/>
  <c r="D21" i="13"/>
  <c r="C21" i="13"/>
  <c r="B21" i="13"/>
  <c r="A21" i="13"/>
  <c r="I20" i="13"/>
  <c r="G20" i="13"/>
  <c r="F20" i="13"/>
  <c r="H20" i="13" s="1"/>
  <c r="E20" i="13"/>
  <c r="D20" i="13"/>
  <c r="C20" i="13"/>
  <c r="B20" i="13"/>
  <c r="A20" i="13"/>
  <c r="G19" i="13"/>
  <c r="F19" i="13"/>
  <c r="E19" i="13"/>
  <c r="D19" i="13"/>
  <c r="C19" i="13"/>
  <c r="B19" i="13"/>
  <c r="A19" i="13"/>
  <c r="G18" i="13"/>
  <c r="F18" i="13"/>
  <c r="E18" i="13"/>
  <c r="D18" i="13"/>
  <c r="C18" i="13"/>
  <c r="B18" i="13"/>
  <c r="A18" i="13"/>
  <c r="G17" i="13"/>
  <c r="F17" i="13"/>
  <c r="E17" i="13"/>
  <c r="D17" i="13"/>
  <c r="C17" i="13"/>
  <c r="B17" i="13"/>
  <c r="A17" i="13"/>
  <c r="G16" i="13"/>
  <c r="F16" i="13"/>
  <c r="E16" i="13"/>
  <c r="D16" i="13"/>
  <c r="C16" i="13"/>
  <c r="B16" i="13"/>
  <c r="A16" i="13"/>
  <c r="F11" i="13"/>
  <c r="D11" i="13"/>
  <c r="C11" i="13"/>
  <c r="B11" i="13"/>
  <c r="H16" i="13" s="1"/>
  <c r="K18" i="14" s="1"/>
  <c r="F10" i="13"/>
  <c r="E10" i="13"/>
  <c r="D10" i="13"/>
  <c r="C10" i="13"/>
  <c r="B10" i="13"/>
  <c r="F9" i="13"/>
  <c r="D9" i="13"/>
  <c r="C9" i="13"/>
  <c r="B9" i="13"/>
  <c r="E9" i="13" s="1"/>
  <c r="F8" i="13"/>
  <c r="D8" i="13"/>
  <c r="C8" i="13"/>
  <c r="I35" i="13" s="1"/>
  <c r="B8" i="13"/>
  <c r="H35" i="13" s="1"/>
  <c r="K37" i="14" s="1"/>
  <c r="F7" i="13"/>
  <c r="D7" i="13"/>
  <c r="J34" i="13" s="1"/>
  <c r="L36" i="14" s="1"/>
  <c r="C7" i="13"/>
  <c r="B7" i="13"/>
  <c r="F6" i="13"/>
  <c r="D6" i="13"/>
  <c r="C6" i="13"/>
  <c r="B6" i="13"/>
  <c r="E6" i="13" s="1"/>
  <c r="G42" i="12"/>
  <c r="F42" i="12"/>
  <c r="E42" i="12"/>
  <c r="D42" i="12"/>
  <c r="C42" i="12"/>
  <c r="B42" i="12"/>
  <c r="A42" i="12"/>
  <c r="G41" i="12"/>
  <c r="F41" i="12"/>
  <c r="E41" i="12"/>
  <c r="D41" i="12"/>
  <c r="C41" i="12"/>
  <c r="B41" i="12"/>
  <c r="A41" i="12"/>
  <c r="G40" i="12"/>
  <c r="F40" i="12"/>
  <c r="E40" i="12"/>
  <c r="D40" i="12"/>
  <c r="C40" i="12"/>
  <c r="B40" i="12"/>
  <c r="A40" i="12"/>
  <c r="G39" i="12"/>
  <c r="F39" i="12"/>
  <c r="E39" i="12"/>
  <c r="D39" i="12"/>
  <c r="C39" i="12"/>
  <c r="B39" i="12"/>
  <c r="A39" i="12"/>
  <c r="G38" i="12"/>
  <c r="F38" i="12"/>
  <c r="E38" i="12"/>
  <c r="D38" i="12"/>
  <c r="C38" i="12"/>
  <c r="B38" i="12"/>
  <c r="A38" i="12"/>
  <c r="G37" i="12"/>
  <c r="F37" i="12"/>
  <c r="E37" i="12"/>
  <c r="D37" i="12"/>
  <c r="C37" i="12"/>
  <c r="B37" i="12"/>
  <c r="A37" i="12"/>
  <c r="G36" i="12"/>
  <c r="F36" i="12"/>
  <c r="E36" i="12"/>
  <c r="D36" i="12"/>
  <c r="C36" i="12"/>
  <c r="B36" i="12"/>
  <c r="A36" i="12"/>
  <c r="G35" i="12"/>
  <c r="F35" i="12"/>
  <c r="E35" i="12"/>
  <c r="D35" i="12"/>
  <c r="C35" i="12"/>
  <c r="B35" i="12"/>
  <c r="A35" i="12"/>
  <c r="G34" i="12"/>
  <c r="F34" i="12"/>
  <c r="E34" i="12"/>
  <c r="D34" i="12"/>
  <c r="C34" i="12"/>
  <c r="B34" i="12"/>
  <c r="A34" i="12"/>
  <c r="G33" i="12"/>
  <c r="F33" i="12"/>
  <c r="E33" i="12"/>
  <c r="D33" i="12"/>
  <c r="C33" i="12"/>
  <c r="B33" i="12"/>
  <c r="A33" i="12"/>
  <c r="G32" i="12"/>
  <c r="F32" i="12"/>
  <c r="E32" i="12"/>
  <c r="D32" i="12"/>
  <c r="C32" i="12"/>
  <c r="B32" i="12"/>
  <c r="A32" i="12"/>
  <c r="G31" i="12"/>
  <c r="F31" i="12"/>
  <c r="E31" i="12"/>
  <c r="D31" i="12"/>
  <c r="C31" i="12"/>
  <c r="B31" i="12"/>
  <c r="A31" i="12"/>
  <c r="G30" i="12"/>
  <c r="F30" i="12"/>
  <c r="E30" i="12"/>
  <c r="D30" i="12"/>
  <c r="C30" i="12"/>
  <c r="B30" i="12"/>
  <c r="A30" i="12"/>
  <c r="G29" i="12"/>
  <c r="F29" i="12"/>
  <c r="E29" i="12"/>
  <c r="D29" i="12"/>
  <c r="C29" i="12"/>
  <c r="B29" i="12"/>
  <c r="A29" i="12"/>
  <c r="G28" i="12"/>
  <c r="F28" i="12"/>
  <c r="E28" i="12"/>
  <c r="D28" i="12"/>
  <c r="C28" i="12"/>
  <c r="B28" i="12"/>
  <c r="A28" i="12"/>
  <c r="G27" i="12"/>
  <c r="F27" i="12"/>
  <c r="E27" i="12"/>
  <c r="D27" i="12"/>
  <c r="C27" i="12"/>
  <c r="B27" i="12"/>
  <c r="A27" i="12"/>
  <c r="G26" i="12"/>
  <c r="F26" i="12"/>
  <c r="E26" i="12"/>
  <c r="D26" i="12"/>
  <c r="C26" i="12"/>
  <c r="B26" i="12"/>
  <c r="A26" i="12"/>
  <c r="G25" i="12"/>
  <c r="F25" i="12"/>
  <c r="E25" i="12"/>
  <c r="D25" i="12"/>
  <c r="C25" i="12"/>
  <c r="B25" i="12"/>
  <c r="A25" i="12"/>
  <c r="G24" i="12"/>
  <c r="F24" i="12"/>
  <c r="E24" i="12"/>
  <c r="D24" i="12"/>
  <c r="C24" i="12"/>
  <c r="B24" i="12"/>
  <c r="A24" i="12"/>
  <c r="G23" i="12"/>
  <c r="F23" i="12"/>
  <c r="E23" i="12"/>
  <c r="D23" i="12"/>
  <c r="C23" i="12"/>
  <c r="B23" i="12"/>
  <c r="A23" i="12"/>
  <c r="G22" i="12"/>
  <c r="F22" i="12"/>
  <c r="E22" i="12"/>
  <c r="D22" i="12"/>
  <c r="C22" i="12"/>
  <c r="B22" i="12"/>
  <c r="A22" i="12"/>
  <c r="G21" i="12"/>
  <c r="F21" i="12"/>
  <c r="E21" i="12"/>
  <c r="D21" i="12"/>
  <c r="C21" i="12"/>
  <c r="B21" i="12"/>
  <c r="A21" i="12"/>
  <c r="G20" i="12"/>
  <c r="F20" i="12"/>
  <c r="E20" i="12"/>
  <c r="D20" i="12"/>
  <c r="C20" i="12"/>
  <c r="B20" i="12"/>
  <c r="A20" i="12"/>
  <c r="G19" i="12"/>
  <c r="F19" i="12"/>
  <c r="E19" i="12"/>
  <c r="D19" i="12"/>
  <c r="C19" i="12"/>
  <c r="B19" i="12"/>
  <c r="A19" i="12"/>
  <c r="G18" i="12"/>
  <c r="F18" i="12"/>
  <c r="E18" i="12"/>
  <c r="B50" i="12" s="1"/>
  <c r="D18" i="12"/>
  <c r="C18" i="12"/>
  <c r="B18" i="12"/>
  <c r="A18" i="12"/>
  <c r="G17" i="12"/>
  <c r="F17" i="12"/>
  <c r="E17" i="12"/>
  <c r="D17" i="12"/>
  <c r="C17" i="12"/>
  <c r="B17" i="12"/>
  <c r="A17" i="12"/>
  <c r="G16" i="12"/>
  <c r="F16" i="12"/>
  <c r="E16" i="12"/>
  <c r="D16" i="12"/>
  <c r="C16" i="12"/>
  <c r="B16" i="12"/>
  <c r="A16" i="12"/>
  <c r="G15" i="12"/>
  <c r="F15" i="12"/>
  <c r="E15" i="12"/>
  <c r="D15" i="12"/>
  <c r="C15" i="12"/>
  <c r="B15" i="12"/>
  <c r="A15" i="12"/>
  <c r="G14" i="12"/>
  <c r="F14" i="12"/>
  <c r="E14" i="12"/>
  <c r="D14" i="12"/>
  <c r="C14" i="12"/>
  <c r="B14" i="12"/>
  <c r="A14" i="12"/>
  <c r="G13" i="12"/>
  <c r="F13" i="12"/>
  <c r="E13" i="12"/>
  <c r="D13" i="12"/>
  <c r="C13" i="12"/>
  <c r="B13" i="12"/>
  <c r="A13" i="12"/>
  <c r="G12" i="12"/>
  <c r="F12" i="12"/>
  <c r="E12" i="12"/>
  <c r="D12" i="12"/>
  <c r="C12" i="12"/>
  <c r="B12" i="12"/>
  <c r="A12" i="12"/>
  <c r="G11" i="12"/>
  <c r="F11" i="12"/>
  <c r="E11" i="12"/>
  <c r="D11" i="12"/>
  <c r="C11" i="12"/>
  <c r="B11" i="12"/>
  <c r="A11" i="12"/>
  <c r="G10" i="12"/>
  <c r="F10" i="12"/>
  <c r="E10" i="12"/>
  <c r="D10" i="12"/>
  <c r="C10" i="12"/>
  <c r="B10" i="12"/>
  <c r="A10" i="12"/>
  <c r="G9" i="12"/>
  <c r="F9" i="12"/>
  <c r="E9" i="12"/>
  <c r="D9" i="12"/>
  <c r="C9" i="12"/>
  <c r="B9" i="12"/>
  <c r="A9" i="12"/>
  <c r="F41" i="11"/>
  <c r="E6" i="14" s="1"/>
  <c r="M39" i="11"/>
  <c r="L39" i="11"/>
  <c r="J39" i="11"/>
  <c r="E39" i="11"/>
  <c r="D39" i="11"/>
  <c r="C39" i="11"/>
  <c r="B39" i="11"/>
  <c r="A39" i="11"/>
  <c r="M38" i="11"/>
  <c r="L38" i="11"/>
  <c r="J38" i="11"/>
  <c r="E38" i="11"/>
  <c r="D38" i="11"/>
  <c r="C38" i="11"/>
  <c r="B38" i="11"/>
  <c r="A38" i="11"/>
  <c r="M37" i="11"/>
  <c r="L37" i="11"/>
  <c r="J37" i="11"/>
  <c r="E37" i="11"/>
  <c r="D37" i="11"/>
  <c r="C37" i="11"/>
  <c r="B37" i="11"/>
  <c r="A37" i="11"/>
  <c r="M36" i="11"/>
  <c r="L36" i="11"/>
  <c r="J36" i="11"/>
  <c r="E36" i="11"/>
  <c r="D36" i="11"/>
  <c r="C36" i="11"/>
  <c r="B36" i="11"/>
  <c r="A36" i="11"/>
  <c r="M35" i="11"/>
  <c r="L35" i="11"/>
  <c r="J35" i="11"/>
  <c r="E35" i="11"/>
  <c r="D35" i="11"/>
  <c r="C35" i="11"/>
  <c r="B35" i="11"/>
  <c r="A35" i="11"/>
  <c r="M34" i="11"/>
  <c r="L34" i="11"/>
  <c r="J34" i="11"/>
  <c r="E34" i="11"/>
  <c r="D34" i="11"/>
  <c r="C34" i="11"/>
  <c r="B34" i="11"/>
  <c r="A34" i="11"/>
  <c r="M33" i="11"/>
  <c r="L33" i="11"/>
  <c r="J33" i="11"/>
  <c r="E33" i="11"/>
  <c r="D33" i="11"/>
  <c r="C33" i="11"/>
  <c r="B33" i="11"/>
  <c r="A33" i="11"/>
  <c r="M32" i="11"/>
  <c r="L32" i="11"/>
  <c r="J32" i="11"/>
  <c r="E32" i="11"/>
  <c r="D32" i="11"/>
  <c r="C32" i="11"/>
  <c r="B32" i="11"/>
  <c r="A32" i="11"/>
  <c r="M31" i="11"/>
  <c r="L31" i="11"/>
  <c r="J31" i="11"/>
  <c r="E31" i="11"/>
  <c r="D31" i="11"/>
  <c r="C31" i="11"/>
  <c r="B31" i="11"/>
  <c r="A31" i="11"/>
  <c r="M30" i="11"/>
  <c r="L30" i="11"/>
  <c r="J30" i="11"/>
  <c r="E30" i="11"/>
  <c r="D30" i="11"/>
  <c r="C30" i="11"/>
  <c r="B30" i="11"/>
  <c r="A30" i="11"/>
  <c r="M29" i="11"/>
  <c r="L29" i="11"/>
  <c r="J29" i="11"/>
  <c r="E29" i="11"/>
  <c r="D29" i="11"/>
  <c r="C29" i="11"/>
  <c r="B29" i="11"/>
  <c r="A29" i="11"/>
  <c r="M28" i="11"/>
  <c r="L28" i="11"/>
  <c r="J28" i="11"/>
  <c r="E28" i="11"/>
  <c r="D28" i="11"/>
  <c r="C28" i="11"/>
  <c r="B28" i="11"/>
  <c r="A28" i="11"/>
  <c r="M27" i="11"/>
  <c r="L27" i="11"/>
  <c r="J27" i="11"/>
  <c r="E27" i="11"/>
  <c r="D27" i="11"/>
  <c r="C27" i="11"/>
  <c r="B27" i="11"/>
  <c r="A27" i="11"/>
  <c r="M26" i="11"/>
  <c r="L26" i="11"/>
  <c r="J26" i="11"/>
  <c r="E26" i="11"/>
  <c r="D26" i="11"/>
  <c r="C26" i="11"/>
  <c r="B26" i="11"/>
  <c r="A26" i="11"/>
  <c r="M25" i="11"/>
  <c r="L25" i="11"/>
  <c r="J25" i="11"/>
  <c r="E25" i="11"/>
  <c r="D25" i="11"/>
  <c r="C25" i="11"/>
  <c r="B25" i="11"/>
  <c r="A25" i="11"/>
  <c r="M24" i="11"/>
  <c r="L24" i="11"/>
  <c r="J24" i="11"/>
  <c r="E24" i="11"/>
  <c r="D24" i="11"/>
  <c r="C24" i="11"/>
  <c r="B24" i="11"/>
  <c r="A24" i="11"/>
  <c r="M23" i="11"/>
  <c r="L23" i="11"/>
  <c r="J23" i="11"/>
  <c r="E23" i="11"/>
  <c r="D23" i="11"/>
  <c r="C23" i="11"/>
  <c r="B23" i="11"/>
  <c r="A23" i="11"/>
  <c r="M22" i="11"/>
  <c r="L22" i="11"/>
  <c r="J22" i="11"/>
  <c r="E22" i="11"/>
  <c r="D22" i="11"/>
  <c r="C22" i="11"/>
  <c r="B22" i="11"/>
  <c r="A22" i="11"/>
  <c r="M21" i="11"/>
  <c r="L21" i="11"/>
  <c r="J21" i="11"/>
  <c r="E21" i="11"/>
  <c r="D21" i="11"/>
  <c r="C21" i="11"/>
  <c r="B21" i="11"/>
  <c r="A21" i="11"/>
  <c r="M20" i="11"/>
  <c r="L20" i="11"/>
  <c r="J20" i="11"/>
  <c r="E20" i="11"/>
  <c r="D20" i="11"/>
  <c r="C20" i="11"/>
  <c r="B20" i="11"/>
  <c r="A20" i="11"/>
  <c r="M19" i="11"/>
  <c r="L19" i="11"/>
  <c r="J19" i="11"/>
  <c r="E19" i="11"/>
  <c r="D19" i="11"/>
  <c r="C19" i="11"/>
  <c r="B19" i="11"/>
  <c r="A19" i="11"/>
  <c r="M18" i="11"/>
  <c r="L18" i="11"/>
  <c r="J18" i="11"/>
  <c r="E18" i="11"/>
  <c r="D18" i="11"/>
  <c r="C18" i="11"/>
  <c r="B18" i="11"/>
  <c r="A18" i="11"/>
  <c r="M17" i="11"/>
  <c r="L17" i="11"/>
  <c r="J17" i="11"/>
  <c r="E17" i="11"/>
  <c r="D17" i="11"/>
  <c r="C17" i="11"/>
  <c r="B17" i="11"/>
  <c r="A17" i="11"/>
  <c r="M16" i="11"/>
  <c r="L16" i="11"/>
  <c r="J16" i="11"/>
  <c r="E16" i="11"/>
  <c r="D16" i="11"/>
  <c r="C16" i="11"/>
  <c r="B16" i="11"/>
  <c r="A16" i="11"/>
  <c r="M15" i="11"/>
  <c r="L15" i="11"/>
  <c r="J15" i="11"/>
  <c r="E15" i="11"/>
  <c r="D15" i="11"/>
  <c r="C15" i="11"/>
  <c r="B15" i="11"/>
  <c r="A15" i="11"/>
  <c r="M14" i="11"/>
  <c r="L14" i="11"/>
  <c r="J14" i="11"/>
  <c r="E14" i="11"/>
  <c r="D14" i="11"/>
  <c r="C14" i="11"/>
  <c r="B14" i="11"/>
  <c r="A14" i="11"/>
  <c r="M13" i="11"/>
  <c r="L13" i="11"/>
  <c r="J13" i="11"/>
  <c r="E13" i="11"/>
  <c r="D13" i="11"/>
  <c r="C13" i="11"/>
  <c r="B13" i="11"/>
  <c r="A13" i="11"/>
  <c r="M12" i="11"/>
  <c r="L12" i="11"/>
  <c r="J12" i="11"/>
  <c r="E12" i="11"/>
  <c r="D12" i="11"/>
  <c r="C12" i="11"/>
  <c r="B12" i="11"/>
  <c r="A12" i="11"/>
  <c r="M11" i="11"/>
  <c r="L11" i="11"/>
  <c r="J11" i="11"/>
  <c r="E11" i="11"/>
  <c r="D11" i="11"/>
  <c r="C11" i="11"/>
  <c r="B11" i="11"/>
  <c r="A11" i="11"/>
  <c r="M10" i="11"/>
  <c r="L10" i="11"/>
  <c r="J10" i="11"/>
  <c r="E10" i="11"/>
  <c r="D10" i="11"/>
  <c r="C10" i="11"/>
  <c r="B10" i="11"/>
  <c r="A10" i="11"/>
  <c r="M9" i="11"/>
  <c r="L9" i="11"/>
  <c r="J9" i="11"/>
  <c r="E9" i="11"/>
  <c r="D9" i="11"/>
  <c r="C9" i="11"/>
  <c r="B9" i="11"/>
  <c r="A9" i="11"/>
  <c r="M8" i="11"/>
  <c r="L8" i="11"/>
  <c r="J8" i="11"/>
  <c r="E8" i="11"/>
  <c r="D8" i="11"/>
  <c r="C8" i="11"/>
  <c r="B8" i="11"/>
  <c r="A8" i="11"/>
  <c r="M7" i="11"/>
  <c r="L7" i="11"/>
  <c r="J7" i="11"/>
  <c r="E7" i="11"/>
  <c r="D7" i="11"/>
  <c r="C7" i="11"/>
  <c r="B7" i="11"/>
  <c r="A7" i="11"/>
  <c r="M6" i="11"/>
  <c r="L6" i="11"/>
  <c r="J6" i="11"/>
  <c r="E6" i="11"/>
  <c r="D6" i="11"/>
  <c r="C6" i="11"/>
  <c r="B6" i="11"/>
  <c r="A6" i="11"/>
  <c r="R39" i="10"/>
  <c r="Q39" i="10"/>
  <c r="P39" i="10"/>
  <c r="F39" i="10"/>
  <c r="E39" i="10"/>
  <c r="D39" i="10"/>
  <c r="C39" i="10"/>
  <c r="B39" i="10"/>
  <c r="A39" i="10"/>
  <c r="Q38" i="10"/>
  <c r="P38" i="10"/>
  <c r="F38" i="10"/>
  <c r="R38" i="10" s="1"/>
  <c r="E38" i="10"/>
  <c r="D38" i="10"/>
  <c r="C38" i="10"/>
  <c r="B38" i="10"/>
  <c r="A38" i="10"/>
  <c r="F37" i="10"/>
  <c r="P37" i="10" s="1"/>
  <c r="E37" i="10"/>
  <c r="D37" i="10"/>
  <c r="C37" i="10"/>
  <c r="B37" i="10"/>
  <c r="A37" i="10"/>
  <c r="R36" i="10"/>
  <c r="F36" i="10"/>
  <c r="E36" i="10"/>
  <c r="D36" i="10"/>
  <c r="C36" i="10"/>
  <c r="B36" i="10"/>
  <c r="A36" i="10"/>
  <c r="Q35" i="10"/>
  <c r="F35" i="10"/>
  <c r="R35" i="10" s="1"/>
  <c r="E35" i="10"/>
  <c r="D35" i="10"/>
  <c r="C35" i="10"/>
  <c r="B35" i="10"/>
  <c r="A35" i="10"/>
  <c r="F34" i="10"/>
  <c r="Q34" i="10" s="1"/>
  <c r="E34" i="10"/>
  <c r="D34" i="10"/>
  <c r="C34" i="10"/>
  <c r="B34" i="10"/>
  <c r="A34" i="10"/>
  <c r="Q33" i="10"/>
  <c r="F33" i="10"/>
  <c r="E33" i="10"/>
  <c r="D33" i="10"/>
  <c r="C33" i="10"/>
  <c r="B33" i="10"/>
  <c r="A33" i="10"/>
  <c r="F32" i="10"/>
  <c r="Q32" i="10" s="1"/>
  <c r="E32" i="10"/>
  <c r="D32" i="10"/>
  <c r="C32" i="10"/>
  <c r="B32" i="10"/>
  <c r="A32" i="10"/>
  <c r="R31" i="10"/>
  <c r="Q31" i="10"/>
  <c r="F31" i="10"/>
  <c r="P31" i="10" s="1"/>
  <c r="E31" i="10"/>
  <c r="D31" i="10"/>
  <c r="C31" i="10"/>
  <c r="B31" i="10"/>
  <c r="A31" i="10"/>
  <c r="F30" i="10"/>
  <c r="R30" i="10" s="1"/>
  <c r="E30" i="10"/>
  <c r="D30" i="10"/>
  <c r="C30" i="10"/>
  <c r="B30" i="10"/>
  <c r="A30" i="10"/>
  <c r="R29" i="10"/>
  <c r="Q29" i="10"/>
  <c r="F29" i="10"/>
  <c r="P29" i="10" s="1"/>
  <c r="E29" i="10"/>
  <c r="D29" i="10"/>
  <c r="C29" i="10"/>
  <c r="B29" i="10"/>
  <c r="A29" i="10"/>
  <c r="R28" i="10"/>
  <c r="P28" i="10"/>
  <c r="F28" i="10"/>
  <c r="Q28" i="10" s="1"/>
  <c r="E28" i="10"/>
  <c r="D28" i="10"/>
  <c r="C28" i="10"/>
  <c r="B28" i="10"/>
  <c r="A28" i="10"/>
  <c r="R27" i="10"/>
  <c r="Q27" i="10"/>
  <c r="P27" i="10"/>
  <c r="F27" i="10"/>
  <c r="E27" i="10"/>
  <c r="D27" i="10"/>
  <c r="C27" i="10"/>
  <c r="B27" i="10"/>
  <c r="A27" i="10"/>
  <c r="P26" i="10"/>
  <c r="F26" i="10"/>
  <c r="R26" i="10" s="1"/>
  <c r="E26" i="10"/>
  <c r="D26" i="10"/>
  <c r="C26" i="10"/>
  <c r="B26" i="10"/>
  <c r="A26" i="10"/>
  <c r="Q25" i="10"/>
  <c r="P25" i="10"/>
  <c r="F25" i="10"/>
  <c r="R25" i="10" s="1"/>
  <c r="E25" i="10"/>
  <c r="D25" i="10"/>
  <c r="C25" i="10"/>
  <c r="B25" i="10"/>
  <c r="A25" i="10"/>
  <c r="R24" i="10"/>
  <c r="P24" i="10"/>
  <c r="F24" i="10"/>
  <c r="Q24" i="10" s="1"/>
  <c r="E24" i="10"/>
  <c r="D24" i="10"/>
  <c r="C24" i="10"/>
  <c r="B24" i="10"/>
  <c r="A24" i="10"/>
  <c r="R23" i="10"/>
  <c r="Q23" i="10"/>
  <c r="F23" i="10"/>
  <c r="P23" i="10" s="1"/>
  <c r="E23" i="10"/>
  <c r="D23" i="10"/>
  <c r="C23" i="10"/>
  <c r="B23" i="10"/>
  <c r="A23" i="10"/>
  <c r="R22" i="10"/>
  <c r="F22" i="10"/>
  <c r="Q22" i="10" s="1"/>
  <c r="E22" i="10"/>
  <c r="D22" i="10"/>
  <c r="C22" i="10"/>
  <c r="B22" i="10"/>
  <c r="A22" i="10"/>
  <c r="R21" i="10"/>
  <c r="Q21" i="10"/>
  <c r="P21" i="10"/>
  <c r="F21" i="10"/>
  <c r="E21" i="10"/>
  <c r="D21" i="10"/>
  <c r="C21" i="10"/>
  <c r="B21" i="10"/>
  <c r="A21" i="10"/>
  <c r="F20" i="10"/>
  <c r="R20" i="10" s="1"/>
  <c r="E20" i="10"/>
  <c r="D20" i="10"/>
  <c r="C20" i="10"/>
  <c r="B20" i="10"/>
  <c r="A20" i="10"/>
  <c r="P19" i="10"/>
  <c r="F19" i="10"/>
  <c r="R19" i="10" s="1"/>
  <c r="E19" i="10"/>
  <c r="D19" i="10"/>
  <c r="C19" i="10"/>
  <c r="B19" i="10"/>
  <c r="A19" i="10"/>
  <c r="R18" i="10"/>
  <c r="Q18" i="10"/>
  <c r="P18" i="10"/>
  <c r="F18" i="10"/>
  <c r="E18" i="10"/>
  <c r="D18" i="10"/>
  <c r="C18" i="10"/>
  <c r="B18" i="10"/>
  <c r="A18" i="10"/>
  <c r="F17" i="10"/>
  <c r="E17" i="10"/>
  <c r="D17" i="10"/>
  <c r="C17" i="10"/>
  <c r="B17" i="10"/>
  <c r="A17" i="10"/>
  <c r="R16" i="10"/>
  <c r="Q16" i="10"/>
  <c r="P16" i="10"/>
  <c r="F16" i="10"/>
  <c r="E16" i="10"/>
  <c r="D16" i="10"/>
  <c r="C16" i="10"/>
  <c r="B16" i="10"/>
  <c r="A16" i="10"/>
  <c r="P15" i="10"/>
  <c r="F15" i="10"/>
  <c r="R15" i="10" s="1"/>
  <c r="E15" i="10"/>
  <c r="D15" i="10"/>
  <c r="C15" i="10"/>
  <c r="B15" i="10"/>
  <c r="A15" i="10"/>
  <c r="P14" i="10"/>
  <c r="F14" i="10"/>
  <c r="E14" i="10"/>
  <c r="D14" i="10"/>
  <c r="C14" i="10"/>
  <c r="B14" i="10"/>
  <c r="A14" i="10"/>
  <c r="R13" i="10"/>
  <c r="Q13" i="10"/>
  <c r="F13" i="10"/>
  <c r="P13" i="10" s="1"/>
  <c r="E13" i="10"/>
  <c r="D13" i="10"/>
  <c r="C13" i="10"/>
  <c r="B13" i="10"/>
  <c r="A13" i="10"/>
  <c r="F12" i="10"/>
  <c r="E12" i="10"/>
  <c r="D12" i="10"/>
  <c r="C12" i="10"/>
  <c r="B12" i="10"/>
  <c r="A12" i="10"/>
  <c r="Q11" i="10"/>
  <c r="F11" i="10"/>
  <c r="E11" i="10"/>
  <c r="D11" i="10"/>
  <c r="C11" i="10"/>
  <c r="B11" i="10"/>
  <c r="A11" i="10"/>
  <c r="R10" i="10"/>
  <c r="P10" i="10"/>
  <c r="N10" i="10"/>
  <c r="F10" i="10"/>
  <c r="Q10" i="10" s="1"/>
  <c r="E10" i="10"/>
  <c r="D10" i="10"/>
  <c r="C10" i="10"/>
  <c r="B10" i="10"/>
  <c r="A10" i="10"/>
  <c r="F9" i="10"/>
  <c r="P9" i="10" s="1"/>
  <c r="E9" i="10"/>
  <c r="D9" i="10"/>
  <c r="C9" i="10"/>
  <c r="B9" i="10"/>
  <c r="A9" i="10"/>
  <c r="Q8" i="10"/>
  <c r="F8" i="10"/>
  <c r="R8" i="10" s="1"/>
  <c r="E8" i="10"/>
  <c r="D8" i="10"/>
  <c r="C8" i="10"/>
  <c r="B8" i="10"/>
  <c r="A8" i="10"/>
  <c r="P7" i="10"/>
  <c r="F7" i="10"/>
  <c r="R7" i="10" s="1"/>
  <c r="E7" i="10"/>
  <c r="D7" i="10"/>
  <c r="C7" i="10"/>
  <c r="B7" i="10"/>
  <c r="A7" i="10"/>
  <c r="F6" i="10"/>
  <c r="E6" i="10"/>
  <c r="D6" i="10"/>
  <c r="C6" i="10"/>
  <c r="B6" i="10"/>
  <c r="A6" i="10"/>
  <c r="F77" i="8"/>
  <c r="E77" i="8"/>
  <c r="D77" i="8"/>
  <c r="C77" i="8"/>
  <c r="B77" i="8"/>
  <c r="A77" i="8"/>
  <c r="F76" i="8"/>
  <c r="E76" i="8"/>
  <c r="D76" i="8"/>
  <c r="C76" i="8"/>
  <c r="B76" i="8"/>
  <c r="A76" i="8"/>
  <c r="F75" i="8"/>
  <c r="E75" i="8"/>
  <c r="D75" i="8"/>
  <c r="C75" i="8"/>
  <c r="B75" i="8"/>
  <c r="A75" i="8"/>
  <c r="F74" i="8"/>
  <c r="E74" i="8"/>
  <c r="D74" i="8"/>
  <c r="C74" i="8"/>
  <c r="B74" i="8"/>
  <c r="A74" i="8"/>
  <c r="F73" i="8"/>
  <c r="E73" i="8"/>
  <c r="D73" i="8"/>
  <c r="C73" i="8"/>
  <c r="B73" i="8"/>
  <c r="A73" i="8"/>
  <c r="F72" i="8"/>
  <c r="E72" i="8"/>
  <c r="D72" i="8"/>
  <c r="C72" i="8"/>
  <c r="B72" i="8"/>
  <c r="A72" i="8"/>
  <c r="F71" i="8"/>
  <c r="E71" i="8"/>
  <c r="D71" i="8"/>
  <c r="C71" i="8"/>
  <c r="B71" i="8"/>
  <c r="A71" i="8"/>
  <c r="F70" i="8"/>
  <c r="E70" i="8"/>
  <c r="D70" i="8"/>
  <c r="C70" i="8"/>
  <c r="B70" i="8"/>
  <c r="A70" i="8"/>
  <c r="F69" i="8"/>
  <c r="E69" i="8"/>
  <c r="D69" i="8"/>
  <c r="C69" i="8"/>
  <c r="B69" i="8"/>
  <c r="A69" i="8"/>
  <c r="F68" i="8"/>
  <c r="E68" i="8"/>
  <c r="D68" i="8"/>
  <c r="C68" i="8"/>
  <c r="B68" i="8"/>
  <c r="A68" i="8"/>
  <c r="F67" i="8"/>
  <c r="E67" i="8"/>
  <c r="D67" i="8"/>
  <c r="C67" i="8"/>
  <c r="B67" i="8"/>
  <c r="A67" i="8"/>
  <c r="F66" i="8"/>
  <c r="E66" i="8"/>
  <c r="D66" i="8"/>
  <c r="C66" i="8"/>
  <c r="B66" i="8"/>
  <c r="A66" i="8"/>
  <c r="F65" i="8"/>
  <c r="E65" i="8"/>
  <c r="D65" i="8"/>
  <c r="C65" i="8"/>
  <c r="B65" i="8"/>
  <c r="A65" i="8"/>
  <c r="F64" i="8"/>
  <c r="E64" i="8"/>
  <c r="D64" i="8"/>
  <c r="C64" i="8"/>
  <c r="B64" i="8"/>
  <c r="A64" i="8"/>
  <c r="F63" i="8"/>
  <c r="E63" i="8"/>
  <c r="D63" i="8"/>
  <c r="C63" i="8"/>
  <c r="B63" i="8"/>
  <c r="A63" i="8"/>
  <c r="F62" i="8"/>
  <c r="E62" i="8"/>
  <c r="D62" i="8"/>
  <c r="C62" i="8"/>
  <c r="B62" i="8"/>
  <c r="A62" i="8"/>
  <c r="F61" i="8"/>
  <c r="E61" i="8"/>
  <c r="D61" i="8"/>
  <c r="C61" i="8"/>
  <c r="B61" i="8"/>
  <c r="A61" i="8"/>
  <c r="F60" i="8"/>
  <c r="E60" i="8"/>
  <c r="D60" i="8"/>
  <c r="C60" i="8"/>
  <c r="B60" i="8"/>
  <c r="A60" i="8"/>
  <c r="F59" i="8"/>
  <c r="E59" i="8"/>
  <c r="D59" i="8"/>
  <c r="C59" i="8"/>
  <c r="B59" i="8"/>
  <c r="A59" i="8"/>
  <c r="F58" i="8"/>
  <c r="E58" i="8"/>
  <c r="D58" i="8"/>
  <c r="C58" i="8"/>
  <c r="B58" i="8"/>
  <c r="A58" i="8"/>
  <c r="F57" i="8"/>
  <c r="E57" i="8"/>
  <c r="D57" i="8"/>
  <c r="C57" i="8"/>
  <c r="B57" i="8"/>
  <c r="A57" i="8"/>
  <c r="F56" i="8"/>
  <c r="E56" i="8"/>
  <c r="D56" i="8"/>
  <c r="C56" i="8"/>
  <c r="B56" i="8"/>
  <c r="A56" i="8"/>
  <c r="F55" i="8"/>
  <c r="E55" i="8"/>
  <c r="D55" i="8"/>
  <c r="C55" i="8"/>
  <c r="B55" i="8"/>
  <c r="A55" i="8"/>
  <c r="F54" i="8"/>
  <c r="E54" i="8"/>
  <c r="D54" i="8"/>
  <c r="C54" i="8"/>
  <c r="B54" i="8"/>
  <c r="A54" i="8"/>
  <c r="F53" i="8"/>
  <c r="E53" i="8"/>
  <c r="D53" i="8"/>
  <c r="C53" i="8"/>
  <c r="B53" i="8"/>
  <c r="A53" i="8"/>
  <c r="F52" i="8"/>
  <c r="E52" i="8"/>
  <c r="D52" i="8"/>
  <c r="C52" i="8"/>
  <c r="B52" i="8"/>
  <c r="A52" i="8"/>
  <c r="F51" i="8"/>
  <c r="E51" i="8"/>
  <c r="D51" i="8"/>
  <c r="C51" i="8"/>
  <c r="B51" i="8"/>
  <c r="A51" i="8"/>
  <c r="F50" i="8"/>
  <c r="E50" i="8"/>
  <c r="D50" i="8"/>
  <c r="C50" i="8"/>
  <c r="B50" i="8"/>
  <c r="A50" i="8"/>
  <c r="F49" i="8"/>
  <c r="E49" i="8"/>
  <c r="D49" i="8"/>
  <c r="C49" i="8"/>
  <c r="B49" i="8"/>
  <c r="A49" i="8"/>
  <c r="F48" i="8"/>
  <c r="E48" i="8"/>
  <c r="D48" i="8"/>
  <c r="C48" i="8"/>
  <c r="B48" i="8"/>
  <c r="A48" i="8"/>
  <c r="F47" i="8"/>
  <c r="E47" i="8"/>
  <c r="D47" i="8"/>
  <c r="C47" i="8"/>
  <c r="B47" i="8"/>
  <c r="A47" i="8"/>
  <c r="F46" i="8"/>
  <c r="E46" i="8"/>
  <c r="D46" i="8"/>
  <c r="C46" i="8"/>
  <c r="B46" i="8"/>
  <c r="A46" i="8"/>
  <c r="F45" i="8"/>
  <c r="E45" i="8"/>
  <c r="D45" i="8"/>
  <c r="C45" i="8"/>
  <c r="B45" i="8"/>
  <c r="A45" i="8"/>
  <c r="F44" i="8"/>
  <c r="E44" i="8"/>
  <c r="D44" i="8"/>
  <c r="C44" i="8"/>
  <c r="B44" i="8"/>
  <c r="A44" i="8"/>
  <c r="F39" i="8"/>
  <c r="E39" i="8"/>
  <c r="D39" i="8"/>
  <c r="C39" i="8"/>
  <c r="B39" i="8"/>
  <c r="A39" i="8"/>
  <c r="F38" i="8"/>
  <c r="E38" i="8"/>
  <c r="D38" i="8"/>
  <c r="C38" i="8"/>
  <c r="B38" i="8"/>
  <c r="A38" i="8"/>
  <c r="F37" i="8"/>
  <c r="E37" i="8"/>
  <c r="D37" i="8"/>
  <c r="C37" i="8"/>
  <c r="B37" i="8"/>
  <c r="A37" i="8"/>
  <c r="F36" i="8"/>
  <c r="E36" i="8"/>
  <c r="D36" i="8"/>
  <c r="C36" i="8"/>
  <c r="B36" i="8"/>
  <c r="A36" i="8"/>
  <c r="F35" i="8"/>
  <c r="E35" i="8"/>
  <c r="D35" i="8"/>
  <c r="C35" i="8"/>
  <c r="B35" i="8"/>
  <c r="A35" i="8"/>
  <c r="F34" i="8"/>
  <c r="E34" i="8"/>
  <c r="D34" i="8"/>
  <c r="C34" i="8"/>
  <c r="B34" i="8"/>
  <c r="A34" i="8"/>
  <c r="F33" i="8"/>
  <c r="E33" i="8"/>
  <c r="D33" i="8"/>
  <c r="C33" i="8"/>
  <c r="B33" i="8"/>
  <c r="A33" i="8"/>
  <c r="F32" i="8"/>
  <c r="E32" i="8"/>
  <c r="D32" i="8"/>
  <c r="C32" i="8"/>
  <c r="B32" i="8"/>
  <c r="A32" i="8"/>
  <c r="F31" i="8"/>
  <c r="E31" i="8"/>
  <c r="D31" i="8"/>
  <c r="C31" i="8"/>
  <c r="B31" i="8"/>
  <c r="A31" i="8"/>
  <c r="F30" i="8"/>
  <c r="E30" i="8"/>
  <c r="D30" i="8"/>
  <c r="C30" i="8"/>
  <c r="B30" i="8"/>
  <c r="A30" i="8"/>
  <c r="F29" i="8"/>
  <c r="E29" i="8"/>
  <c r="D29" i="8"/>
  <c r="C29" i="8"/>
  <c r="B29" i="8"/>
  <c r="A29" i="8"/>
  <c r="F28" i="8"/>
  <c r="E28" i="8"/>
  <c r="D28" i="8"/>
  <c r="C28" i="8"/>
  <c r="B28" i="8"/>
  <c r="A28" i="8"/>
  <c r="F27" i="8"/>
  <c r="E27" i="8"/>
  <c r="D27" i="8"/>
  <c r="C27" i="8"/>
  <c r="B27" i="8"/>
  <c r="A27" i="8"/>
  <c r="F26" i="8"/>
  <c r="E26" i="8"/>
  <c r="D26" i="8"/>
  <c r="C26" i="8"/>
  <c r="B26" i="8"/>
  <c r="A26" i="8"/>
  <c r="F25" i="8"/>
  <c r="E25" i="8"/>
  <c r="D25" i="8"/>
  <c r="C25" i="8"/>
  <c r="B25" i="8"/>
  <c r="A25" i="8"/>
  <c r="F24" i="8"/>
  <c r="E24" i="8"/>
  <c r="D24" i="8"/>
  <c r="C24" i="8"/>
  <c r="B24" i="8"/>
  <c r="A24" i="8"/>
  <c r="F23" i="8"/>
  <c r="E23" i="8"/>
  <c r="D23" i="8"/>
  <c r="C23" i="8"/>
  <c r="B23" i="8"/>
  <c r="A23" i="8"/>
  <c r="F22" i="8"/>
  <c r="E22" i="8"/>
  <c r="D22" i="8"/>
  <c r="C22" i="8"/>
  <c r="B22" i="8"/>
  <c r="A22" i="8"/>
  <c r="F21" i="8"/>
  <c r="E21" i="8"/>
  <c r="D21" i="8"/>
  <c r="C21" i="8"/>
  <c r="B21" i="8"/>
  <c r="A21" i="8"/>
  <c r="F20" i="8"/>
  <c r="E20" i="8"/>
  <c r="D20" i="8"/>
  <c r="C20" i="8"/>
  <c r="B20" i="8"/>
  <c r="A20" i="8"/>
  <c r="F19" i="8"/>
  <c r="E19" i="8"/>
  <c r="D19" i="8"/>
  <c r="C19" i="8"/>
  <c r="B19" i="8"/>
  <c r="A19" i="8"/>
  <c r="F18" i="8"/>
  <c r="E18" i="8"/>
  <c r="D18" i="8"/>
  <c r="C18" i="8"/>
  <c r="B18" i="8"/>
  <c r="A18" i="8"/>
  <c r="F17" i="8"/>
  <c r="E17" i="8"/>
  <c r="D17" i="8"/>
  <c r="C17" i="8"/>
  <c r="B17" i="8"/>
  <c r="A17" i="8"/>
  <c r="F16" i="8"/>
  <c r="E16" i="8"/>
  <c r="D16" i="8"/>
  <c r="C16" i="8"/>
  <c r="B16" i="8"/>
  <c r="A16" i="8"/>
  <c r="F15" i="8"/>
  <c r="E15" i="8"/>
  <c r="D15" i="8"/>
  <c r="C15" i="8"/>
  <c r="B15" i="8"/>
  <c r="A15" i="8"/>
  <c r="F14" i="8"/>
  <c r="E14" i="8"/>
  <c r="D14" i="8"/>
  <c r="C14" i="8"/>
  <c r="B14" i="8"/>
  <c r="A14" i="8"/>
  <c r="F13" i="8"/>
  <c r="E13" i="8"/>
  <c r="D13" i="8"/>
  <c r="C13" i="8"/>
  <c r="B13" i="8"/>
  <c r="A13" i="8"/>
  <c r="F12" i="8"/>
  <c r="E12" i="8"/>
  <c r="D12" i="8"/>
  <c r="C12" i="8"/>
  <c r="B12" i="8"/>
  <c r="A12" i="8"/>
  <c r="F11" i="8"/>
  <c r="E11" i="8"/>
  <c r="D11" i="8"/>
  <c r="C11" i="8"/>
  <c r="B11" i="8"/>
  <c r="A11" i="8"/>
  <c r="F10" i="8"/>
  <c r="E10" i="8"/>
  <c r="D10" i="8"/>
  <c r="C10" i="8"/>
  <c r="B10" i="8"/>
  <c r="A10" i="8"/>
  <c r="F9" i="8"/>
  <c r="E9" i="8"/>
  <c r="D9" i="8"/>
  <c r="C9" i="8"/>
  <c r="B9" i="8"/>
  <c r="A9" i="8"/>
  <c r="F8" i="8"/>
  <c r="E8" i="8"/>
  <c r="D8" i="8"/>
  <c r="C8" i="8"/>
  <c r="B8" i="8"/>
  <c r="A8" i="8"/>
  <c r="F7" i="8"/>
  <c r="E7" i="8"/>
  <c r="D7" i="8"/>
  <c r="C7" i="8"/>
  <c r="B7" i="8"/>
  <c r="A7" i="8"/>
  <c r="F6" i="8"/>
  <c r="E6" i="8"/>
  <c r="D6" i="8"/>
  <c r="C6" i="8"/>
  <c r="B6" i="8"/>
  <c r="A6" i="8"/>
  <c r="I77" i="7"/>
  <c r="J77" i="7" s="1"/>
  <c r="N39" i="10" s="1"/>
  <c r="H77" i="7"/>
  <c r="E77" i="7"/>
  <c r="D77" i="7"/>
  <c r="F77" i="7" s="1"/>
  <c r="C77" i="7"/>
  <c r="B77" i="7"/>
  <c r="A77" i="7"/>
  <c r="I76" i="7"/>
  <c r="J76" i="7" s="1"/>
  <c r="N38" i="10" s="1"/>
  <c r="H76" i="7"/>
  <c r="F76" i="7"/>
  <c r="E76" i="7"/>
  <c r="D76" i="7"/>
  <c r="C76" i="7"/>
  <c r="B76" i="7"/>
  <c r="A76" i="7"/>
  <c r="I75" i="7"/>
  <c r="J75" i="7" s="1"/>
  <c r="H75" i="7"/>
  <c r="E75" i="7"/>
  <c r="D75" i="7"/>
  <c r="F75" i="7" s="1"/>
  <c r="C75" i="7"/>
  <c r="B75" i="7"/>
  <c r="A75" i="7"/>
  <c r="I74" i="7"/>
  <c r="J74" i="7" s="1"/>
  <c r="K74" i="7" s="1"/>
  <c r="H74" i="7"/>
  <c r="E74" i="7"/>
  <c r="D74" i="7"/>
  <c r="F74" i="7" s="1"/>
  <c r="C74" i="7"/>
  <c r="B74" i="7"/>
  <c r="A74" i="7"/>
  <c r="I73" i="7"/>
  <c r="J73" i="7" s="1"/>
  <c r="H73" i="7"/>
  <c r="F73" i="7"/>
  <c r="E73" i="7"/>
  <c r="D73" i="7"/>
  <c r="C73" i="7"/>
  <c r="B73" i="7"/>
  <c r="A73" i="7"/>
  <c r="I72" i="7"/>
  <c r="J72" i="7" s="1"/>
  <c r="H72" i="7"/>
  <c r="F72" i="7"/>
  <c r="E72" i="7"/>
  <c r="D72" i="7"/>
  <c r="C72" i="7"/>
  <c r="B72" i="7"/>
  <c r="A72" i="7"/>
  <c r="I71" i="7"/>
  <c r="J71" i="7" s="1"/>
  <c r="H71" i="7"/>
  <c r="E71" i="7"/>
  <c r="D71" i="7"/>
  <c r="F71" i="7" s="1"/>
  <c r="C71" i="7"/>
  <c r="B71" i="7"/>
  <c r="A71" i="7"/>
  <c r="I70" i="7"/>
  <c r="J70" i="7" s="1"/>
  <c r="H70" i="7"/>
  <c r="E70" i="7"/>
  <c r="D70" i="7"/>
  <c r="F70" i="7" s="1"/>
  <c r="C70" i="7"/>
  <c r="B70" i="7"/>
  <c r="A70" i="7"/>
  <c r="I69" i="7"/>
  <c r="J69" i="7" s="1"/>
  <c r="N31" i="10" s="1"/>
  <c r="H69" i="7"/>
  <c r="E69" i="7"/>
  <c r="D69" i="7"/>
  <c r="F69" i="7" s="1"/>
  <c r="C69" i="7"/>
  <c r="B69" i="7"/>
  <c r="A69" i="7"/>
  <c r="I68" i="7"/>
  <c r="J68" i="7" s="1"/>
  <c r="H68" i="7"/>
  <c r="F68" i="7"/>
  <c r="E68" i="7"/>
  <c r="D68" i="7"/>
  <c r="C68" i="7"/>
  <c r="B68" i="7"/>
  <c r="A68" i="7"/>
  <c r="I67" i="7"/>
  <c r="J67" i="7" s="1"/>
  <c r="H67" i="7"/>
  <c r="F67" i="7"/>
  <c r="E67" i="7"/>
  <c r="D67" i="7"/>
  <c r="C67" i="7"/>
  <c r="B67" i="7"/>
  <c r="A67" i="7"/>
  <c r="I66" i="7"/>
  <c r="J66" i="7" s="1"/>
  <c r="H66" i="7"/>
  <c r="E66" i="7"/>
  <c r="D66" i="7"/>
  <c r="F66" i="7" s="1"/>
  <c r="C66" i="7"/>
  <c r="B66" i="7"/>
  <c r="A66" i="7"/>
  <c r="I65" i="7"/>
  <c r="J65" i="7" s="1"/>
  <c r="N27" i="10" s="1"/>
  <c r="H65" i="7"/>
  <c r="F65" i="7"/>
  <c r="E65" i="7"/>
  <c r="D65" i="7"/>
  <c r="C65" i="7"/>
  <c r="B65" i="7"/>
  <c r="A65" i="7"/>
  <c r="I64" i="7"/>
  <c r="J64" i="7" s="1"/>
  <c r="H64" i="7"/>
  <c r="E64" i="7"/>
  <c r="D64" i="7"/>
  <c r="F64" i="7" s="1"/>
  <c r="C64" i="7"/>
  <c r="B64" i="7"/>
  <c r="A64" i="7"/>
  <c r="I63" i="7"/>
  <c r="J63" i="7" s="1"/>
  <c r="H63" i="7"/>
  <c r="E63" i="7"/>
  <c r="D63" i="7"/>
  <c r="F63" i="7" s="1"/>
  <c r="C63" i="7"/>
  <c r="B63" i="7"/>
  <c r="A63" i="7"/>
  <c r="I62" i="7"/>
  <c r="J62" i="7" s="1"/>
  <c r="H62" i="7"/>
  <c r="F62" i="7"/>
  <c r="E62" i="7"/>
  <c r="D62" i="7"/>
  <c r="C62" i="7"/>
  <c r="B62" i="7"/>
  <c r="A62" i="7"/>
  <c r="I61" i="7"/>
  <c r="J61" i="7" s="1"/>
  <c r="H61" i="7"/>
  <c r="F61" i="7"/>
  <c r="E61" i="7"/>
  <c r="D61" i="7"/>
  <c r="C61" i="7"/>
  <c r="B61" i="7"/>
  <c r="A61" i="7"/>
  <c r="I60" i="7"/>
  <c r="J60" i="7" s="1"/>
  <c r="H60" i="7"/>
  <c r="E60" i="7"/>
  <c r="D60" i="7"/>
  <c r="F60" i="7" s="1"/>
  <c r="C60" i="7"/>
  <c r="B60" i="7"/>
  <c r="A60" i="7"/>
  <c r="I59" i="7"/>
  <c r="J59" i="7" s="1"/>
  <c r="H59" i="7"/>
  <c r="E59" i="7"/>
  <c r="D59" i="7"/>
  <c r="F59" i="7" s="1"/>
  <c r="C59" i="7"/>
  <c r="B59" i="7"/>
  <c r="A59" i="7"/>
  <c r="I58" i="7"/>
  <c r="J58" i="7" s="1"/>
  <c r="N20" i="10" s="1"/>
  <c r="H58" i="7"/>
  <c r="E58" i="7"/>
  <c r="D58" i="7"/>
  <c r="F58" i="7" s="1"/>
  <c r="C58" i="7"/>
  <c r="B58" i="7"/>
  <c r="A58" i="7"/>
  <c r="I57" i="7"/>
  <c r="J57" i="7" s="1"/>
  <c r="K57" i="7" s="1"/>
  <c r="H57" i="7"/>
  <c r="F57" i="7"/>
  <c r="E57" i="7"/>
  <c r="D57" i="7"/>
  <c r="C57" i="7"/>
  <c r="B57" i="7"/>
  <c r="A57" i="7"/>
  <c r="I56" i="7"/>
  <c r="J56" i="7" s="1"/>
  <c r="H56" i="7"/>
  <c r="F56" i="7"/>
  <c r="E56" i="7"/>
  <c r="D56" i="7"/>
  <c r="C56" i="7"/>
  <c r="B56" i="7"/>
  <c r="A56" i="7"/>
  <c r="I55" i="7"/>
  <c r="J55" i="7" s="1"/>
  <c r="H55" i="7"/>
  <c r="E55" i="7"/>
  <c r="D55" i="7"/>
  <c r="F55" i="7" s="1"/>
  <c r="C55" i="7"/>
  <c r="B55" i="7"/>
  <c r="A55" i="7"/>
  <c r="I54" i="7"/>
  <c r="J54" i="7" s="1"/>
  <c r="N16" i="10" s="1"/>
  <c r="H54" i="7"/>
  <c r="F54" i="7"/>
  <c r="E54" i="7"/>
  <c r="D54" i="7"/>
  <c r="C54" i="7"/>
  <c r="B54" i="7"/>
  <c r="A54" i="7"/>
  <c r="I53" i="7"/>
  <c r="J53" i="7" s="1"/>
  <c r="H53" i="7"/>
  <c r="E53" i="7"/>
  <c r="D53" i="7"/>
  <c r="F53" i="7" s="1"/>
  <c r="C53" i="7"/>
  <c r="B53" i="7"/>
  <c r="A53" i="7"/>
  <c r="I52" i="7"/>
  <c r="J52" i="7" s="1"/>
  <c r="K52" i="7" s="1"/>
  <c r="H52" i="7"/>
  <c r="E52" i="7"/>
  <c r="D52" i="7"/>
  <c r="F52" i="7" s="1"/>
  <c r="C52" i="7"/>
  <c r="B52" i="7"/>
  <c r="A52" i="7"/>
  <c r="I51" i="7"/>
  <c r="J51" i="7" s="1"/>
  <c r="H51" i="7"/>
  <c r="F51" i="7"/>
  <c r="E51" i="7"/>
  <c r="D51" i="7"/>
  <c r="C51" i="7"/>
  <c r="B51" i="7"/>
  <c r="A51" i="7"/>
  <c r="I50" i="7"/>
  <c r="J50" i="7" s="1"/>
  <c r="N12" i="10" s="1"/>
  <c r="H50" i="7"/>
  <c r="F50" i="7"/>
  <c r="E50" i="7"/>
  <c r="D50" i="7"/>
  <c r="C50" i="7"/>
  <c r="B50" i="7"/>
  <c r="A50" i="7"/>
  <c r="K49" i="7"/>
  <c r="I49" i="7"/>
  <c r="J49" i="7" s="1"/>
  <c r="N11" i="10" s="1"/>
  <c r="H49" i="7"/>
  <c r="E49" i="7"/>
  <c r="D49" i="7"/>
  <c r="F49" i="7" s="1"/>
  <c r="C49" i="7"/>
  <c r="B49" i="7"/>
  <c r="A49" i="7"/>
  <c r="J48" i="7"/>
  <c r="K48" i="7" s="1"/>
  <c r="I48" i="7"/>
  <c r="H48" i="7"/>
  <c r="E48" i="7"/>
  <c r="D48" i="7"/>
  <c r="F48" i="7" s="1"/>
  <c r="C48" i="7"/>
  <c r="B48" i="7"/>
  <c r="A48" i="7"/>
  <c r="I47" i="7"/>
  <c r="J47" i="7" s="1"/>
  <c r="N9" i="10" s="1"/>
  <c r="H47" i="7"/>
  <c r="E47" i="7"/>
  <c r="D47" i="7"/>
  <c r="F47" i="7" s="1"/>
  <c r="C47" i="7"/>
  <c r="B47" i="7"/>
  <c r="A47" i="7"/>
  <c r="I46" i="7"/>
  <c r="J46" i="7" s="1"/>
  <c r="H46" i="7"/>
  <c r="F46" i="7"/>
  <c r="E46" i="7"/>
  <c r="D46" i="7"/>
  <c r="C46" i="7"/>
  <c r="B46" i="7"/>
  <c r="A46" i="7"/>
  <c r="I45" i="7"/>
  <c r="J45" i="7" s="1"/>
  <c r="H45" i="7"/>
  <c r="F45" i="7"/>
  <c r="E45" i="7"/>
  <c r="D45" i="7"/>
  <c r="C45" i="7"/>
  <c r="B45" i="7"/>
  <c r="A45" i="7"/>
  <c r="I44" i="7"/>
  <c r="J44" i="7" s="1"/>
  <c r="H44" i="7"/>
  <c r="E44" i="7"/>
  <c r="D44" i="7"/>
  <c r="F44" i="7" s="1"/>
  <c r="C44" i="7"/>
  <c r="B44" i="7"/>
  <c r="A44" i="7"/>
  <c r="I39" i="7"/>
  <c r="J39" i="7" s="1"/>
  <c r="M39" i="10" s="1"/>
  <c r="O39" i="10" s="1"/>
  <c r="H39" i="7"/>
  <c r="E39" i="7"/>
  <c r="D39" i="7"/>
  <c r="F39" i="7" s="1"/>
  <c r="C39" i="7"/>
  <c r="B39" i="7"/>
  <c r="A39" i="7"/>
  <c r="I38" i="7"/>
  <c r="J38" i="7" s="1"/>
  <c r="H38" i="7"/>
  <c r="E38" i="7"/>
  <c r="D38" i="7"/>
  <c r="F38" i="7" s="1"/>
  <c r="C38" i="7"/>
  <c r="B38" i="7"/>
  <c r="A38" i="7"/>
  <c r="I37" i="7"/>
  <c r="J37" i="7" s="1"/>
  <c r="H37" i="7"/>
  <c r="E37" i="7"/>
  <c r="D37" i="7"/>
  <c r="F37" i="7" s="1"/>
  <c r="C37" i="7"/>
  <c r="B37" i="7"/>
  <c r="A37" i="7"/>
  <c r="I36" i="7"/>
  <c r="J36" i="7" s="1"/>
  <c r="H36" i="7"/>
  <c r="F36" i="7"/>
  <c r="E36" i="7"/>
  <c r="D36" i="7"/>
  <c r="C36" i="7"/>
  <c r="B36" i="7"/>
  <c r="A36" i="7"/>
  <c r="I35" i="7"/>
  <c r="J35" i="7" s="1"/>
  <c r="H35" i="7"/>
  <c r="F35" i="7"/>
  <c r="E35" i="7"/>
  <c r="D35" i="7"/>
  <c r="C35" i="7"/>
  <c r="B35" i="7"/>
  <c r="A35" i="7"/>
  <c r="I34" i="7"/>
  <c r="J34" i="7" s="1"/>
  <c r="M34" i="10" s="1"/>
  <c r="H34" i="7"/>
  <c r="E34" i="7"/>
  <c r="D34" i="7"/>
  <c r="F34" i="7" s="1"/>
  <c r="C34" i="7"/>
  <c r="B34" i="7"/>
  <c r="A34" i="7"/>
  <c r="I33" i="7"/>
  <c r="J33" i="7" s="1"/>
  <c r="H33" i="7"/>
  <c r="E33" i="7"/>
  <c r="D33" i="7"/>
  <c r="F33" i="7" s="1"/>
  <c r="C33" i="7"/>
  <c r="B33" i="7"/>
  <c r="A33" i="7"/>
  <c r="I32" i="7"/>
  <c r="J32" i="7" s="1"/>
  <c r="M32" i="10" s="1"/>
  <c r="H32" i="7"/>
  <c r="E32" i="7"/>
  <c r="D32" i="7"/>
  <c r="F32" i="7" s="1"/>
  <c r="C32" i="7"/>
  <c r="B32" i="7"/>
  <c r="A32" i="7"/>
  <c r="J31" i="7"/>
  <c r="K31" i="7" s="1"/>
  <c r="I31" i="7"/>
  <c r="H31" i="7"/>
  <c r="F31" i="7"/>
  <c r="E31" i="7"/>
  <c r="D31" i="7"/>
  <c r="C31" i="7"/>
  <c r="B31" i="7"/>
  <c r="A31" i="7"/>
  <c r="I30" i="7"/>
  <c r="J30" i="7" s="1"/>
  <c r="H30" i="7"/>
  <c r="F30" i="7"/>
  <c r="E30" i="7"/>
  <c r="D30" i="7"/>
  <c r="C30" i="7"/>
  <c r="B30" i="7"/>
  <c r="A30" i="7"/>
  <c r="I29" i="7"/>
  <c r="J29" i="7" s="1"/>
  <c r="M29" i="10" s="1"/>
  <c r="H29" i="7"/>
  <c r="E29" i="7"/>
  <c r="D29" i="7"/>
  <c r="F29" i="7" s="1"/>
  <c r="C29" i="7"/>
  <c r="B29" i="7"/>
  <c r="A29" i="7"/>
  <c r="I28" i="7"/>
  <c r="J28" i="7" s="1"/>
  <c r="M28" i="10" s="1"/>
  <c r="H28" i="7"/>
  <c r="E28" i="7"/>
  <c r="D28" i="7"/>
  <c r="F28" i="7" s="1"/>
  <c r="C28" i="7"/>
  <c r="B28" i="7"/>
  <c r="A28" i="7"/>
  <c r="I27" i="7"/>
  <c r="J27" i="7" s="1"/>
  <c r="H27" i="7"/>
  <c r="E27" i="7"/>
  <c r="D27" i="7"/>
  <c r="F27" i="7" s="1"/>
  <c r="C27" i="7"/>
  <c r="B27" i="7"/>
  <c r="A27" i="7"/>
  <c r="I26" i="7"/>
  <c r="J26" i="7" s="1"/>
  <c r="K26" i="7" s="1"/>
  <c r="H26" i="7"/>
  <c r="E26" i="7"/>
  <c r="D26" i="7"/>
  <c r="F26" i="7" s="1"/>
  <c r="C26" i="7"/>
  <c r="B26" i="7"/>
  <c r="A26" i="7"/>
  <c r="I25" i="7"/>
  <c r="J25" i="7" s="1"/>
  <c r="H25" i="7"/>
  <c r="F25" i="7"/>
  <c r="E25" i="7"/>
  <c r="D25" i="7"/>
  <c r="C25" i="7"/>
  <c r="B25" i="7"/>
  <c r="A25" i="7"/>
  <c r="J24" i="7"/>
  <c r="M24" i="10" s="1"/>
  <c r="I24" i="7"/>
  <c r="H24" i="7"/>
  <c r="F24" i="7"/>
  <c r="E24" i="7"/>
  <c r="D24" i="7"/>
  <c r="C24" i="7"/>
  <c r="B24" i="7"/>
  <c r="A24" i="7"/>
  <c r="I23" i="7"/>
  <c r="J23" i="7" s="1"/>
  <c r="M23" i="10" s="1"/>
  <c r="H23" i="7"/>
  <c r="E23" i="7"/>
  <c r="D23" i="7"/>
  <c r="F23" i="7" s="1"/>
  <c r="C23" i="7"/>
  <c r="B23" i="7"/>
  <c r="A23" i="7"/>
  <c r="I22" i="7"/>
  <c r="J22" i="7" s="1"/>
  <c r="H22" i="7"/>
  <c r="E22" i="7"/>
  <c r="D22" i="7"/>
  <c r="F22" i="7" s="1"/>
  <c r="C22" i="7"/>
  <c r="B22" i="7"/>
  <c r="A22" i="7"/>
  <c r="I21" i="7"/>
  <c r="J21" i="7" s="1"/>
  <c r="M21" i="10" s="1"/>
  <c r="H21" i="7"/>
  <c r="E21" i="7"/>
  <c r="D21" i="7"/>
  <c r="F21" i="7" s="1"/>
  <c r="C21" i="7"/>
  <c r="B21" i="7"/>
  <c r="A21" i="7"/>
  <c r="I20" i="7"/>
  <c r="J20" i="7" s="1"/>
  <c r="M20" i="10" s="1"/>
  <c r="O20" i="10" s="1"/>
  <c r="H20" i="7"/>
  <c r="F20" i="7"/>
  <c r="E20" i="7"/>
  <c r="D20" i="7"/>
  <c r="C20" i="7"/>
  <c r="B20" i="7"/>
  <c r="A20" i="7"/>
  <c r="J19" i="7"/>
  <c r="K19" i="7" s="1"/>
  <c r="I19" i="7"/>
  <c r="H19" i="7"/>
  <c r="F19" i="7"/>
  <c r="E19" i="7"/>
  <c r="D19" i="7"/>
  <c r="C19" i="7"/>
  <c r="B19" i="7"/>
  <c r="A19" i="7"/>
  <c r="I18" i="7"/>
  <c r="J18" i="7" s="1"/>
  <c r="M18" i="10" s="1"/>
  <c r="H18" i="7"/>
  <c r="E18" i="7"/>
  <c r="D18" i="7"/>
  <c r="F18" i="7" s="1"/>
  <c r="C18" i="7"/>
  <c r="B18" i="7"/>
  <c r="A18" i="7"/>
  <c r="I17" i="7"/>
  <c r="J17" i="7" s="1"/>
  <c r="M17" i="10" s="1"/>
  <c r="H17" i="7"/>
  <c r="F17" i="7"/>
  <c r="E17" i="7"/>
  <c r="D17" i="7"/>
  <c r="C17" i="7"/>
  <c r="B17" i="7"/>
  <c r="A17" i="7"/>
  <c r="I16" i="7"/>
  <c r="J16" i="7" s="1"/>
  <c r="H16" i="7"/>
  <c r="E16" i="7"/>
  <c r="D16" i="7"/>
  <c r="F16" i="7" s="1"/>
  <c r="C16" i="7"/>
  <c r="B16" i="7"/>
  <c r="A16" i="7"/>
  <c r="I15" i="7"/>
  <c r="J15" i="7" s="1"/>
  <c r="H15" i="7"/>
  <c r="E15" i="7"/>
  <c r="D15" i="7"/>
  <c r="F15" i="7" s="1"/>
  <c r="C15" i="7"/>
  <c r="B15" i="7"/>
  <c r="A15" i="7"/>
  <c r="I14" i="7"/>
  <c r="J14" i="7" s="1"/>
  <c r="H14" i="7"/>
  <c r="F14" i="7"/>
  <c r="E14" i="7"/>
  <c r="D14" i="7"/>
  <c r="C14" i="7"/>
  <c r="B14" i="7"/>
  <c r="A14" i="7"/>
  <c r="J13" i="7"/>
  <c r="M13" i="10" s="1"/>
  <c r="I13" i="7"/>
  <c r="H13" i="7"/>
  <c r="F13" i="7"/>
  <c r="E13" i="7"/>
  <c r="D13" i="7"/>
  <c r="C13" i="7"/>
  <c r="B13" i="7"/>
  <c r="A13" i="7"/>
  <c r="I12" i="7"/>
  <c r="J12" i="7" s="1"/>
  <c r="M12" i="10" s="1"/>
  <c r="H12" i="7"/>
  <c r="E12" i="7"/>
  <c r="D12" i="7"/>
  <c r="F12" i="7" s="1"/>
  <c r="C12" i="7"/>
  <c r="B12" i="7"/>
  <c r="A12" i="7"/>
  <c r="I11" i="7"/>
  <c r="J11" i="7" s="1"/>
  <c r="H11" i="7"/>
  <c r="E11" i="7"/>
  <c r="D11" i="7"/>
  <c r="F11" i="7" s="1"/>
  <c r="C11" i="7"/>
  <c r="B11" i="7"/>
  <c r="A11" i="7"/>
  <c r="I10" i="7"/>
  <c r="J10" i="7" s="1"/>
  <c r="M10" i="10" s="1"/>
  <c r="H10" i="7"/>
  <c r="E10" i="7"/>
  <c r="D10" i="7"/>
  <c r="F10" i="7" s="1"/>
  <c r="C10" i="7"/>
  <c r="B10" i="7"/>
  <c r="A10" i="7"/>
  <c r="I9" i="7"/>
  <c r="J9" i="7" s="1"/>
  <c r="K9" i="7" s="1"/>
  <c r="H9" i="7"/>
  <c r="F9" i="7"/>
  <c r="E9" i="7"/>
  <c r="D9" i="7"/>
  <c r="C9" i="7"/>
  <c r="B9" i="7"/>
  <c r="A9" i="7"/>
  <c r="I8" i="7"/>
  <c r="J8" i="7" s="1"/>
  <c r="H8" i="7"/>
  <c r="F8" i="7"/>
  <c r="E8" i="7"/>
  <c r="D8" i="7"/>
  <c r="C8" i="7"/>
  <c r="B8" i="7"/>
  <c r="A8" i="7"/>
  <c r="I7" i="7"/>
  <c r="J7" i="7" s="1"/>
  <c r="M7" i="10" s="1"/>
  <c r="H7" i="7"/>
  <c r="E7" i="7"/>
  <c r="D7" i="7"/>
  <c r="F7" i="7" s="1"/>
  <c r="C7" i="7"/>
  <c r="B7" i="7"/>
  <c r="A7" i="7"/>
  <c r="I6" i="7"/>
  <c r="J6" i="7" s="1"/>
  <c r="M6" i="10" s="1"/>
  <c r="H6" i="7"/>
  <c r="F6" i="7"/>
  <c r="E6" i="7"/>
  <c r="D6" i="7"/>
  <c r="C6" i="7"/>
  <c r="B6" i="7"/>
  <c r="A6" i="7"/>
  <c r="O77" i="6"/>
  <c r="N77" i="6"/>
  <c r="M77" i="6"/>
  <c r="L77" i="6"/>
  <c r="K77" i="6"/>
  <c r="J77" i="6"/>
  <c r="I77" i="6"/>
  <c r="H77" i="6"/>
  <c r="G77" i="6"/>
  <c r="F77" i="6"/>
  <c r="E77" i="6"/>
  <c r="D77" i="6"/>
  <c r="C77" i="6"/>
  <c r="B77" i="6"/>
  <c r="A77" i="6"/>
  <c r="O76" i="6"/>
  <c r="N76" i="6"/>
  <c r="M76" i="6"/>
  <c r="L76" i="6"/>
  <c r="K76" i="6"/>
  <c r="J76" i="6"/>
  <c r="I76" i="6"/>
  <c r="H76" i="6"/>
  <c r="G76" i="6"/>
  <c r="F76" i="6"/>
  <c r="E76" i="6"/>
  <c r="D76" i="6"/>
  <c r="C76" i="6"/>
  <c r="B76" i="6"/>
  <c r="A76" i="6"/>
  <c r="O75" i="6"/>
  <c r="N75" i="6"/>
  <c r="M75" i="6"/>
  <c r="L75" i="6"/>
  <c r="K75" i="6"/>
  <c r="J75" i="6"/>
  <c r="I75" i="6"/>
  <c r="H75" i="6"/>
  <c r="G75" i="6"/>
  <c r="F75" i="6"/>
  <c r="E75" i="6"/>
  <c r="D75" i="6"/>
  <c r="C75" i="6"/>
  <c r="B75" i="6"/>
  <c r="A75" i="6"/>
  <c r="O74" i="6"/>
  <c r="N74" i="6"/>
  <c r="M74" i="6"/>
  <c r="L74" i="6"/>
  <c r="K74" i="6"/>
  <c r="J74" i="6"/>
  <c r="I74" i="6"/>
  <c r="H74" i="6"/>
  <c r="G74" i="6"/>
  <c r="F74" i="6"/>
  <c r="E74" i="6"/>
  <c r="D74" i="6"/>
  <c r="C74" i="6"/>
  <c r="B74" i="6"/>
  <c r="A74" i="6"/>
  <c r="O73" i="6"/>
  <c r="N73" i="6"/>
  <c r="M73" i="6"/>
  <c r="L73" i="6"/>
  <c r="K73" i="6"/>
  <c r="J73" i="6"/>
  <c r="I73" i="6"/>
  <c r="H73" i="6"/>
  <c r="G73" i="6"/>
  <c r="F73" i="6"/>
  <c r="E73" i="6"/>
  <c r="D73" i="6"/>
  <c r="C73" i="6"/>
  <c r="B73" i="6"/>
  <c r="A73" i="6"/>
  <c r="O72" i="6"/>
  <c r="N72" i="6"/>
  <c r="M72" i="6"/>
  <c r="L72" i="6"/>
  <c r="K72" i="6"/>
  <c r="J72" i="6"/>
  <c r="I72" i="6"/>
  <c r="H72" i="6"/>
  <c r="G72" i="6"/>
  <c r="F72" i="6"/>
  <c r="E72" i="6"/>
  <c r="P72" i="6" s="1"/>
  <c r="Q72" i="6" s="1"/>
  <c r="K34" i="10" s="1"/>
  <c r="D72" i="6"/>
  <c r="C72" i="6"/>
  <c r="B72" i="6"/>
  <c r="A72" i="6"/>
  <c r="O71" i="6"/>
  <c r="N71" i="6"/>
  <c r="M71" i="6"/>
  <c r="L71" i="6"/>
  <c r="K71" i="6"/>
  <c r="J71" i="6"/>
  <c r="I71" i="6"/>
  <c r="H71" i="6"/>
  <c r="G71" i="6"/>
  <c r="F71" i="6"/>
  <c r="E71" i="6"/>
  <c r="D71" i="6"/>
  <c r="C71" i="6"/>
  <c r="B71" i="6"/>
  <c r="A71" i="6"/>
  <c r="O70" i="6"/>
  <c r="N70" i="6"/>
  <c r="M70" i="6"/>
  <c r="L70" i="6"/>
  <c r="K70" i="6"/>
  <c r="J70" i="6"/>
  <c r="I70" i="6"/>
  <c r="H70" i="6"/>
  <c r="G70" i="6"/>
  <c r="F70" i="6"/>
  <c r="E70" i="6"/>
  <c r="D70" i="6"/>
  <c r="C70" i="6"/>
  <c r="B70" i="6"/>
  <c r="A70" i="6"/>
  <c r="O69" i="6"/>
  <c r="N69" i="6"/>
  <c r="M69" i="6"/>
  <c r="L69" i="6"/>
  <c r="K69" i="6"/>
  <c r="J69" i="6"/>
  <c r="I69" i="6"/>
  <c r="H69" i="6"/>
  <c r="G69" i="6"/>
  <c r="F69" i="6"/>
  <c r="E69" i="6"/>
  <c r="P69" i="6" s="1"/>
  <c r="Q69" i="6" s="1"/>
  <c r="K31" i="10" s="1"/>
  <c r="D69" i="6"/>
  <c r="C69" i="6"/>
  <c r="B69" i="6"/>
  <c r="A69" i="6"/>
  <c r="O68" i="6"/>
  <c r="N68" i="6"/>
  <c r="M68" i="6"/>
  <c r="L68" i="6"/>
  <c r="K68" i="6"/>
  <c r="J68" i="6"/>
  <c r="I68" i="6"/>
  <c r="H68" i="6"/>
  <c r="G68" i="6"/>
  <c r="F68" i="6"/>
  <c r="E68" i="6"/>
  <c r="D68" i="6"/>
  <c r="C68" i="6"/>
  <c r="B68" i="6"/>
  <c r="A68" i="6"/>
  <c r="O67" i="6"/>
  <c r="N67" i="6"/>
  <c r="M67" i="6"/>
  <c r="L67" i="6"/>
  <c r="K67" i="6"/>
  <c r="J67" i="6"/>
  <c r="I67" i="6"/>
  <c r="H67" i="6"/>
  <c r="G67" i="6"/>
  <c r="F67" i="6"/>
  <c r="E67" i="6"/>
  <c r="D67" i="6"/>
  <c r="C67" i="6"/>
  <c r="B67" i="6"/>
  <c r="A67" i="6"/>
  <c r="O66" i="6"/>
  <c r="N66" i="6"/>
  <c r="M66" i="6"/>
  <c r="L66" i="6"/>
  <c r="K66" i="6"/>
  <c r="J66" i="6"/>
  <c r="I66" i="6"/>
  <c r="H66" i="6"/>
  <c r="G66" i="6"/>
  <c r="F66" i="6"/>
  <c r="E66" i="6"/>
  <c r="D66" i="6"/>
  <c r="C66" i="6"/>
  <c r="B66" i="6"/>
  <c r="A66" i="6"/>
  <c r="O65" i="6"/>
  <c r="N65" i="6"/>
  <c r="M65" i="6"/>
  <c r="L65" i="6"/>
  <c r="K65" i="6"/>
  <c r="J65" i="6"/>
  <c r="I65" i="6"/>
  <c r="H65" i="6"/>
  <c r="G65" i="6"/>
  <c r="F65" i="6"/>
  <c r="E65" i="6"/>
  <c r="P65" i="6" s="1"/>
  <c r="Q65" i="6" s="1"/>
  <c r="K27" i="10" s="1"/>
  <c r="D65" i="6"/>
  <c r="C65" i="6"/>
  <c r="B65" i="6"/>
  <c r="A65" i="6"/>
  <c r="O64" i="6"/>
  <c r="N64" i="6"/>
  <c r="M64" i="6"/>
  <c r="L64" i="6"/>
  <c r="K64" i="6"/>
  <c r="J64" i="6"/>
  <c r="I64" i="6"/>
  <c r="H64" i="6"/>
  <c r="G64" i="6"/>
  <c r="F64" i="6"/>
  <c r="E64" i="6"/>
  <c r="D64" i="6"/>
  <c r="C64" i="6"/>
  <c r="B64" i="6"/>
  <c r="A64" i="6"/>
  <c r="O63" i="6"/>
  <c r="N63" i="6"/>
  <c r="M63" i="6"/>
  <c r="L63" i="6"/>
  <c r="K63" i="6"/>
  <c r="J63" i="6"/>
  <c r="I63" i="6"/>
  <c r="H63" i="6"/>
  <c r="G63" i="6"/>
  <c r="F63" i="6"/>
  <c r="E63" i="6"/>
  <c r="D63" i="6"/>
  <c r="C63" i="6"/>
  <c r="B63" i="6"/>
  <c r="A63" i="6"/>
  <c r="O62" i="6"/>
  <c r="N62" i="6"/>
  <c r="M62" i="6"/>
  <c r="L62" i="6"/>
  <c r="K62" i="6"/>
  <c r="J62" i="6"/>
  <c r="I62" i="6"/>
  <c r="H62" i="6"/>
  <c r="G62" i="6"/>
  <c r="F62" i="6"/>
  <c r="P62" i="6" s="1"/>
  <c r="Q62" i="6" s="1"/>
  <c r="K24" i="10" s="1"/>
  <c r="E62" i="6"/>
  <c r="D62" i="6"/>
  <c r="C62" i="6"/>
  <c r="B62" i="6"/>
  <c r="A62" i="6"/>
  <c r="O61" i="6"/>
  <c r="P61" i="6" s="1"/>
  <c r="Q61" i="6" s="1"/>
  <c r="K23" i="10" s="1"/>
  <c r="N61" i="6"/>
  <c r="M61" i="6"/>
  <c r="L61" i="6"/>
  <c r="K61" i="6"/>
  <c r="J61" i="6"/>
  <c r="I61" i="6"/>
  <c r="H61" i="6"/>
  <c r="G61" i="6"/>
  <c r="F61" i="6"/>
  <c r="E61" i="6"/>
  <c r="D61" i="6"/>
  <c r="C61" i="6"/>
  <c r="B61" i="6"/>
  <c r="A61" i="6"/>
  <c r="O60" i="6"/>
  <c r="N60" i="6"/>
  <c r="M60" i="6"/>
  <c r="L60" i="6"/>
  <c r="K60" i="6"/>
  <c r="J60" i="6"/>
  <c r="I60" i="6"/>
  <c r="H60" i="6"/>
  <c r="G60" i="6"/>
  <c r="F60" i="6"/>
  <c r="E60" i="6"/>
  <c r="D60" i="6"/>
  <c r="C60" i="6"/>
  <c r="B60" i="6"/>
  <c r="A60" i="6"/>
  <c r="O59" i="6"/>
  <c r="N59" i="6"/>
  <c r="M59" i="6"/>
  <c r="L59" i="6"/>
  <c r="K59" i="6"/>
  <c r="J59" i="6"/>
  <c r="I59" i="6"/>
  <c r="H59" i="6"/>
  <c r="G59" i="6"/>
  <c r="F59" i="6"/>
  <c r="E59" i="6"/>
  <c r="D59" i="6"/>
  <c r="C59" i="6"/>
  <c r="B59" i="6"/>
  <c r="A59" i="6"/>
  <c r="O58" i="6"/>
  <c r="N58" i="6"/>
  <c r="M58" i="6"/>
  <c r="L58" i="6"/>
  <c r="K58" i="6"/>
  <c r="J58" i="6"/>
  <c r="I58" i="6"/>
  <c r="H58" i="6"/>
  <c r="G58" i="6"/>
  <c r="F58" i="6"/>
  <c r="E58" i="6"/>
  <c r="D58" i="6"/>
  <c r="C58" i="6"/>
  <c r="B58" i="6"/>
  <c r="A58" i="6"/>
  <c r="O57" i="6"/>
  <c r="N57" i="6"/>
  <c r="M57" i="6"/>
  <c r="L57" i="6"/>
  <c r="K57" i="6"/>
  <c r="J57" i="6"/>
  <c r="I57" i="6"/>
  <c r="H57" i="6"/>
  <c r="G57" i="6"/>
  <c r="F57" i="6"/>
  <c r="E57" i="6"/>
  <c r="D57" i="6"/>
  <c r="C57" i="6"/>
  <c r="B57" i="6"/>
  <c r="A57" i="6"/>
  <c r="O56" i="6"/>
  <c r="N56" i="6"/>
  <c r="M56" i="6"/>
  <c r="L56" i="6"/>
  <c r="K56" i="6"/>
  <c r="J56" i="6"/>
  <c r="I56" i="6"/>
  <c r="H56" i="6"/>
  <c r="G56" i="6"/>
  <c r="F56" i="6"/>
  <c r="E56" i="6"/>
  <c r="D56" i="6"/>
  <c r="C56" i="6"/>
  <c r="B56" i="6"/>
  <c r="A56" i="6"/>
  <c r="O55" i="6"/>
  <c r="N55" i="6"/>
  <c r="M55" i="6"/>
  <c r="L55" i="6"/>
  <c r="K55" i="6"/>
  <c r="J55" i="6"/>
  <c r="I55" i="6"/>
  <c r="H55" i="6"/>
  <c r="G55" i="6"/>
  <c r="F55" i="6"/>
  <c r="E55" i="6"/>
  <c r="P55" i="6" s="1"/>
  <c r="Q55" i="6" s="1"/>
  <c r="K17" i="10" s="1"/>
  <c r="D55" i="6"/>
  <c r="C55" i="6"/>
  <c r="B55" i="6"/>
  <c r="A55" i="6"/>
  <c r="O54" i="6"/>
  <c r="N54" i="6"/>
  <c r="M54" i="6"/>
  <c r="L54" i="6"/>
  <c r="K54" i="6"/>
  <c r="P54" i="6" s="1"/>
  <c r="Q54" i="6" s="1"/>
  <c r="K16" i="10" s="1"/>
  <c r="J54" i="6"/>
  <c r="I54" i="6"/>
  <c r="H54" i="6"/>
  <c r="G54" i="6"/>
  <c r="F54" i="6"/>
  <c r="E54" i="6"/>
  <c r="D54" i="6"/>
  <c r="C54" i="6"/>
  <c r="B54" i="6"/>
  <c r="A54" i="6"/>
  <c r="O53" i="6"/>
  <c r="N53" i="6"/>
  <c r="M53" i="6"/>
  <c r="L53" i="6"/>
  <c r="K53" i="6"/>
  <c r="J53" i="6"/>
  <c r="I53" i="6"/>
  <c r="H53" i="6"/>
  <c r="G53" i="6"/>
  <c r="F53" i="6"/>
  <c r="E53" i="6"/>
  <c r="D53" i="6"/>
  <c r="C53" i="6"/>
  <c r="B53" i="6"/>
  <c r="A53" i="6"/>
  <c r="O52" i="6"/>
  <c r="N52" i="6"/>
  <c r="M52" i="6"/>
  <c r="L52" i="6"/>
  <c r="K52" i="6"/>
  <c r="J52" i="6"/>
  <c r="I52" i="6"/>
  <c r="H52" i="6"/>
  <c r="G52" i="6"/>
  <c r="F52" i="6"/>
  <c r="E52" i="6"/>
  <c r="D52" i="6"/>
  <c r="C52" i="6"/>
  <c r="B52" i="6"/>
  <c r="A52" i="6"/>
  <c r="O51" i="6"/>
  <c r="N51" i="6"/>
  <c r="M51" i="6"/>
  <c r="L51" i="6"/>
  <c r="K51" i="6"/>
  <c r="J51" i="6"/>
  <c r="I51" i="6"/>
  <c r="H51" i="6"/>
  <c r="G51" i="6"/>
  <c r="F51" i="6"/>
  <c r="E51" i="6"/>
  <c r="D51" i="6"/>
  <c r="C51" i="6"/>
  <c r="B51" i="6"/>
  <c r="A51" i="6"/>
  <c r="O50" i="6"/>
  <c r="N50" i="6"/>
  <c r="M50" i="6"/>
  <c r="L50" i="6"/>
  <c r="K50" i="6"/>
  <c r="J50" i="6"/>
  <c r="I50" i="6"/>
  <c r="H50" i="6"/>
  <c r="G50" i="6"/>
  <c r="F50" i="6"/>
  <c r="E50" i="6"/>
  <c r="D50" i="6"/>
  <c r="C50" i="6"/>
  <c r="B50" i="6"/>
  <c r="A50" i="6"/>
  <c r="O49" i="6"/>
  <c r="N49" i="6"/>
  <c r="M49" i="6"/>
  <c r="L49" i="6"/>
  <c r="K49" i="6"/>
  <c r="J49" i="6"/>
  <c r="I49" i="6"/>
  <c r="H49" i="6"/>
  <c r="G49" i="6"/>
  <c r="F49" i="6"/>
  <c r="E49" i="6"/>
  <c r="D49" i="6"/>
  <c r="C49" i="6"/>
  <c r="B49" i="6"/>
  <c r="A49" i="6"/>
  <c r="O48" i="6"/>
  <c r="N48" i="6"/>
  <c r="M48" i="6"/>
  <c r="L48" i="6"/>
  <c r="K48" i="6"/>
  <c r="J48" i="6"/>
  <c r="I48" i="6"/>
  <c r="H48" i="6"/>
  <c r="G48" i="6"/>
  <c r="F48" i="6"/>
  <c r="E48" i="6"/>
  <c r="D48" i="6"/>
  <c r="C48" i="6"/>
  <c r="B48" i="6"/>
  <c r="A48" i="6"/>
  <c r="O47" i="6"/>
  <c r="N47" i="6"/>
  <c r="M47" i="6"/>
  <c r="L47" i="6"/>
  <c r="K47" i="6"/>
  <c r="J47" i="6"/>
  <c r="I47" i="6"/>
  <c r="H47" i="6"/>
  <c r="G47" i="6"/>
  <c r="F47" i="6"/>
  <c r="E47" i="6"/>
  <c r="D47" i="6"/>
  <c r="C47" i="6"/>
  <c r="B47" i="6"/>
  <c r="A47" i="6"/>
  <c r="O46" i="6"/>
  <c r="N46" i="6"/>
  <c r="M46" i="6"/>
  <c r="L46" i="6"/>
  <c r="K46" i="6"/>
  <c r="J46" i="6"/>
  <c r="I46" i="6"/>
  <c r="H46" i="6"/>
  <c r="G46" i="6"/>
  <c r="F46" i="6"/>
  <c r="E46" i="6"/>
  <c r="D46" i="6"/>
  <c r="C46" i="6"/>
  <c r="B46" i="6"/>
  <c r="A46" i="6"/>
  <c r="O45" i="6"/>
  <c r="N45" i="6"/>
  <c r="M45" i="6"/>
  <c r="L45" i="6"/>
  <c r="K45" i="6"/>
  <c r="J45" i="6"/>
  <c r="I45" i="6"/>
  <c r="H45" i="6"/>
  <c r="G45" i="6"/>
  <c r="F45" i="6"/>
  <c r="E45" i="6"/>
  <c r="D45" i="6"/>
  <c r="C45" i="6"/>
  <c r="B45" i="6"/>
  <c r="A45" i="6"/>
  <c r="O44" i="6"/>
  <c r="N44" i="6"/>
  <c r="M44" i="6"/>
  <c r="L44" i="6"/>
  <c r="K44" i="6"/>
  <c r="J44" i="6"/>
  <c r="I44" i="6"/>
  <c r="H44" i="6"/>
  <c r="G44" i="6"/>
  <c r="F44" i="6"/>
  <c r="E44" i="6"/>
  <c r="D44" i="6"/>
  <c r="C44" i="6"/>
  <c r="B44" i="6"/>
  <c r="A44" i="6"/>
  <c r="O39" i="6"/>
  <c r="N39" i="6"/>
  <c r="M39" i="6"/>
  <c r="L39" i="6"/>
  <c r="K39" i="6"/>
  <c r="J39" i="6"/>
  <c r="I39" i="6"/>
  <c r="H39" i="6"/>
  <c r="G39" i="6"/>
  <c r="F39" i="6"/>
  <c r="E39" i="6"/>
  <c r="D39" i="6"/>
  <c r="C39" i="6"/>
  <c r="B39" i="6"/>
  <c r="A39" i="6"/>
  <c r="P38" i="6"/>
  <c r="Q38" i="6" s="1"/>
  <c r="J38" i="10" s="1"/>
  <c r="O38" i="6"/>
  <c r="N38" i="6"/>
  <c r="M38" i="6"/>
  <c r="L38" i="6"/>
  <c r="K38" i="6"/>
  <c r="J38" i="6"/>
  <c r="I38" i="6"/>
  <c r="H38" i="6"/>
  <c r="G38" i="6"/>
  <c r="F38" i="6"/>
  <c r="E38" i="6"/>
  <c r="D38" i="6"/>
  <c r="C38" i="6"/>
  <c r="B38" i="6"/>
  <c r="A38" i="6"/>
  <c r="O37" i="6"/>
  <c r="N37" i="6"/>
  <c r="M37" i="6"/>
  <c r="L37" i="6"/>
  <c r="K37" i="6"/>
  <c r="J37" i="6"/>
  <c r="I37" i="6"/>
  <c r="H37" i="6"/>
  <c r="G37" i="6"/>
  <c r="F37" i="6"/>
  <c r="E37" i="6"/>
  <c r="D37" i="6"/>
  <c r="C37" i="6"/>
  <c r="B37" i="6"/>
  <c r="A37" i="6"/>
  <c r="O36" i="6"/>
  <c r="N36" i="6"/>
  <c r="M36" i="6"/>
  <c r="L36" i="6"/>
  <c r="K36" i="6"/>
  <c r="J36" i="6"/>
  <c r="I36" i="6"/>
  <c r="H36" i="6"/>
  <c r="G36" i="6"/>
  <c r="F36" i="6"/>
  <c r="E36" i="6"/>
  <c r="D36" i="6"/>
  <c r="C36" i="6"/>
  <c r="B36" i="6"/>
  <c r="A36" i="6"/>
  <c r="O35" i="6"/>
  <c r="N35" i="6"/>
  <c r="M35" i="6"/>
  <c r="L35" i="6"/>
  <c r="K35" i="6"/>
  <c r="J35" i="6"/>
  <c r="I35" i="6"/>
  <c r="H35" i="6"/>
  <c r="G35" i="6"/>
  <c r="F35" i="6"/>
  <c r="E35" i="6"/>
  <c r="D35" i="6"/>
  <c r="C35" i="6"/>
  <c r="B35" i="6"/>
  <c r="A35" i="6"/>
  <c r="O34" i="6"/>
  <c r="N34" i="6"/>
  <c r="M34" i="6"/>
  <c r="L34" i="6"/>
  <c r="K34" i="6"/>
  <c r="J34" i="6"/>
  <c r="I34" i="6"/>
  <c r="H34" i="6"/>
  <c r="G34" i="6"/>
  <c r="F34" i="6"/>
  <c r="E34" i="6"/>
  <c r="D34" i="6"/>
  <c r="C34" i="6"/>
  <c r="B34" i="6"/>
  <c r="A34" i="6"/>
  <c r="O33" i="6"/>
  <c r="N33" i="6"/>
  <c r="M33" i="6"/>
  <c r="L33" i="6"/>
  <c r="K33" i="6"/>
  <c r="J33" i="6"/>
  <c r="I33" i="6"/>
  <c r="H33" i="6"/>
  <c r="G33" i="6"/>
  <c r="F33" i="6"/>
  <c r="E33" i="6"/>
  <c r="D33" i="6"/>
  <c r="C33" i="6"/>
  <c r="B33" i="6"/>
  <c r="A33" i="6"/>
  <c r="O32" i="6"/>
  <c r="N32" i="6"/>
  <c r="M32" i="6"/>
  <c r="L32" i="6"/>
  <c r="K32" i="6"/>
  <c r="J32" i="6"/>
  <c r="I32" i="6"/>
  <c r="H32" i="6"/>
  <c r="G32" i="6"/>
  <c r="F32" i="6"/>
  <c r="E32" i="6"/>
  <c r="P32" i="6" s="1"/>
  <c r="Q32" i="6" s="1"/>
  <c r="J32" i="10" s="1"/>
  <c r="D32" i="6"/>
  <c r="C32" i="6"/>
  <c r="B32" i="6"/>
  <c r="A32" i="6"/>
  <c r="O31" i="6"/>
  <c r="N31" i="6"/>
  <c r="M31" i="6"/>
  <c r="L31" i="6"/>
  <c r="K31" i="6"/>
  <c r="J31" i="6"/>
  <c r="I31" i="6"/>
  <c r="H31" i="6"/>
  <c r="G31" i="6"/>
  <c r="F31" i="6"/>
  <c r="E31" i="6"/>
  <c r="D31" i="6"/>
  <c r="C31" i="6"/>
  <c r="B31" i="6"/>
  <c r="A31" i="6"/>
  <c r="O30" i="6"/>
  <c r="N30" i="6"/>
  <c r="M30" i="6"/>
  <c r="L30" i="6"/>
  <c r="K30" i="6"/>
  <c r="J30" i="6"/>
  <c r="I30" i="6"/>
  <c r="H30" i="6"/>
  <c r="G30" i="6"/>
  <c r="F30" i="6"/>
  <c r="E30" i="6"/>
  <c r="D30" i="6"/>
  <c r="C30" i="6"/>
  <c r="B30" i="6"/>
  <c r="A30" i="6"/>
  <c r="O29" i="6"/>
  <c r="N29" i="6"/>
  <c r="M29" i="6"/>
  <c r="L29" i="6"/>
  <c r="K29" i="6"/>
  <c r="J29" i="6"/>
  <c r="I29" i="6"/>
  <c r="H29" i="6"/>
  <c r="G29" i="6"/>
  <c r="F29" i="6"/>
  <c r="E29" i="6"/>
  <c r="P29" i="6" s="1"/>
  <c r="Q29" i="6" s="1"/>
  <c r="J29" i="10" s="1"/>
  <c r="D29" i="6"/>
  <c r="C29" i="6"/>
  <c r="B29" i="6"/>
  <c r="A29" i="6"/>
  <c r="O28" i="6"/>
  <c r="N28" i="6"/>
  <c r="M28" i="6"/>
  <c r="L28" i="6"/>
  <c r="K28" i="6"/>
  <c r="J28" i="6"/>
  <c r="I28" i="6"/>
  <c r="H28" i="6"/>
  <c r="G28" i="6"/>
  <c r="F28" i="6"/>
  <c r="E28" i="6"/>
  <c r="D28" i="6"/>
  <c r="C28" i="6"/>
  <c r="B28" i="6"/>
  <c r="A28" i="6"/>
  <c r="O27" i="6"/>
  <c r="N27" i="6"/>
  <c r="M27" i="6"/>
  <c r="L27" i="6"/>
  <c r="K27" i="6"/>
  <c r="J27" i="6"/>
  <c r="I27" i="6"/>
  <c r="H27" i="6"/>
  <c r="G27" i="6"/>
  <c r="F27" i="6"/>
  <c r="E27" i="6"/>
  <c r="D27" i="6"/>
  <c r="C27" i="6"/>
  <c r="B27" i="6"/>
  <c r="A27" i="6"/>
  <c r="O26" i="6"/>
  <c r="N26" i="6"/>
  <c r="M26" i="6"/>
  <c r="L26" i="6"/>
  <c r="K26" i="6"/>
  <c r="J26" i="6"/>
  <c r="I26" i="6"/>
  <c r="H26" i="6"/>
  <c r="G26" i="6"/>
  <c r="F26" i="6"/>
  <c r="P26" i="6" s="1"/>
  <c r="Q26" i="6" s="1"/>
  <c r="J26" i="10" s="1"/>
  <c r="E26" i="6"/>
  <c r="D26" i="6"/>
  <c r="C26" i="6"/>
  <c r="B26" i="6"/>
  <c r="A26" i="6"/>
  <c r="O25" i="6"/>
  <c r="N25" i="6"/>
  <c r="M25" i="6"/>
  <c r="L25" i="6"/>
  <c r="K25" i="6"/>
  <c r="J25" i="6"/>
  <c r="I25" i="6"/>
  <c r="H25" i="6"/>
  <c r="G25" i="6"/>
  <c r="F25" i="6"/>
  <c r="E25" i="6"/>
  <c r="D25" i="6"/>
  <c r="C25" i="6"/>
  <c r="B25" i="6"/>
  <c r="A25" i="6"/>
  <c r="O24" i="6"/>
  <c r="N24" i="6"/>
  <c r="M24" i="6"/>
  <c r="L24" i="6"/>
  <c r="K24" i="6"/>
  <c r="J24" i="6"/>
  <c r="I24" i="6"/>
  <c r="H24" i="6"/>
  <c r="G24" i="6"/>
  <c r="F24" i="6"/>
  <c r="E24" i="6"/>
  <c r="D24" i="6"/>
  <c r="C24" i="6"/>
  <c r="B24" i="6"/>
  <c r="A24" i="6"/>
  <c r="O23" i="6"/>
  <c r="N23" i="6"/>
  <c r="M23" i="6"/>
  <c r="L23" i="6"/>
  <c r="K23" i="6"/>
  <c r="J23" i="6"/>
  <c r="I23" i="6"/>
  <c r="H23" i="6"/>
  <c r="G23" i="6"/>
  <c r="P23" i="6" s="1"/>
  <c r="Q23" i="6" s="1"/>
  <c r="J23" i="10" s="1"/>
  <c r="F23" i="6"/>
  <c r="E23" i="6"/>
  <c r="D23" i="6"/>
  <c r="C23" i="6"/>
  <c r="B23" i="6"/>
  <c r="A23" i="6"/>
  <c r="O22" i="6"/>
  <c r="N22" i="6"/>
  <c r="M22" i="6"/>
  <c r="L22" i="6"/>
  <c r="K22" i="6"/>
  <c r="J22" i="6"/>
  <c r="I22" i="6"/>
  <c r="H22" i="6"/>
  <c r="G22" i="6"/>
  <c r="F22" i="6"/>
  <c r="E22" i="6"/>
  <c r="D22" i="6"/>
  <c r="C22" i="6"/>
  <c r="B22" i="6"/>
  <c r="A22" i="6"/>
  <c r="O21" i="6"/>
  <c r="N21" i="6"/>
  <c r="M21" i="6"/>
  <c r="L21" i="6"/>
  <c r="K21" i="6"/>
  <c r="J21" i="6"/>
  <c r="I21" i="6"/>
  <c r="H21" i="6"/>
  <c r="G21" i="6"/>
  <c r="F21" i="6"/>
  <c r="E21" i="6"/>
  <c r="D21" i="6"/>
  <c r="C21" i="6"/>
  <c r="B21" i="6"/>
  <c r="A21" i="6"/>
  <c r="O20" i="6"/>
  <c r="N20" i="6"/>
  <c r="M20" i="6"/>
  <c r="L20" i="6"/>
  <c r="K20" i="6"/>
  <c r="J20" i="6"/>
  <c r="I20" i="6"/>
  <c r="H20" i="6"/>
  <c r="G20" i="6"/>
  <c r="F20" i="6"/>
  <c r="E20" i="6"/>
  <c r="D20" i="6"/>
  <c r="C20" i="6"/>
  <c r="B20" i="6"/>
  <c r="A20" i="6"/>
  <c r="O19" i="6"/>
  <c r="N19" i="6"/>
  <c r="M19" i="6"/>
  <c r="L19" i="6"/>
  <c r="K19" i="6"/>
  <c r="J19" i="6"/>
  <c r="I19" i="6"/>
  <c r="H19" i="6"/>
  <c r="G19" i="6"/>
  <c r="F19" i="6"/>
  <c r="E19" i="6"/>
  <c r="D19" i="6"/>
  <c r="C19" i="6"/>
  <c r="B19" i="6"/>
  <c r="A19" i="6"/>
  <c r="O18" i="6"/>
  <c r="N18" i="6"/>
  <c r="M18" i="6"/>
  <c r="L18" i="6"/>
  <c r="K18" i="6"/>
  <c r="J18" i="6"/>
  <c r="P18" i="6" s="1"/>
  <c r="Q18" i="6" s="1"/>
  <c r="J18" i="10" s="1"/>
  <c r="I18" i="6"/>
  <c r="H18" i="6"/>
  <c r="G18" i="6"/>
  <c r="F18" i="6"/>
  <c r="E18" i="6"/>
  <c r="D18" i="6"/>
  <c r="C18" i="6"/>
  <c r="B18" i="6"/>
  <c r="A18" i="6"/>
  <c r="O17" i="6"/>
  <c r="N17" i="6"/>
  <c r="M17" i="6"/>
  <c r="L17" i="6"/>
  <c r="K17" i="6"/>
  <c r="J17" i="6"/>
  <c r="I17" i="6"/>
  <c r="H17" i="6"/>
  <c r="G17" i="6"/>
  <c r="F17" i="6"/>
  <c r="E17" i="6"/>
  <c r="D17" i="6"/>
  <c r="C17" i="6"/>
  <c r="B17" i="6"/>
  <c r="A17" i="6"/>
  <c r="O16" i="6"/>
  <c r="N16" i="6"/>
  <c r="M16" i="6"/>
  <c r="L16" i="6"/>
  <c r="K16" i="6"/>
  <c r="J16" i="6"/>
  <c r="I16" i="6"/>
  <c r="H16" i="6"/>
  <c r="G16" i="6"/>
  <c r="F16" i="6"/>
  <c r="E16" i="6"/>
  <c r="D16" i="6"/>
  <c r="C16" i="6"/>
  <c r="B16" i="6"/>
  <c r="A16" i="6"/>
  <c r="O15" i="6"/>
  <c r="N15" i="6"/>
  <c r="M15" i="6"/>
  <c r="L15" i="6"/>
  <c r="K15" i="6"/>
  <c r="J15" i="6"/>
  <c r="I15" i="6"/>
  <c r="H15" i="6"/>
  <c r="G15" i="6"/>
  <c r="F15" i="6"/>
  <c r="E15" i="6"/>
  <c r="D15" i="6"/>
  <c r="C15" i="6"/>
  <c r="B15" i="6"/>
  <c r="A15" i="6"/>
  <c r="O14" i="6"/>
  <c r="N14" i="6"/>
  <c r="M14" i="6"/>
  <c r="L14" i="6"/>
  <c r="K14" i="6"/>
  <c r="J14" i="6"/>
  <c r="I14" i="6"/>
  <c r="H14" i="6"/>
  <c r="G14" i="6"/>
  <c r="F14" i="6"/>
  <c r="E14" i="6"/>
  <c r="D14" i="6"/>
  <c r="C14" i="6"/>
  <c r="B14" i="6"/>
  <c r="A14" i="6"/>
  <c r="O13" i="6"/>
  <c r="N13" i="6"/>
  <c r="M13" i="6"/>
  <c r="L13" i="6"/>
  <c r="K13" i="6"/>
  <c r="J13" i="6"/>
  <c r="I13" i="6"/>
  <c r="H13" i="6"/>
  <c r="G13" i="6"/>
  <c r="F13" i="6"/>
  <c r="E13" i="6"/>
  <c r="P13" i="6" s="1"/>
  <c r="Q13" i="6" s="1"/>
  <c r="J13" i="10" s="1"/>
  <c r="D13" i="6"/>
  <c r="C13" i="6"/>
  <c r="B13" i="6"/>
  <c r="A13" i="6"/>
  <c r="O12" i="6"/>
  <c r="N12" i="6"/>
  <c r="M12" i="6"/>
  <c r="L12" i="6"/>
  <c r="K12" i="6"/>
  <c r="J12" i="6"/>
  <c r="I12" i="6"/>
  <c r="H12" i="6"/>
  <c r="G12" i="6"/>
  <c r="F12" i="6"/>
  <c r="E12" i="6"/>
  <c r="D12" i="6"/>
  <c r="C12" i="6"/>
  <c r="B12" i="6"/>
  <c r="A12" i="6"/>
  <c r="O11" i="6"/>
  <c r="N11" i="6"/>
  <c r="M11" i="6"/>
  <c r="L11" i="6"/>
  <c r="K11" i="6"/>
  <c r="J11" i="6"/>
  <c r="I11" i="6"/>
  <c r="H11" i="6"/>
  <c r="G11" i="6"/>
  <c r="F11" i="6"/>
  <c r="P11" i="6" s="1"/>
  <c r="Q11" i="6" s="1"/>
  <c r="J11" i="10" s="1"/>
  <c r="E11" i="6"/>
  <c r="D11" i="6"/>
  <c r="C11" i="6"/>
  <c r="B11" i="6"/>
  <c r="A11" i="6"/>
  <c r="O10" i="6"/>
  <c r="N10" i="6"/>
  <c r="M10" i="6"/>
  <c r="L10" i="6"/>
  <c r="K10" i="6"/>
  <c r="J10" i="6"/>
  <c r="I10" i="6"/>
  <c r="H10" i="6"/>
  <c r="G10" i="6"/>
  <c r="F10" i="6"/>
  <c r="E10" i="6"/>
  <c r="D10" i="6"/>
  <c r="C10" i="6"/>
  <c r="B10" i="6"/>
  <c r="A10" i="6"/>
  <c r="O9" i="6"/>
  <c r="N9" i="6"/>
  <c r="M9" i="6"/>
  <c r="L9" i="6"/>
  <c r="K9" i="6"/>
  <c r="J9" i="6"/>
  <c r="I9" i="6"/>
  <c r="H9" i="6"/>
  <c r="G9" i="6"/>
  <c r="F9" i="6"/>
  <c r="E9" i="6"/>
  <c r="D9" i="6"/>
  <c r="C9" i="6"/>
  <c r="B9" i="6"/>
  <c r="A9" i="6"/>
  <c r="O8" i="6"/>
  <c r="N8" i="6"/>
  <c r="M8" i="6"/>
  <c r="L8" i="6"/>
  <c r="K8" i="6"/>
  <c r="J8" i="6"/>
  <c r="I8" i="6"/>
  <c r="H8" i="6"/>
  <c r="G8" i="6"/>
  <c r="F8" i="6"/>
  <c r="E8" i="6"/>
  <c r="D8" i="6"/>
  <c r="C8" i="6"/>
  <c r="B8" i="6"/>
  <c r="A8" i="6"/>
  <c r="O7" i="6"/>
  <c r="N7" i="6"/>
  <c r="M7" i="6"/>
  <c r="L7" i="6"/>
  <c r="K7" i="6"/>
  <c r="J7" i="6"/>
  <c r="I7" i="6"/>
  <c r="H7" i="6"/>
  <c r="G7" i="6"/>
  <c r="F7" i="6"/>
  <c r="E7" i="6"/>
  <c r="D7" i="6"/>
  <c r="C7" i="6"/>
  <c r="B7" i="6"/>
  <c r="A7" i="6"/>
  <c r="P6" i="6"/>
  <c r="Q6" i="6" s="1"/>
  <c r="J6" i="10" s="1"/>
  <c r="O6" i="6"/>
  <c r="N6" i="6"/>
  <c r="M6" i="6"/>
  <c r="L6" i="6"/>
  <c r="K6" i="6"/>
  <c r="J6" i="6"/>
  <c r="I6" i="6"/>
  <c r="H6" i="6"/>
  <c r="G6" i="6"/>
  <c r="F6" i="6"/>
  <c r="E6" i="6"/>
  <c r="D6" i="6"/>
  <c r="C6" i="6"/>
  <c r="B6" i="6"/>
  <c r="A6" i="6"/>
  <c r="P84" i="5"/>
  <c r="N84" i="5"/>
  <c r="O84" i="5" s="1"/>
  <c r="H39" i="10" s="1"/>
  <c r="M84" i="5"/>
  <c r="L84" i="5"/>
  <c r="K84" i="5"/>
  <c r="J84" i="5"/>
  <c r="I84" i="5"/>
  <c r="H84" i="5"/>
  <c r="E84" i="5"/>
  <c r="D84" i="5"/>
  <c r="C84" i="5"/>
  <c r="B84" i="5"/>
  <c r="A84" i="5"/>
  <c r="N83" i="5"/>
  <c r="O83" i="5" s="1"/>
  <c r="M83" i="5"/>
  <c r="L83" i="5"/>
  <c r="K83" i="5"/>
  <c r="J83" i="5"/>
  <c r="I83" i="5"/>
  <c r="H83" i="5"/>
  <c r="E83" i="5"/>
  <c r="D83" i="5"/>
  <c r="C83" i="5"/>
  <c r="B83" i="5"/>
  <c r="A83" i="5"/>
  <c r="N82" i="5"/>
  <c r="O82" i="5" s="1"/>
  <c r="H37" i="10" s="1"/>
  <c r="M82" i="5"/>
  <c r="L82" i="5"/>
  <c r="K82" i="5"/>
  <c r="J82" i="5"/>
  <c r="I82" i="5"/>
  <c r="H82" i="5"/>
  <c r="G82" i="5"/>
  <c r="E82" i="5"/>
  <c r="D82" i="5"/>
  <c r="C82" i="5"/>
  <c r="B82" i="5"/>
  <c r="A82" i="5"/>
  <c r="N81" i="5"/>
  <c r="O81" i="5" s="1"/>
  <c r="H36" i="10" s="1"/>
  <c r="M81" i="5"/>
  <c r="L81" i="5"/>
  <c r="K81" i="5"/>
  <c r="J81" i="5"/>
  <c r="I81" i="5"/>
  <c r="H81" i="5"/>
  <c r="E81" i="5"/>
  <c r="D81" i="5"/>
  <c r="C81" i="5"/>
  <c r="B81" i="5"/>
  <c r="A81" i="5"/>
  <c r="N80" i="5"/>
  <c r="O80" i="5" s="1"/>
  <c r="P80" i="5" s="1"/>
  <c r="M80" i="5"/>
  <c r="L80" i="5"/>
  <c r="K80" i="5"/>
  <c r="J80" i="5"/>
  <c r="I80" i="5"/>
  <c r="H80" i="5"/>
  <c r="E80" i="5"/>
  <c r="D80" i="5"/>
  <c r="C80" i="5"/>
  <c r="B80" i="5"/>
  <c r="A80" i="5"/>
  <c r="N79" i="5"/>
  <c r="O79" i="5" s="1"/>
  <c r="M79" i="5"/>
  <c r="L79" i="5"/>
  <c r="K79" i="5"/>
  <c r="J79" i="5"/>
  <c r="I79" i="5"/>
  <c r="H79" i="5"/>
  <c r="F79" i="5"/>
  <c r="E79" i="5"/>
  <c r="D79" i="5"/>
  <c r="C79" i="5"/>
  <c r="B79" i="5"/>
  <c r="A79" i="5"/>
  <c r="N78" i="5"/>
  <c r="O78" i="5" s="1"/>
  <c r="M78" i="5"/>
  <c r="L78" i="5"/>
  <c r="K78" i="5"/>
  <c r="J78" i="5"/>
  <c r="I78" i="5"/>
  <c r="H78" i="5"/>
  <c r="E78" i="5"/>
  <c r="D78" i="5"/>
  <c r="C78" i="5"/>
  <c r="B78" i="5"/>
  <c r="A78" i="5"/>
  <c r="N77" i="5"/>
  <c r="O77" i="5" s="1"/>
  <c r="M77" i="5"/>
  <c r="L77" i="5"/>
  <c r="K77" i="5"/>
  <c r="J77" i="5"/>
  <c r="I77" i="5"/>
  <c r="H77" i="5"/>
  <c r="E77" i="5"/>
  <c r="D77" i="5"/>
  <c r="C77" i="5"/>
  <c r="B77" i="5"/>
  <c r="A77" i="5"/>
  <c r="N76" i="5"/>
  <c r="O76" i="5" s="1"/>
  <c r="H31" i="10" s="1"/>
  <c r="M76" i="5"/>
  <c r="L76" i="5"/>
  <c r="K76" i="5"/>
  <c r="J76" i="5"/>
  <c r="I76" i="5"/>
  <c r="H76" i="5"/>
  <c r="F76" i="5"/>
  <c r="E76" i="5"/>
  <c r="D76" i="5"/>
  <c r="C76" i="5"/>
  <c r="B76" i="5"/>
  <c r="A76" i="5"/>
  <c r="N75" i="5"/>
  <c r="O75" i="5" s="1"/>
  <c r="H30" i="10" s="1"/>
  <c r="M75" i="5"/>
  <c r="L75" i="5"/>
  <c r="K75" i="5"/>
  <c r="J75" i="5"/>
  <c r="I75" i="5"/>
  <c r="H75" i="5"/>
  <c r="F75" i="5"/>
  <c r="E75" i="5"/>
  <c r="D75" i="5"/>
  <c r="C75" i="5"/>
  <c r="B75" i="5"/>
  <c r="A75" i="5"/>
  <c r="N74" i="5"/>
  <c r="O74" i="5" s="1"/>
  <c r="H29" i="10" s="1"/>
  <c r="M74" i="5"/>
  <c r="L74" i="5"/>
  <c r="K74" i="5"/>
  <c r="J74" i="5"/>
  <c r="I74" i="5"/>
  <c r="H74" i="5"/>
  <c r="F74" i="5"/>
  <c r="E74" i="5"/>
  <c r="D74" i="5"/>
  <c r="C74" i="5"/>
  <c r="B74" i="5"/>
  <c r="A74" i="5"/>
  <c r="N73" i="5"/>
  <c r="O73" i="5" s="1"/>
  <c r="H28" i="10" s="1"/>
  <c r="M73" i="5"/>
  <c r="L73" i="5"/>
  <c r="K73" i="5"/>
  <c r="J73" i="5"/>
  <c r="I73" i="5"/>
  <c r="H73" i="5"/>
  <c r="F73" i="5"/>
  <c r="E73" i="5"/>
  <c r="D73" i="5"/>
  <c r="C73" i="5"/>
  <c r="B73" i="5"/>
  <c r="A73" i="5"/>
  <c r="N72" i="5"/>
  <c r="O72" i="5" s="1"/>
  <c r="M72" i="5"/>
  <c r="L72" i="5"/>
  <c r="K72" i="5"/>
  <c r="J72" i="5"/>
  <c r="I72" i="5"/>
  <c r="H72" i="5"/>
  <c r="E72" i="5"/>
  <c r="D72" i="5"/>
  <c r="C72" i="5"/>
  <c r="B72" i="5"/>
  <c r="A72" i="5"/>
  <c r="N71" i="5"/>
  <c r="O71" i="5" s="1"/>
  <c r="H26" i="10" s="1"/>
  <c r="M71" i="5"/>
  <c r="L71" i="5"/>
  <c r="K71" i="5"/>
  <c r="J71" i="5"/>
  <c r="I71" i="5"/>
  <c r="H71" i="5"/>
  <c r="G71" i="5"/>
  <c r="E71" i="5"/>
  <c r="D71" i="5"/>
  <c r="C71" i="5"/>
  <c r="B71" i="5"/>
  <c r="A71" i="5"/>
  <c r="N70" i="5"/>
  <c r="O70" i="5" s="1"/>
  <c r="H25" i="10" s="1"/>
  <c r="M70" i="5"/>
  <c r="L70" i="5"/>
  <c r="K70" i="5"/>
  <c r="J70" i="5"/>
  <c r="I70" i="5"/>
  <c r="H70" i="5"/>
  <c r="E70" i="5"/>
  <c r="D70" i="5"/>
  <c r="C70" i="5"/>
  <c r="B70" i="5"/>
  <c r="A70" i="5"/>
  <c r="N69" i="5"/>
  <c r="O69" i="5" s="1"/>
  <c r="M69" i="5"/>
  <c r="L69" i="5"/>
  <c r="K69" i="5"/>
  <c r="J69" i="5"/>
  <c r="I69" i="5"/>
  <c r="H69" i="5"/>
  <c r="E69" i="5"/>
  <c r="D69" i="5"/>
  <c r="C69" i="5"/>
  <c r="B69" i="5"/>
  <c r="A69" i="5"/>
  <c r="N68" i="5"/>
  <c r="O68" i="5" s="1"/>
  <c r="M68" i="5"/>
  <c r="L68" i="5"/>
  <c r="K68" i="5"/>
  <c r="J68" i="5"/>
  <c r="I68" i="5"/>
  <c r="H68" i="5"/>
  <c r="F68" i="5"/>
  <c r="E68" i="5"/>
  <c r="D68" i="5"/>
  <c r="C68" i="5"/>
  <c r="B68" i="5"/>
  <c r="A68" i="5"/>
  <c r="N67" i="5"/>
  <c r="O67" i="5" s="1"/>
  <c r="M67" i="5"/>
  <c r="L67" i="5"/>
  <c r="K67" i="5"/>
  <c r="J67" i="5"/>
  <c r="I67" i="5"/>
  <c r="H67" i="5"/>
  <c r="E67" i="5"/>
  <c r="D67" i="5"/>
  <c r="C67" i="5"/>
  <c r="B67" i="5"/>
  <c r="A67" i="5"/>
  <c r="N66" i="5"/>
  <c r="O66" i="5" s="1"/>
  <c r="M66" i="5"/>
  <c r="L66" i="5"/>
  <c r="K66" i="5"/>
  <c r="J66" i="5"/>
  <c r="I66" i="5"/>
  <c r="H66" i="5"/>
  <c r="E66" i="5"/>
  <c r="D66" i="5"/>
  <c r="C66" i="5"/>
  <c r="B66" i="5"/>
  <c r="A66" i="5"/>
  <c r="N65" i="5"/>
  <c r="O65" i="5" s="1"/>
  <c r="H20" i="10" s="1"/>
  <c r="M65" i="5"/>
  <c r="L65" i="5"/>
  <c r="K65" i="5"/>
  <c r="J65" i="5"/>
  <c r="I65" i="5"/>
  <c r="H65" i="5"/>
  <c r="F65" i="5"/>
  <c r="E65" i="5"/>
  <c r="D65" i="5"/>
  <c r="C65" i="5"/>
  <c r="B65" i="5"/>
  <c r="A65" i="5"/>
  <c r="N64" i="5"/>
  <c r="O64" i="5" s="1"/>
  <c r="H19" i="10" s="1"/>
  <c r="M64" i="5"/>
  <c r="L64" i="5"/>
  <c r="K64" i="5"/>
  <c r="J64" i="5"/>
  <c r="I64" i="5"/>
  <c r="H64" i="5"/>
  <c r="F64" i="5"/>
  <c r="E64" i="5"/>
  <c r="D64" i="5"/>
  <c r="C64" i="5"/>
  <c r="B64" i="5"/>
  <c r="A64" i="5"/>
  <c r="N63" i="5"/>
  <c r="O63" i="5" s="1"/>
  <c r="H18" i="10" s="1"/>
  <c r="M63" i="5"/>
  <c r="L63" i="5"/>
  <c r="K63" i="5"/>
  <c r="J63" i="5"/>
  <c r="I63" i="5"/>
  <c r="H63" i="5"/>
  <c r="E63" i="5"/>
  <c r="D63" i="5"/>
  <c r="C63" i="5"/>
  <c r="B63" i="5"/>
  <c r="A63" i="5"/>
  <c r="N62" i="5"/>
  <c r="O62" i="5" s="1"/>
  <c r="H17" i="10" s="1"/>
  <c r="M62" i="5"/>
  <c r="L62" i="5"/>
  <c r="K62" i="5"/>
  <c r="J62" i="5"/>
  <c r="I62" i="5"/>
  <c r="H62" i="5"/>
  <c r="E62" i="5"/>
  <c r="D62" i="5"/>
  <c r="C62" i="5"/>
  <c r="B62" i="5"/>
  <c r="A62" i="5"/>
  <c r="N61" i="5"/>
  <c r="O61" i="5" s="1"/>
  <c r="M61" i="5"/>
  <c r="L61" i="5"/>
  <c r="K61" i="5"/>
  <c r="J61" i="5"/>
  <c r="I61" i="5"/>
  <c r="H61" i="5"/>
  <c r="G61" i="5"/>
  <c r="F61" i="5"/>
  <c r="E61" i="5"/>
  <c r="D61" i="5"/>
  <c r="C61" i="5"/>
  <c r="B61" i="5"/>
  <c r="A61" i="5"/>
  <c r="N60" i="5"/>
  <c r="O60" i="5" s="1"/>
  <c r="H15" i="10" s="1"/>
  <c r="M60" i="5"/>
  <c r="L60" i="5"/>
  <c r="K60" i="5"/>
  <c r="J60" i="5"/>
  <c r="I60" i="5"/>
  <c r="H60" i="5"/>
  <c r="G60" i="5"/>
  <c r="E60" i="5"/>
  <c r="D60" i="5"/>
  <c r="C60" i="5"/>
  <c r="B60" i="5"/>
  <c r="A60" i="5"/>
  <c r="N59" i="5"/>
  <c r="O59" i="5" s="1"/>
  <c r="H14" i="10" s="1"/>
  <c r="M59" i="5"/>
  <c r="L59" i="5"/>
  <c r="K59" i="5"/>
  <c r="J59" i="5"/>
  <c r="I59" i="5"/>
  <c r="H59" i="5"/>
  <c r="E59" i="5"/>
  <c r="D59" i="5"/>
  <c r="C59" i="5"/>
  <c r="B59" i="5"/>
  <c r="A59" i="5"/>
  <c r="N58" i="5"/>
  <c r="O58" i="5" s="1"/>
  <c r="M58" i="5"/>
  <c r="L58" i="5"/>
  <c r="K58" i="5"/>
  <c r="J58" i="5"/>
  <c r="I58" i="5"/>
  <c r="H58" i="5"/>
  <c r="E58" i="5"/>
  <c r="D58" i="5"/>
  <c r="C58" i="5"/>
  <c r="B58" i="5"/>
  <c r="A58" i="5"/>
  <c r="N57" i="5"/>
  <c r="O57" i="5" s="1"/>
  <c r="P57" i="5" s="1"/>
  <c r="M57" i="5"/>
  <c r="L57" i="5"/>
  <c r="K57" i="5"/>
  <c r="J57" i="5"/>
  <c r="I57" i="5"/>
  <c r="H57" i="5"/>
  <c r="F57" i="5"/>
  <c r="E57" i="5"/>
  <c r="D57" i="5"/>
  <c r="C57" i="5"/>
  <c r="B57" i="5"/>
  <c r="A57" i="5"/>
  <c r="N56" i="5"/>
  <c r="O56" i="5" s="1"/>
  <c r="M56" i="5"/>
  <c r="L56" i="5"/>
  <c r="K56" i="5"/>
  <c r="J56" i="5"/>
  <c r="I56" i="5"/>
  <c r="H56" i="5"/>
  <c r="E56" i="5"/>
  <c r="D56" i="5"/>
  <c r="C56" i="5"/>
  <c r="B56" i="5"/>
  <c r="A56" i="5"/>
  <c r="N55" i="5"/>
  <c r="O55" i="5" s="1"/>
  <c r="H10" i="10" s="1"/>
  <c r="M55" i="5"/>
  <c r="L55" i="5"/>
  <c r="K55" i="5"/>
  <c r="J55" i="5"/>
  <c r="I55" i="5"/>
  <c r="H55" i="5"/>
  <c r="E55" i="5"/>
  <c r="D55" i="5"/>
  <c r="C55" i="5"/>
  <c r="B55" i="5"/>
  <c r="A55" i="5"/>
  <c r="N54" i="5"/>
  <c r="O54" i="5" s="1"/>
  <c r="H9" i="10" s="1"/>
  <c r="M54" i="5"/>
  <c r="L54" i="5"/>
  <c r="K54" i="5"/>
  <c r="J54" i="5"/>
  <c r="I54" i="5"/>
  <c r="H54" i="5"/>
  <c r="F54" i="5"/>
  <c r="E54" i="5"/>
  <c r="D54" i="5"/>
  <c r="C54" i="5"/>
  <c r="B54" i="5"/>
  <c r="A54" i="5"/>
  <c r="P53" i="5"/>
  <c r="N53" i="5"/>
  <c r="O53" i="5" s="1"/>
  <c r="H8" i="10" s="1"/>
  <c r="M53" i="5"/>
  <c r="L53" i="5"/>
  <c r="K53" i="5"/>
  <c r="J53" i="5"/>
  <c r="I53" i="5"/>
  <c r="H53" i="5"/>
  <c r="F53" i="5"/>
  <c r="E53" i="5"/>
  <c r="D53" i="5"/>
  <c r="C53" i="5"/>
  <c r="B53" i="5"/>
  <c r="A53" i="5"/>
  <c r="N52" i="5"/>
  <c r="O52" i="5" s="1"/>
  <c r="H7" i="10" s="1"/>
  <c r="M52" i="5"/>
  <c r="L52" i="5"/>
  <c r="K52" i="5"/>
  <c r="J52" i="5"/>
  <c r="I52" i="5"/>
  <c r="H52" i="5"/>
  <c r="E52" i="5"/>
  <c r="D52" i="5"/>
  <c r="C52" i="5"/>
  <c r="B52" i="5"/>
  <c r="A52" i="5"/>
  <c r="N51" i="5"/>
  <c r="O51" i="5" s="1"/>
  <c r="H6" i="10" s="1"/>
  <c r="M51" i="5"/>
  <c r="L51" i="5"/>
  <c r="K51" i="5"/>
  <c r="J51" i="5"/>
  <c r="I51" i="5"/>
  <c r="H51" i="5"/>
  <c r="E51" i="5"/>
  <c r="D51" i="5"/>
  <c r="C51" i="5"/>
  <c r="B51" i="5"/>
  <c r="A51" i="5"/>
  <c r="N46" i="5"/>
  <c r="O46" i="5" s="1"/>
  <c r="M46" i="5"/>
  <c r="L46" i="5"/>
  <c r="K46" i="5"/>
  <c r="J46" i="5"/>
  <c r="I46" i="5"/>
  <c r="H46" i="5"/>
  <c r="G46" i="5"/>
  <c r="E46" i="5"/>
  <c r="D46" i="5"/>
  <c r="C46" i="5"/>
  <c r="B46" i="5"/>
  <c r="A46" i="5"/>
  <c r="N45" i="5"/>
  <c r="O45" i="5" s="1"/>
  <c r="G38" i="10" s="1"/>
  <c r="M45" i="5"/>
  <c r="L45" i="5"/>
  <c r="K45" i="5"/>
  <c r="J45" i="5"/>
  <c r="I45" i="5"/>
  <c r="H45" i="5"/>
  <c r="E45" i="5"/>
  <c r="D45" i="5"/>
  <c r="C45" i="5"/>
  <c r="B45" i="5"/>
  <c r="A45" i="5"/>
  <c r="N44" i="5"/>
  <c r="O44" i="5" s="1"/>
  <c r="G37" i="10" s="1"/>
  <c r="M44" i="5"/>
  <c r="L44" i="5"/>
  <c r="K44" i="5"/>
  <c r="J44" i="5"/>
  <c r="I44" i="5"/>
  <c r="H44" i="5"/>
  <c r="E44" i="5"/>
  <c r="D44" i="5"/>
  <c r="C44" i="5"/>
  <c r="B44" i="5"/>
  <c r="A44" i="5"/>
  <c r="N43" i="5"/>
  <c r="O43" i="5" s="1"/>
  <c r="M43" i="5"/>
  <c r="L43" i="5"/>
  <c r="K43" i="5"/>
  <c r="J43" i="5"/>
  <c r="I43" i="5"/>
  <c r="H43" i="5"/>
  <c r="E43" i="5"/>
  <c r="D43" i="5"/>
  <c r="C43" i="5"/>
  <c r="B43" i="5"/>
  <c r="A43" i="5"/>
  <c r="N42" i="5"/>
  <c r="O42" i="5" s="1"/>
  <c r="M42" i="5"/>
  <c r="L42" i="5"/>
  <c r="K42" i="5"/>
  <c r="J42" i="5"/>
  <c r="I42" i="5"/>
  <c r="H42" i="5"/>
  <c r="E42" i="5"/>
  <c r="D42" i="5"/>
  <c r="C42" i="5"/>
  <c r="B42" i="5"/>
  <c r="A42" i="5"/>
  <c r="N41" i="5"/>
  <c r="O41" i="5" s="1"/>
  <c r="M41" i="5"/>
  <c r="L41" i="5"/>
  <c r="K41" i="5"/>
  <c r="J41" i="5"/>
  <c r="I41" i="5"/>
  <c r="H41" i="5"/>
  <c r="G41" i="5"/>
  <c r="F41" i="5"/>
  <c r="E41" i="5"/>
  <c r="D41" i="5"/>
  <c r="C41" i="5"/>
  <c r="B41" i="5"/>
  <c r="A41" i="5"/>
  <c r="N40" i="5"/>
  <c r="O40" i="5" s="1"/>
  <c r="G33" i="10" s="1"/>
  <c r="M40" i="5"/>
  <c r="L40" i="5"/>
  <c r="K40" i="5"/>
  <c r="J40" i="5"/>
  <c r="I40" i="5"/>
  <c r="H40" i="5"/>
  <c r="E40" i="5"/>
  <c r="D40" i="5"/>
  <c r="C40" i="5"/>
  <c r="B40" i="5"/>
  <c r="A40" i="5"/>
  <c r="N39" i="5"/>
  <c r="O39" i="5" s="1"/>
  <c r="G32" i="10" s="1"/>
  <c r="M39" i="5"/>
  <c r="L39" i="5"/>
  <c r="K39" i="5"/>
  <c r="J39" i="5"/>
  <c r="I39" i="5"/>
  <c r="H39" i="5"/>
  <c r="E39" i="5"/>
  <c r="D39" i="5"/>
  <c r="C39" i="5"/>
  <c r="B39" i="5"/>
  <c r="A39" i="5"/>
  <c r="N38" i="5"/>
  <c r="O38" i="5" s="1"/>
  <c r="G31" i="10" s="1"/>
  <c r="M38" i="5"/>
  <c r="L38" i="5"/>
  <c r="K38" i="5"/>
  <c r="J38" i="5"/>
  <c r="I38" i="5"/>
  <c r="H38" i="5"/>
  <c r="F38" i="5"/>
  <c r="E38" i="5"/>
  <c r="D38" i="5"/>
  <c r="C38" i="5"/>
  <c r="B38" i="5"/>
  <c r="A38" i="5"/>
  <c r="N37" i="5"/>
  <c r="O37" i="5" s="1"/>
  <c r="P37" i="5" s="1"/>
  <c r="M37" i="5"/>
  <c r="L37" i="5"/>
  <c r="K37" i="5"/>
  <c r="J37" i="5"/>
  <c r="I37" i="5"/>
  <c r="H37" i="5"/>
  <c r="F37" i="5"/>
  <c r="E37" i="5"/>
  <c r="D37" i="5"/>
  <c r="C37" i="5"/>
  <c r="B37" i="5"/>
  <c r="A37" i="5"/>
  <c r="N36" i="5"/>
  <c r="O36" i="5" s="1"/>
  <c r="G29" i="10" s="1"/>
  <c r="M36" i="5"/>
  <c r="L36" i="5"/>
  <c r="K36" i="5"/>
  <c r="J36" i="5"/>
  <c r="I36" i="5"/>
  <c r="H36" i="5"/>
  <c r="F36" i="5"/>
  <c r="E36" i="5"/>
  <c r="D36" i="5"/>
  <c r="C36" i="5"/>
  <c r="B36" i="5"/>
  <c r="A36" i="5"/>
  <c r="N35" i="5"/>
  <c r="O35" i="5" s="1"/>
  <c r="M35" i="5"/>
  <c r="L35" i="5"/>
  <c r="K35" i="5"/>
  <c r="J35" i="5"/>
  <c r="I35" i="5"/>
  <c r="H35" i="5"/>
  <c r="F35" i="5"/>
  <c r="E35" i="5"/>
  <c r="D35" i="5"/>
  <c r="C35" i="5"/>
  <c r="B35" i="5"/>
  <c r="A35" i="5"/>
  <c r="N34" i="5"/>
  <c r="O34" i="5" s="1"/>
  <c r="G27" i="10" s="1"/>
  <c r="M34" i="5"/>
  <c r="L34" i="5"/>
  <c r="K34" i="5"/>
  <c r="J34" i="5"/>
  <c r="I34" i="5"/>
  <c r="H34" i="5"/>
  <c r="E34" i="5"/>
  <c r="D34" i="5"/>
  <c r="C34" i="5"/>
  <c r="B34" i="5"/>
  <c r="A34" i="5"/>
  <c r="N33" i="5"/>
  <c r="O33" i="5" s="1"/>
  <c r="G26" i="10" s="1"/>
  <c r="M33" i="5"/>
  <c r="L33" i="5"/>
  <c r="K33" i="5"/>
  <c r="J33" i="5"/>
  <c r="I33" i="5"/>
  <c r="H33" i="5"/>
  <c r="E33" i="5"/>
  <c r="D33" i="5"/>
  <c r="C33" i="5"/>
  <c r="B33" i="5"/>
  <c r="A33" i="5"/>
  <c r="N32" i="5"/>
  <c r="O32" i="5" s="1"/>
  <c r="M32" i="5"/>
  <c r="L32" i="5"/>
  <c r="K32" i="5"/>
  <c r="J32" i="5"/>
  <c r="I32" i="5"/>
  <c r="H32" i="5"/>
  <c r="E32" i="5"/>
  <c r="D32" i="5"/>
  <c r="C32" i="5"/>
  <c r="B32" i="5"/>
  <c r="A32" i="5"/>
  <c r="N31" i="5"/>
  <c r="O31" i="5" s="1"/>
  <c r="M31" i="5"/>
  <c r="L31" i="5"/>
  <c r="K31" i="5"/>
  <c r="J31" i="5"/>
  <c r="I31" i="5"/>
  <c r="H31" i="5"/>
  <c r="E31" i="5"/>
  <c r="D31" i="5"/>
  <c r="C31" i="5"/>
  <c r="B31" i="5"/>
  <c r="A31" i="5"/>
  <c r="N30" i="5"/>
  <c r="O30" i="5" s="1"/>
  <c r="M30" i="5"/>
  <c r="L30" i="5"/>
  <c r="K30" i="5"/>
  <c r="J30" i="5"/>
  <c r="I30" i="5"/>
  <c r="H30" i="5"/>
  <c r="G30" i="5"/>
  <c r="F30" i="5"/>
  <c r="E30" i="5"/>
  <c r="D30" i="5"/>
  <c r="C30" i="5"/>
  <c r="B30" i="5"/>
  <c r="A30" i="5"/>
  <c r="N29" i="5"/>
  <c r="O29" i="5" s="1"/>
  <c r="G22" i="10" s="1"/>
  <c r="M29" i="5"/>
  <c r="L29" i="5"/>
  <c r="K29" i="5"/>
  <c r="J29" i="5"/>
  <c r="I29" i="5"/>
  <c r="H29" i="5"/>
  <c r="E29" i="5"/>
  <c r="D29" i="5"/>
  <c r="C29" i="5"/>
  <c r="B29" i="5"/>
  <c r="A29" i="5"/>
  <c r="N28" i="5"/>
  <c r="O28" i="5" s="1"/>
  <c r="G21" i="10" s="1"/>
  <c r="M28" i="5"/>
  <c r="L28" i="5"/>
  <c r="K28" i="5"/>
  <c r="J28" i="5"/>
  <c r="I28" i="5"/>
  <c r="H28" i="5"/>
  <c r="E28" i="5"/>
  <c r="D28" i="5"/>
  <c r="C28" i="5"/>
  <c r="B28" i="5"/>
  <c r="A28" i="5"/>
  <c r="N27" i="5"/>
  <c r="O27" i="5" s="1"/>
  <c r="G20" i="10" s="1"/>
  <c r="M27" i="5"/>
  <c r="L27" i="5"/>
  <c r="K27" i="5"/>
  <c r="J27" i="5"/>
  <c r="I27" i="5"/>
  <c r="H27" i="5"/>
  <c r="F27" i="5"/>
  <c r="E27" i="5"/>
  <c r="D27" i="5"/>
  <c r="C27" i="5"/>
  <c r="B27" i="5"/>
  <c r="A27" i="5"/>
  <c r="N26" i="5"/>
  <c r="O26" i="5" s="1"/>
  <c r="G19" i="10" s="1"/>
  <c r="M26" i="5"/>
  <c r="L26" i="5"/>
  <c r="K26" i="5"/>
  <c r="J26" i="5"/>
  <c r="I26" i="5"/>
  <c r="H26" i="5"/>
  <c r="G26" i="5"/>
  <c r="F26" i="5"/>
  <c r="E26" i="5"/>
  <c r="D26" i="5"/>
  <c r="C26" i="5"/>
  <c r="B26" i="5"/>
  <c r="A26" i="5"/>
  <c r="N25" i="5"/>
  <c r="O25" i="5" s="1"/>
  <c r="P25" i="5" s="1"/>
  <c r="M25" i="5"/>
  <c r="L25" i="5"/>
  <c r="K25" i="5"/>
  <c r="J25" i="5"/>
  <c r="I25" i="5"/>
  <c r="H25" i="5"/>
  <c r="F25" i="5"/>
  <c r="E25" i="5"/>
  <c r="D25" i="5"/>
  <c r="C25" i="5"/>
  <c r="B25" i="5"/>
  <c r="A25" i="5"/>
  <c r="N24" i="5"/>
  <c r="O24" i="5" s="1"/>
  <c r="M24" i="5"/>
  <c r="L24" i="5"/>
  <c r="K24" i="5"/>
  <c r="J24" i="5"/>
  <c r="I24" i="5"/>
  <c r="H24" i="5"/>
  <c r="E24" i="5"/>
  <c r="D24" i="5"/>
  <c r="C24" i="5"/>
  <c r="B24" i="5"/>
  <c r="A24" i="5"/>
  <c r="N23" i="5"/>
  <c r="O23" i="5" s="1"/>
  <c r="G16" i="10" s="1"/>
  <c r="M23" i="5"/>
  <c r="L23" i="5"/>
  <c r="K23" i="5"/>
  <c r="J23" i="5"/>
  <c r="I23" i="5"/>
  <c r="H23" i="5"/>
  <c r="E23" i="5"/>
  <c r="D23" i="5"/>
  <c r="C23" i="5"/>
  <c r="B23" i="5"/>
  <c r="A23" i="5"/>
  <c r="N22" i="5"/>
  <c r="O22" i="5" s="1"/>
  <c r="G15" i="10" s="1"/>
  <c r="M22" i="5"/>
  <c r="L22" i="5"/>
  <c r="K22" i="5"/>
  <c r="J22" i="5"/>
  <c r="I22" i="5"/>
  <c r="H22" i="5"/>
  <c r="E22" i="5"/>
  <c r="D22" i="5"/>
  <c r="C22" i="5"/>
  <c r="B22" i="5"/>
  <c r="A22" i="5"/>
  <c r="N21" i="5"/>
  <c r="O21" i="5" s="1"/>
  <c r="M21" i="5"/>
  <c r="L21" i="5"/>
  <c r="K21" i="5"/>
  <c r="J21" i="5"/>
  <c r="I21" i="5"/>
  <c r="H21" i="5"/>
  <c r="E21" i="5"/>
  <c r="D21" i="5"/>
  <c r="C21" i="5"/>
  <c r="B21" i="5"/>
  <c r="A21" i="5"/>
  <c r="N20" i="5"/>
  <c r="O20" i="5" s="1"/>
  <c r="M20" i="5"/>
  <c r="L20" i="5"/>
  <c r="K20" i="5"/>
  <c r="J20" i="5"/>
  <c r="I20" i="5"/>
  <c r="H20" i="5"/>
  <c r="E20" i="5"/>
  <c r="D20" i="5"/>
  <c r="C20" i="5"/>
  <c r="B20" i="5"/>
  <c r="A20" i="5"/>
  <c r="N19" i="5"/>
  <c r="O19" i="5" s="1"/>
  <c r="M19" i="5"/>
  <c r="L19" i="5"/>
  <c r="K19" i="5"/>
  <c r="J19" i="5"/>
  <c r="I19" i="5"/>
  <c r="H19" i="5"/>
  <c r="G19" i="5"/>
  <c r="F19" i="5"/>
  <c r="E19" i="5"/>
  <c r="D19" i="5"/>
  <c r="C19" i="5"/>
  <c r="B19" i="5"/>
  <c r="A19" i="5"/>
  <c r="N18" i="5"/>
  <c r="O18" i="5" s="1"/>
  <c r="M18" i="5"/>
  <c r="L18" i="5"/>
  <c r="K18" i="5"/>
  <c r="J18" i="5"/>
  <c r="I18" i="5"/>
  <c r="H18" i="5"/>
  <c r="E18" i="5"/>
  <c r="D18" i="5"/>
  <c r="C18" i="5"/>
  <c r="B18" i="5"/>
  <c r="A18" i="5"/>
  <c r="N17" i="5"/>
  <c r="O17" i="5" s="1"/>
  <c r="G10" i="10" s="1"/>
  <c r="M17" i="5"/>
  <c r="L17" i="5"/>
  <c r="K17" i="5"/>
  <c r="J17" i="5"/>
  <c r="I17" i="5"/>
  <c r="H17" i="5"/>
  <c r="E17" i="5"/>
  <c r="D17" i="5"/>
  <c r="C17" i="5"/>
  <c r="B17" i="5"/>
  <c r="A17" i="5"/>
  <c r="N16" i="5"/>
  <c r="O16" i="5" s="1"/>
  <c r="G9" i="10" s="1"/>
  <c r="M16" i="5"/>
  <c r="L16" i="5"/>
  <c r="K16" i="5"/>
  <c r="J16" i="5"/>
  <c r="I16" i="5"/>
  <c r="H16" i="5"/>
  <c r="F16" i="5"/>
  <c r="E16" i="5"/>
  <c r="D16" i="5"/>
  <c r="C16" i="5"/>
  <c r="B16" i="5"/>
  <c r="A16" i="5"/>
  <c r="N15" i="5"/>
  <c r="O15" i="5" s="1"/>
  <c r="G8" i="10" s="1"/>
  <c r="M15" i="5"/>
  <c r="L15" i="5"/>
  <c r="K15" i="5"/>
  <c r="J15" i="5"/>
  <c r="I15" i="5"/>
  <c r="H15" i="5"/>
  <c r="G15" i="5"/>
  <c r="F15" i="5"/>
  <c r="E15" i="5"/>
  <c r="D15" i="5"/>
  <c r="C15" i="5"/>
  <c r="B15" i="5"/>
  <c r="A15" i="5"/>
  <c r="N14" i="5"/>
  <c r="O14" i="5" s="1"/>
  <c r="G7" i="10" s="1"/>
  <c r="M14" i="5"/>
  <c r="L14" i="5"/>
  <c r="K14" i="5"/>
  <c r="J14" i="5"/>
  <c r="I14" i="5"/>
  <c r="H14" i="5"/>
  <c r="E14" i="5"/>
  <c r="D14" i="5"/>
  <c r="C14" i="5"/>
  <c r="B14" i="5"/>
  <c r="A14" i="5"/>
  <c r="N13" i="5"/>
  <c r="O13" i="5" s="1"/>
  <c r="M13" i="5"/>
  <c r="L13" i="5"/>
  <c r="K13" i="5"/>
  <c r="J13" i="5"/>
  <c r="I13" i="5"/>
  <c r="H13" i="5"/>
  <c r="E13" i="5"/>
  <c r="D13" i="5"/>
  <c r="C13" i="5"/>
  <c r="B13" i="5"/>
  <c r="A13" i="5"/>
  <c r="E19" i="4"/>
  <c r="L15" i="4"/>
  <c r="K15" i="4"/>
  <c r="J15" i="4"/>
  <c r="I15" i="4"/>
  <c r="H15" i="4"/>
  <c r="G15" i="4"/>
  <c r="E15" i="4"/>
  <c r="D15" i="4"/>
  <c r="C15" i="4"/>
  <c r="B15" i="4"/>
  <c r="L14" i="4"/>
  <c r="G16" i="4" s="1"/>
  <c r="I16" i="4" s="1"/>
  <c r="K14" i="4"/>
  <c r="J14" i="4"/>
  <c r="I14" i="4"/>
  <c r="H14" i="4"/>
  <c r="G14" i="4"/>
  <c r="E14" i="4"/>
  <c r="D14" i="4"/>
  <c r="C14" i="4"/>
  <c r="B14" i="4"/>
  <c r="L13" i="4"/>
  <c r="K13" i="4"/>
  <c r="J13" i="4"/>
  <c r="I13" i="4"/>
  <c r="H13" i="4"/>
  <c r="G13" i="4"/>
  <c r="E13" i="4"/>
  <c r="D13" i="4"/>
  <c r="C13" i="4"/>
  <c r="B13" i="4"/>
  <c r="L8" i="4"/>
  <c r="G9" i="4" s="1"/>
  <c r="K8" i="4"/>
  <c r="J8" i="4"/>
  <c r="I8" i="4"/>
  <c r="H8" i="4"/>
  <c r="G8" i="4"/>
  <c r="E8" i="4"/>
  <c r="D8" i="4"/>
  <c r="C8" i="4"/>
  <c r="B8" i="4"/>
  <c r="L7" i="4"/>
  <c r="K7" i="4"/>
  <c r="J7" i="4"/>
  <c r="I7" i="4"/>
  <c r="H7" i="4"/>
  <c r="G7" i="4"/>
  <c r="E7" i="4"/>
  <c r="D7" i="4"/>
  <c r="C7" i="4"/>
  <c r="B7" i="4"/>
  <c r="L6" i="4"/>
  <c r="K6" i="4"/>
  <c r="J6" i="4"/>
  <c r="I6" i="4"/>
  <c r="H6" i="4"/>
  <c r="G6" i="4"/>
  <c r="E6" i="4"/>
  <c r="D6" i="4"/>
  <c r="C6" i="4"/>
  <c r="B6" i="4"/>
  <c r="E64" i="3"/>
  <c r="E35" i="3"/>
  <c r="E34" i="3"/>
  <c r="E33" i="3"/>
  <c r="E32" i="3"/>
  <c r="E31" i="3"/>
  <c r="E30" i="3"/>
  <c r="F20" i="3"/>
  <c r="E20" i="3"/>
  <c r="E19" i="3"/>
  <c r="F19" i="3" s="1"/>
  <c r="F18" i="3"/>
  <c r="E18" i="3"/>
  <c r="F17" i="3"/>
  <c r="E17" i="3"/>
  <c r="E16" i="3"/>
  <c r="F16" i="3" s="1"/>
  <c r="O15" i="3"/>
  <c r="F15" i="3"/>
  <c r="E15" i="3"/>
  <c r="M9" i="3"/>
  <c r="B8" i="3"/>
  <c r="M6" i="3"/>
  <c r="K6" i="3"/>
  <c r="H48" i="2"/>
  <c r="B48" i="2"/>
  <c r="H47" i="2"/>
  <c r="E47" i="2"/>
  <c r="B47" i="2"/>
  <c r="H46" i="2"/>
  <c r="E46" i="2"/>
  <c r="B46" i="2"/>
  <c r="H45" i="2"/>
  <c r="E45" i="2"/>
  <c r="B45" i="2"/>
  <c r="H44" i="2"/>
  <c r="E44" i="2"/>
  <c r="B44" i="2"/>
  <c r="H43" i="2"/>
  <c r="E43" i="2"/>
  <c r="B43" i="2"/>
  <c r="M38" i="2"/>
  <c r="G84" i="5" s="1"/>
  <c r="J38" i="2"/>
  <c r="M37" i="2"/>
  <c r="F45" i="5" s="1"/>
  <c r="J37" i="2"/>
  <c r="M36" i="2"/>
  <c r="G44" i="5" s="1"/>
  <c r="J36" i="2"/>
  <c r="M35" i="2"/>
  <c r="J35" i="2"/>
  <c r="M34" i="2"/>
  <c r="J34" i="2"/>
  <c r="M33" i="2"/>
  <c r="G79" i="5" s="1"/>
  <c r="J33" i="2"/>
  <c r="M32" i="2"/>
  <c r="G40" i="5" s="1"/>
  <c r="J32" i="2"/>
  <c r="M31" i="2"/>
  <c r="J31" i="2"/>
  <c r="M30" i="2"/>
  <c r="G38" i="5" s="1"/>
  <c r="J30" i="2"/>
  <c r="M29" i="2"/>
  <c r="G75" i="5" s="1"/>
  <c r="J29" i="2"/>
  <c r="M28" i="2"/>
  <c r="G36" i="5" s="1"/>
  <c r="J28" i="2"/>
  <c r="M27" i="2"/>
  <c r="G73" i="5" s="1"/>
  <c r="J27" i="2"/>
  <c r="M26" i="2"/>
  <c r="F34" i="5" s="1"/>
  <c r="J26" i="2"/>
  <c r="M25" i="2"/>
  <c r="G33" i="5" s="1"/>
  <c r="J25" i="2"/>
  <c r="M24" i="2"/>
  <c r="J24" i="2"/>
  <c r="M23" i="2"/>
  <c r="J23" i="2"/>
  <c r="M22" i="2"/>
  <c r="G68" i="5" s="1"/>
  <c r="J22" i="2"/>
  <c r="M21" i="2"/>
  <c r="G29" i="5" s="1"/>
  <c r="J21" i="2"/>
  <c r="M20" i="2"/>
  <c r="J20" i="2"/>
  <c r="M19" i="2"/>
  <c r="G27" i="5" s="1"/>
  <c r="J19" i="2"/>
  <c r="M18" i="2"/>
  <c r="G64" i="5" s="1"/>
  <c r="J18" i="2"/>
  <c r="M17" i="2"/>
  <c r="G25" i="5" s="1"/>
  <c r="J17" i="2"/>
  <c r="M16" i="2"/>
  <c r="G62" i="5" s="1"/>
  <c r="J16" i="2"/>
  <c r="M15" i="2"/>
  <c r="F23" i="5" s="1"/>
  <c r="J15" i="2"/>
  <c r="M14" i="2"/>
  <c r="G22" i="5" s="1"/>
  <c r="J14" i="2"/>
  <c r="M13" i="2"/>
  <c r="J13" i="2"/>
  <c r="M12" i="2"/>
  <c r="J12" i="2"/>
  <c r="M11" i="2"/>
  <c r="G57" i="5" s="1"/>
  <c r="J11" i="2"/>
  <c r="M10" i="2"/>
  <c r="G18" i="5" s="1"/>
  <c r="J10" i="2"/>
  <c r="M9" i="2"/>
  <c r="J9" i="2"/>
  <c r="M8" i="2"/>
  <c r="G16" i="5" s="1"/>
  <c r="J8" i="2"/>
  <c r="M7" i="2"/>
  <c r="G53" i="5" s="1"/>
  <c r="J7" i="2"/>
  <c r="M6" i="2"/>
  <c r="G14" i="5" s="1"/>
  <c r="J6" i="2"/>
  <c r="M5" i="2"/>
  <c r="G51" i="5" s="1"/>
  <c r="J5" i="2"/>
  <c r="P46" i="5" l="1"/>
  <c r="G39" i="10"/>
  <c r="I39" i="10" s="1"/>
  <c r="M35" i="10"/>
  <c r="K35" i="7"/>
  <c r="K46" i="7"/>
  <c r="N8" i="10"/>
  <c r="L13" i="10"/>
  <c r="P36" i="6"/>
  <c r="Q36" i="6" s="1"/>
  <c r="J36" i="10" s="1"/>
  <c r="L36" i="10" s="1"/>
  <c r="K28" i="7"/>
  <c r="N36" i="10"/>
  <c r="P44" i="6"/>
  <c r="Q44" i="6" s="1"/>
  <c r="K6" i="10" s="1"/>
  <c r="L6" i="10" s="1"/>
  <c r="P66" i="6"/>
  <c r="Q66" i="6" s="1"/>
  <c r="K28" i="10" s="1"/>
  <c r="P17" i="6"/>
  <c r="Q17" i="6" s="1"/>
  <c r="J17" i="10" s="1"/>
  <c r="L17" i="10" s="1"/>
  <c r="P45" i="6"/>
  <c r="Q45" i="6" s="1"/>
  <c r="K7" i="10" s="1"/>
  <c r="P74" i="6"/>
  <c r="Q74" i="6" s="1"/>
  <c r="K36" i="10" s="1"/>
  <c r="K69" i="7"/>
  <c r="P49" i="6"/>
  <c r="Q49" i="6" s="1"/>
  <c r="K11" i="10" s="1"/>
  <c r="K12" i="7"/>
  <c r="P34" i="5"/>
  <c r="P58" i="6"/>
  <c r="Q58" i="6" s="1"/>
  <c r="K20" i="10" s="1"/>
  <c r="P10" i="6"/>
  <c r="Q10" i="6" s="1"/>
  <c r="J10" i="10" s="1"/>
  <c r="P70" i="6"/>
  <c r="Q70" i="6" s="1"/>
  <c r="K32" i="10" s="1"/>
  <c r="L32" i="10" s="1"/>
  <c r="P34" i="6"/>
  <c r="Q34" i="6" s="1"/>
  <c r="J34" i="10" s="1"/>
  <c r="L34" i="10" s="1"/>
  <c r="K21" i="7"/>
  <c r="M26" i="10"/>
  <c r="P51" i="6"/>
  <c r="Q51" i="6" s="1"/>
  <c r="K13" i="10" s="1"/>
  <c r="P28" i="6"/>
  <c r="Q28" i="6" s="1"/>
  <c r="J28" i="10" s="1"/>
  <c r="P23" i="5"/>
  <c r="P33" i="6"/>
  <c r="Q33" i="6" s="1"/>
  <c r="J33" i="10" s="1"/>
  <c r="L33" i="10" s="1"/>
  <c r="I37" i="10"/>
  <c r="P14" i="6"/>
  <c r="Q14" i="6" s="1"/>
  <c r="J14" i="10" s="1"/>
  <c r="P81" i="5"/>
  <c r="P71" i="6"/>
  <c r="Q71" i="6" s="1"/>
  <c r="K33" i="10" s="1"/>
  <c r="I8" i="10"/>
  <c r="P22" i="6"/>
  <c r="Q22" i="6" s="1"/>
  <c r="J22" i="10" s="1"/>
  <c r="K29" i="7"/>
  <c r="M31" i="10"/>
  <c r="O31" i="10" s="1"/>
  <c r="P39" i="6"/>
  <c r="Q39" i="6" s="1"/>
  <c r="J39" i="10" s="1"/>
  <c r="P35" i="6"/>
  <c r="Q35" i="6" s="1"/>
  <c r="J35" i="10" s="1"/>
  <c r="P64" i="6"/>
  <c r="Q64" i="6" s="1"/>
  <c r="K26" i="10" s="1"/>
  <c r="L26" i="10" s="1"/>
  <c r="I19" i="10"/>
  <c r="I9" i="10"/>
  <c r="P82" i="5"/>
  <c r="K6" i="7"/>
  <c r="P52" i="6"/>
  <c r="Q52" i="6" s="1"/>
  <c r="K14" i="10" s="1"/>
  <c r="P16" i="6"/>
  <c r="Q16" i="6" s="1"/>
  <c r="J16" i="10" s="1"/>
  <c r="L16" i="10" s="1"/>
  <c r="K58" i="7"/>
  <c r="K47" i="7"/>
  <c r="K32" i="7"/>
  <c r="P15" i="6"/>
  <c r="Q15" i="6" s="1"/>
  <c r="J15" i="10" s="1"/>
  <c r="P76" i="6"/>
  <c r="Q76" i="6" s="1"/>
  <c r="K38" i="10" s="1"/>
  <c r="P45" i="5"/>
  <c r="P8" i="6"/>
  <c r="Q8" i="6" s="1"/>
  <c r="J8" i="10" s="1"/>
  <c r="P63" i="6"/>
  <c r="Q63" i="6" s="1"/>
  <c r="K25" i="10" s="1"/>
  <c r="M33" i="10"/>
  <c r="K33" i="7"/>
  <c r="H16" i="10"/>
  <c r="I16" i="10" s="1"/>
  <c r="P61" i="5"/>
  <c r="H23" i="10"/>
  <c r="P68" i="5"/>
  <c r="M8" i="10"/>
  <c r="K8" i="7"/>
  <c r="P42" i="5"/>
  <c r="G35" i="10"/>
  <c r="H27" i="10"/>
  <c r="P72" i="5"/>
  <c r="G6" i="10"/>
  <c r="I6" i="10" s="1"/>
  <c r="P13" i="5"/>
  <c r="H34" i="10"/>
  <c r="P79" i="5"/>
  <c r="L14" i="10"/>
  <c r="G11" i="10"/>
  <c r="P18" i="5"/>
  <c r="P20" i="5"/>
  <c r="G13" i="10"/>
  <c r="H32" i="10"/>
  <c r="P77" i="5"/>
  <c r="G17" i="10"/>
  <c r="I17" i="10" s="1"/>
  <c r="P24" i="5"/>
  <c r="H38" i="10"/>
  <c r="I38" i="10" s="1"/>
  <c r="P83" i="5"/>
  <c r="N18" i="10"/>
  <c r="O18" i="10" s="1"/>
  <c r="K56" i="7"/>
  <c r="L23" i="10"/>
  <c r="N7" i="10"/>
  <c r="K45" i="7"/>
  <c r="K22" i="7"/>
  <c r="M22" i="10"/>
  <c r="G19" i="4"/>
  <c r="I19" i="4" s="1"/>
  <c r="B5" i="12" s="1"/>
  <c r="D5" i="12" s="1"/>
  <c r="I9" i="4"/>
  <c r="G28" i="10"/>
  <c r="I28" i="10" s="1"/>
  <c r="P35" i="5"/>
  <c r="H21" i="10"/>
  <c r="I21" i="10" s="1"/>
  <c r="P66" i="5"/>
  <c r="M30" i="10"/>
  <c r="K30" i="7"/>
  <c r="G24" i="10"/>
  <c r="P31" i="5"/>
  <c r="L28" i="10"/>
  <c r="L8" i="10"/>
  <c r="F51" i="5"/>
  <c r="G55" i="5"/>
  <c r="G17" i="5"/>
  <c r="G77" i="5"/>
  <c r="G39" i="5"/>
  <c r="G12" i="10"/>
  <c r="P19" i="5"/>
  <c r="F67" i="5"/>
  <c r="G66" i="5"/>
  <c r="G28" i="5"/>
  <c r="P46" i="6"/>
  <c r="Q46" i="6" s="1"/>
  <c r="K8" i="10" s="1"/>
  <c r="P67" i="6"/>
  <c r="Q67" i="6" s="1"/>
  <c r="K29" i="10" s="1"/>
  <c r="K11" i="7"/>
  <c r="M11" i="10"/>
  <c r="O11" i="10" s="1"/>
  <c r="G30" i="10"/>
  <c r="I30" i="10" s="1"/>
  <c r="P40" i="5"/>
  <c r="H24" i="10"/>
  <c r="P69" i="5"/>
  <c r="O35" i="10"/>
  <c r="P17" i="5"/>
  <c r="F24" i="5"/>
  <c r="F62" i="5"/>
  <c r="P20" i="6"/>
  <c r="Q20" i="6" s="1"/>
  <c r="J20" i="10" s="1"/>
  <c r="L20" i="10" s="1"/>
  <c r="K53" i="7"/>
  <c r="N15" i="10"/>
  <c r="K61" i="7"/>
  <c r="N23" i="10"/>
  <c r="O23" i="10" s="1"/>
  <c r="P63" i="5"/>
  <c r="P77" i="6"/>
  <c r="Q77" i="6" s="1"/>
  <c r="K39" i="10" s="1"/>
  <c r="L39" i="10" s="1"/>
  <c r="S39" i="10" s="1"/>
  <c r="T39" i="10" s="1"/>
  <c r="U39" i="10" s="1"/>
  <c r="K17" i="7"/>
  <c r="G18" i="10"/>
  <c r="I18" i="10" s="1"/>
  <c r="I15" i="10"/>
  <c r="G24" i="5"/>
  <c r="G20" i="5"/>
  <c r="G58" i="5"/>
  <c r="F58" i="5"/>
  <c r="G31" i="5"/>
  <c r="G69" i="5"/>
  <c r="F69" i="5"/>
  <c r="G42" i="5"/>
  <c r="G80" i="5"/>
  <c r="F80" i="5"/>
  <c r="P22" i="5"/>
  <c r="P28" i="5"/>
  <c r="P71" i="5"/>
  <c r="P59" i="6"/>
  <c r="Q59" i="6" s="1"/>
  <c r="K21" i="10" s="1"/>
  <c r="P73" i="6"/>
  <c r="Q73" i="6" s="1"/>
  <c r="K35" i="10" s="1"/>
  <c r="L35" i="10" s="1"/>
  <c r="N29" i="10"/>
  <c r="O29" i="10" s="1"/>
  <c r="K67" i="7"/>
  <c r="K75" i="7"/>
  <c r="N37" i="10"/>
  <c r="I7" i="10"/>
  <c r="P9" i="6"/>
  <c r="Q9" i="6" s="1"/>
  <c r="J9" i="10" s="1"/>
  <c r="P14" i="5"/>
  <c r="P60" i="5"/>
  <c r="M14" i="10"/>
  <c r="K14" i="7"/>
  <c r="K50" i="7"/>
  <c r="K64" i="7"/>
  <c r="N26" i="10"/>
  <c r="O26" i="10" s="1"/>
  <c r="I26" i="10"/>
  <c r="G35" i="5"/>
  <c r="I29" i="10"/>
  <c r="I32" i="10"/>
  <c r="P74" i="5"/>
  <c r="P30" i="6"/>
  <c r="Q30" i="6" s="1"/>
  <c r="J30" i="10" s="1"/>
  <c r="O12" i="10"/>
  <c r="M25" i="10"/>
  <c r="O25" i="10" s="1"/>
  <c r="K25" i="7"/>
  <c r="J23" i="13"/>
  <c r="L25" i="14" s="1"/>
  <c r="H23" i="13"/>
  <c r="K25" i="14" s="1"/>
  <c r="I23" i="13"/>
  <c r="F13" i="5"/>
  <c r="M38" i="10"/>
  <c r="O38" i="10" s="1"/>
  <c r="K38" i="7"/>
  <c r="N34" i="10"/>
  <c r="O34" i="10" s="1"/>
  <c r="K72" i="7"/>
  <c r="G13" i="5"/>
  <c r="I10" i="10"/>
  <c r="P52" i="5"/>
  <c r="P55" i="5"/>
  <c r="P27" i="6"/>
  <c r="Q27" i="6" s="1"/>
  <c r="J27" i="10" s="1"/>
  <c r="L27" i="10" s="1"/>
  <c r="P56" i="6"/>
  <c r="Q56" i="6" s="1"/>
  <c r="K18" i="10" s="1"/>
  <c r="L18" i="10" s="1"/>
  <c r="P12" i="6"/>
  <c r="Q12" i="6" s="1"/>
  <c r="J12" i="10" s="1"/>
  <c r="P37" i="6"/>
  <c r="Q37" i="6" s="1"/>
  <c r="J37" i="10" s="1"/>
  <c r="P48" i="6"/>
  <c r="Q48" i="6" s="1"/>
  <c r="K10" i="10" s="1"/>
  <c r="L10" i="10" s="1"/>
  <c r="G59" i="5"/>
  <c r="F59" i="5"/>
  <c r="G21" i="5"/>
  <c r="F21" i="5"/>
  <c r="G70" i="5"/>
  <c r="F70" i="5"/>
  <c r="G32" i="5"/>
  <c r="F32" i="5"/>
  <c r="G81" i="5"/>
  <c r="F81" i="5"/>
  <c r="G43" i="5"/>
  <c r="F43" i="5"/>
  <c r="P33" i="5"/>
  <c r="P36" i="5"/>
  <c r="P39" i="5"/>
  <c r="F46" i="5"/>
  <c r="F84" i="5"/>
  <c r="P19" i="6"/>
  <c r="Q19" i="6" s="1"/>
  <c r="J19" i="10" s="1"/>
  <c r="K70" i="7"/>
  <c r="N32" i="10"/>
  <c r="O32" i="10" s="1"/>
  <c r="P44" i="5"/>
  <c r="K7" i="7"/>
  <c r="I20" i="10"/>
  <c r="N24" i="10"/>
  <c r="O24" i="10" s="1"/>
  <c r="K62" i="7"/>
  <c r="G23" i="10"/>
  <c r="P30" i="5"/>
  <c r="F78" i="5"/>
  <c r="K65" i="7"/>
  <c r="G34" i="5"/>
  <c r="P76" i="5"/>
  <c r="N30" i="10"/>
  <c r="K68" i="7"/>
  <c r="P6" i="10"/>
  <c r="R6" i="10"/>
  <c r="Q6" i="10"/>
  <c r="O7" i="10"/>
  <c r="K23" i="7"/>
  <c r="F72" i="5"/>
  <c r="G72" i="5"/>
  <c r="O10" i="10"/>
  <c r="K18" i="7"/>
  <c r="F83" i="5"/>
  <c r="P25" i="6"/>
  <c r="Q25" i="6" s="1"/>
  <c r="J25" i="10" s="1"/>
  <c r="L25" i="10" s="1"/>
  <c r="K10" i="7"/>
  <c r="K34" i="7"/>
  <c r="G14" i="10"/>
  <c r="I14" i="10" s="1"/>
  <c r="P21" i="5"/>
  <c r="G37" i="5"/>
  <c r="P38" i="5"/>
  <c r="G34" i="10"/>
  <c r="I34" i="10" s="1"/>
  <c r="P41" i="5"/>
  <c r="G83" i="5"/>
  <c r="P7" i="6"/>
  <c r="Q7" i="6" s="1"/>
  <c r="J7" i="10" s="1"/>
  <c r="N33" i="10"/>
  <c r="K71" i="7"/>
  <c r="Q14" i="10"/>
  <c r="R14" i="10"/>
  <c r="L11" i="10"/>
  <c r="G45" i="5"/>
  <c r="F52" i="5"/>
  <c r="F55" i="5"/>
  <c r="N14" i="10"/>
  <c r="F56" i="5"/>
  <c r="P54" i="5"/>
  <c r="M36" i="10"/>
  <c r="O36" i="10" s="1"/>
  <c r="K36" i="7"/>
  <c r="P16" i="5"/>
  <c r="K76" i="7"/>
  <c r="P59" i="5"/>
  <c r="P62" i="5"/>
  <c r="P65" i="5"/>
  <c r="N13" i="10"/>
  <c r="O13" i="10" s="1"/>
  <c r="K51" i="7"/>
  <c r="P27" i="5"/>
  <c r="L29" i="10"/>
  <c r="P47" i="6"/>
  <c r="Q47" i="6" s="1"/>
  <c r="K9" i="10" s="1"/>
  <c r="K54" i="7"/>
  <c r="F40" i="5"/>
  <c r="F17" i="5"/>
  <c r="F20" i="5"/>
  <c r="G25" i="10"/>
  <c r="I25" i="10" s="1"/>
  <c r="P32" i="5"/>
  <c r="G52" i="5"/>
  <c r="H11" i="10"/>
  <c r="P56" i="5"/>
  <c r="P21" i="6"/>
  <c r="Q21" i="6" s="1"/>
  <c r="J21" i="10" s="1"/>
  <c r="P50" i="6"/>
  <c r="Q50" i="6" s="1"/>
  <c r="K12" i="10" s="1"/>
  <c r="P57" i="6"/>
  <c r="Q57" i="6" s="1"/>
  <c r="K19" i="10" s="1"/>
  <c r="P75" i="6"/>
  <c r="Q75" i="6" s="1"/>
  <c r="K37" i="10" s="1"/>
  <c r="K37" i="7"/>
  <c r="M37" i="10"/>
  <c r="N22" i="10"/>
  <c r="K60" i="7"/>
  <c r="M19" i="10"/>
  <c r="H35" i="10"/>
  <c r="N21" i="10"/>
  <c r="O21" i="10" s="1"/>
  <c r="K59" i="7"/>
  <c r="N35" i="10"/>
  <c r="K73" i="7"/>
  <c r="L38" i="10"/>
  <c r="K39" i="7"/>
  <c r="G23" i="5"/>
  <c r="F29" i="5"/>
  <c r="G67" i="5"/>
  <c r="I31" i="10"/>
  <c r="P70" i="5"/>
  <c r="P73" i="5"/>
  <c r="G78" i="5"/>
  <c r="F66" i="5"/>
  <c r="P68" i="6"/>
  <c r="Q68" i="6" s="1"/>
  <c r="K30" i="10" s="1"/>
  <c r="K13" i="7"/>
  <c r="K16" i="7"/>
  <c r="M16" i="10"/>
  <c r="O16" i="10" s="1"/>
  <c r="N6" i="10"/>
  <c r="O6" i="10" s="1"/>
  <c r="K44" i="7"/>
  <c r="F14" i="5"/>
  <c r="F63" i="5"/>
  <c r="P15" i="5"/>
  <c r="F28" i="5"/>
  <c r="F31" i="5"/>
  <c r="G36" i="10"/>
  <c r="I36" i="10" s="1"/>
  <c r="P43" i="5"/>
  <c r="G63" i="5"/>
  <c r="P64" i="5"/>
  <c r="H22" i="10"/>
  <c r="I22" i="10" s="1"/>
  <c r="P67" i="5"/>
  <c r="N25" i="10"/>
  <c r="K63" i="7"/>
  <c r="R17" i="10"/>
  <c r="Q17" i="10"/>
  <c r="P17" i="10"/>
  <c r="N17" i="10"/>
  <c r="O17" i="10" s="1"/>
  <c r="K55" i="7"/>
  <c r="K66" i="7"/>
  <c r="N28" i="10"/>
  <c r="O28" i="10" s="1"/>
  <c r="Q12" i="10"/>
  <c r="R12" i="10"/>
  <c r="P12" i="10"/>
  <c r="F18" i="5"/>
  <c r="P51" i="5"/>
  <c r="G56" i="5"/>
  <c r="K15" i="7"/>
  <c r="M15" i="10"/>
  <c r="F77" i="5"/>
  <c r="P60" i="6"/>
  <c r="Q60" i="6" s="1"/>
  <c r="K22" i="10" s="1"/>
  <c r="L22" i="10" s="1"/>
  <c r="P26" i="5"/>
  <c r="P29" i="5"/>
  <c r="I27" i="10"/>
  <c r="F39" i="5"/>
  <c r="F42" i="5"/>
  <c r="P58" i="5"/>
  <c r="H13" i="10"/>
  <c r="G74" i="5"/>
  <c r="P75" i="5"/>
  <c r="H33" i="10"/>
  <c r="I33" i="10" s="1"/>
  <c r="P78" i="5"/>
  <c r="P24" i="6"/>
  <c r="Q24" i="6" s="1"/>
  <c r="J24" i="10" s="1"/>
  <c r="L24" i="10" s="1"/>
  <c r="P31" i="6"/>
  <c r="Q31" i="6" s="1"/>
  <c r="J31" i="10" s="1"/>
  <c r="L31" i="10" s="1"/>
  <c r="P53" i="6"/>
  <c r="Q53" i="6" s="1"/>
  <c r="K15" i="10" s="1"/>
  <c r="K24" i="7"/>
  <c r="K27" i="7"/>
  <c r="M27" i="10"/>
  <c r="O27" i="10" s="1"/>
  <c r="H12" i="10"/>
  <c r="P34" i="10"/>
  <c r="R34" i="10"/>
  <c r="I34" i="13"/>
  <c r="I37" i="13"/>
  <c r="J21" i="13"/>
  <c r="L23" i="14" s="1"/>
  <c r="E11" i="13"/>
  <c r="J26" i="13"/>
  <c r="L28" i="14" s="1"/>
  <c r="I26" i="13"/>
  <c r="H26" i="13"/>
  <c r="K28" i="14" s="1"/>
  <c r="L35" i="13"/>
  <c r="K35" i="13"/>
  <c r="G54" i="5"/>
  <c r="G65" i="5"/>
  <c r="G76" i="5"/>
  <c r="I40" i="13"/>
  <c r="L47" i="13"/>
  <c r="Q36" i="10"/>
  <c r="P36" i="10"/>
  <c r="E7" i="13"/>
  <c r="L20" i="13"/>
  <c r="K22" i="14"/>
  <c r="K24" i="14"/>
  <c r="K22" i="13"/>
  <c r="K31" i="13"/>
  <c r="K33" i="14"/>
  <c r="L33" i="13"/>
  <c r="J38" i="13"/>
  <c r="J45" i="13"/>
  <c r="L47" i="14" s="1"/>
  <c r="I45" i="13"/>
  <c r="H45" i="13"/>
  <c r="K47" i="14" s="1"/>
  <c r="M9" i="10"/>
  <c r="O9" i="10" s="1"/>
  <c r="J20" i="13"/>
  <c r="L45" i="13"/>
  <c r="I18" i="13"/>
  <c r="H18" i="13"/>
  <c r="K43" i="13"/>
  <c r="K45" i="14"/>
  <c r="Q9" i="10"/>
  <c r="Q15" i="10"/>
  <c r="P22" i="10"/>
  <c r="P32" i="10"/>
  <c r="B51" i="12"/>
  <c r="J36" i="13"/>
  <c r="L43" i="13"/>
  <c r="F60" i="5"/>
  <c r="F71" i="5"/>
  <c r="F82" i="5"/>
  <c r="R9" i="10"/>
  <c r="R32" i="10"/>
  <c r="J16" i="13"/>
  <c r="J18" i="13"/>
  <c r="L20" i="14" s="1"/>
  <c r="J41" i="13"/>
  <c r="L43" i="14" s="1"/>
  <c r="I41" i="13"/>
  <c r="P8" i="10"/>
  <c r="K25" i="13"/>
  <c r="K27" i="13"/>
  <c r="L41" i="13"/>
  <c r="H41" i="13"/>
  <c r="K48" i="13"/>
  <c r="N19" i="10"/>
  <c r="P20" i="10"/>
  <c r="R11" i="10"/>
  <c r="P11" i="10"/>
  <c r="Q20" i="10"/>
  <c r="L25" i="13"/>
  <c r="L32" i="13"/>
  <c r="K32" i="13"/>
  <c r="F22" i="5"/>
  <c r="F33" i="5"/>
  <c r="F44" i="5"/>
  <c r="K20" i="7"/>
  <c r="J19" i="13"/>
  <c r="L21" i="14" s="1"/>
  <c r="I19" i="13"/>
  <c r="K77" i="7"/>
  <c r="Q7" i="10"/>
  <c r="Q19" i="10"/>
  <c r="Q26" i="10"/>
  <c r="J39" i="13"/>
  <c r="L41" i="14" s="1"/>
  <c r="P30" i="10"/>
  <c r="G44" i="12"/>
  <c r="J30" i="13"/>
  <c r="L32" i="14" s="1"/>
  <c r="J22" i="13"/>
  <c r="L24" i="14" s="1"/>
  <c r="J31" i="13"/>
  <c r="L33" i="14" s="1"/>
  <c r="J24" i="13"/>
  <c r="L26" i="14" s="1"/>
  <c r="H19" i="13"/>
  <c r="J28" i="13"/>
  <c r="L30" i="14" s="1"/>
  <c r="H28" i="13"/>
  <c r="Q30" i="10"/>
  <c r="R33" i="10"/>
  <c r="P33" i="10"/>
  <c r="R37" i="10"/>
  <c r="Q37" i="10"/>
  <c r="I42" i="13"/>
  <c r="L44" i="13"/>
  <c r="J17" i="13"/>
  <c r="L19" i="14" s="1"/>
  <c r="J37" i="13"/>
  <c r="L39" i="14" s="1"/>
  <c r="B53" i="12"/>
  <c r="I16" i="13"/>
  <c r="H29" i="13"/>
  <c r="K34" i="13"/>
  <c r="I38" i="13"/>
  <c r="H42" i="13"/>
  <c r="K47" i="13"/>
  <c r="K33" i="13"/>
  <c r="H32" i="13"/>
  <c r="K34" i="14" s="1"/>
  <c r="L46" i="13"/>
  <c r="B54" i="12"/>
  <c r="H27" i="13"/>
  <c r="K29" i="14" s="1"/>
  <c r="I36" i="13"/>
  <c r="H49" i="13"/>
  <c r="K51" i="14" s="1"/>
  <c r="E8" i="13"/>
  <c r="K23" i="13"/>
  <c r="I27" i="13"/>
  <c r="H40" i="13"/>
  <c r="K45" i="13"/>
  <c r="I49" i="13"/>
  <c r="B49" i="12"/>
  <c r="B52" i="12"/>
  <c r="H48" i="13"/>
  <c r="H17" i="13"/>
  <c r="H39" i="13"/>
  <c r="K44" i="13"/>
  <c r="I48" i="13"/>
  <c r="P35" i="10"/>
  <c r="I17" i="13"/>
  <c r="H30" i="13"/>
  <c r="I39" i="13"/>
  <c r="H21" i="13"/>
  <c r="O37" i="10" l="1"/>
  <c r="I12" i="10"/>
  <c r="I23" i="10"/>
  <c r="O8" i="10"/>
  <c r="L21" i="10"/>
  <c r="S38" i="10"/>
  <c r="T38" i="10" s="1"/>
  <c r="U38" i="10" s="1"/>
  <c r="G38" i="11" s="1"/>
  <c r="H38" i="11" s="1"/>
  <c r="K38" i="11" s="1"/>
  <c r="L37" i="10"/>
  <c r="S37" i="10" s="1"/>
  <c r="T37" i="10" s="1"/>
  <c r="U37" i="10" s="1"/>
  <c r="S25" i="10"/>
  <c r="T25" i="10" s="1"/>
  <c r="U25" i="10" s="1"/>
  <c r="L19" i="10"/>
  <c r="S8" i="10"/>
  <c r="T8" i="10" s="1"/>
  <c r="U8" i="10" s="1"/>
  <c r="L12" i="10"/>
  <c r="I11" i="10"/>
  <c r="O14" i="10"/>
  <c r="L7" i="10"/>
  <c r="L15" i="10"/>
  <c r="G20" i="14"/>
  <c r="H11" i="12"/>
  <c r="G8" i="11"/>
  <c r="H8" i="11" s="1"/>
  <c r="K8" i="11" s="1"/>
  <c r="G51" i="14"/>
  <c r="H42" i="12"/>
  <c r="I42" i="12" s="1"/>
  <c r="J42" i="12" s="1"/>
  <c r="K42" i="12" s="1"/>
  <c r="L42" i="12" s="1"/>
  <c r="N51" i="14" s="1"/>
  <c r="G39" i="11"/>
  <c r="H39" i="11" s="1"/>
  <c r="K39" i="11" s="1"/>
  <c r="H40" i="12"/>
  <c r="I40" i="12" s="1"/>
  <c r="J40" i="12" s="1"/>
  <c r="K40" i="12" s="1"/>
  <c r="L40" i="12" s="1"/>
  <c r="N49" i="14" s="1"/>
  <c r="G37" i="11"/>
  <c r="H37" i="11" s="1"/>
  <c r="K37" i="11" s="1"/>
  <c r="L40" i="14"/>
  <c r="L38" i="13"/>
  <c r="G37" i="14"/>
  <c r="G25" i="11"/>
  <c r="H25" i="11" s="1"/>
  <c r="K25" i="11" s="1"/>
  <c r="H28" i="12"/>
  <c r="I28" i="12" s="1"/>
  <c r="J28" i="12" s="1"/>
  <c r="K28" i="12" s="1"/>
  <c r="L28" i="12" s="1"/>
  <c r="N37" i="14" s="1"/>
  <c r="S28" i="10"/>
  <c r="T28" i="10" s="1"/>
  <c r="U28" i="10" s="1"/>
  <c r="L42" i="13"/>
  <c r="K44" i="14"/>
  <c r="K42" i="13"/>
  <c r="S36" i="10"/>
  <c r="T36" i="10" s="1"/>
  <c r="U36" i="10" s="1"/>
  <c r="I13" i="10"/>
  <c r="S13" i="10" s="1"/>
  <c r="T13" i="10" s="1"/>
  <c r="U13" i="10" s="1"/>
  <c r="K26" i="13"/>
  <c r="K21" i="13"/>
  <c r="K23" i="14"/>
  <c r="L30" i="10"/>
  <c r="L30" i="13"/>
  <c r="K30" i="13"/>
  <c r="K32" i="14"/>
  <c r="K30" i="14"/>
  <c r="L28" i="13"/>
  <c r="K41" i="13"/>
  <c r="K43" i="14"/>
  <c r="L31" i="13"/>
  <c r="S16" i="10"/>
  <c r="T16" i="10" s="1"/>
  <c r="U16" i="10" s="1"/>
  <c r="S32" i="10"/>
  <c r="T32" i="10" s="1"/>
  <c r="U32" i="10" s="1"/>
  <c r="S12" i="10"/>
  <c r="T12" i="10" s="1"/>
  <c r="U12" i="10" s="1"/>
  <c r="O22" i="10"/>
  <c r="S11" i="10"/>
  <c r="T11" i="10" s="1"/>
  <c r="U11" i="10" s="1"/>
  <c r="S26" i="10"/>
  <c r="T26" i="10" s="1"/>
  <c r="U26" i="10" s="1"/>
  <c r="L38" i="14"/>
  <c r="L36" i="13"/>
  <c r="L22" i="13"/>
  <c r="O19" i="10"/>
  <c r="S19" i="10" s="1"/>
  <c r="T19" i="10" s="1"/>
  <c r="U19" i="10" s="1"/>
  <c r="S21" i="10"/>
  <c r="T21" i="10" s="1"/>
  <c r="U21" i="10" s="1"/>
  <c r="K21" i="14"/>
  <c r="K19" i="13"/>
  <c r="S6" i="10"/>
  <c r="T6" i="10" s="1"/>
  <c r="U6" i="10" s="1"/>
  <c r="K40" i="13"/>
  <c r="K42" i="14"/>
  <c r="L40" i="13"/>
  <c r="L17" i="13"/>
  <c r="K17" i="13"/>
  <c r="K19" i="14"/>
  <c r="K24" i="13"/>
  <c r="S34" i="10"/>
  <c r="T34" i="10" s="1"/>
  <c r="U34" i="10" s="1"/>
  <c r="I35" i="10"/>
  <c r="S35" i="10" s="1"/>
  <c r="T35" i="10" s="1"/>
  <c r="U35" i="10" s="1"/>
  <c r="S29" i="10"/>
  <c r="T29" i="10" s="1"/>
  <c r="U29" i="10" s="1"/>
  <c r="K31" i="14"/>
  <c r="L29" i="13"/>
  <c r="K29" i="13"/>
  <c r="S10" i="10"/>
  <c r="T10" i="10" s="1"/>
  <c r="U10" i="10" s="1"/>
  <c r="L39" i="13"/>
  <c r="K39" i="13"/>
  <c r="K41" i="14"/>
  <c r="L18" i="13"/>
  <c r="K18" i="13"/>
  <c r="K20" i="14"/>
  <c r="L49" i="13"/>
  <c r="S27" i="10"/>
  <c r="T27" i="10" s="1"/>
  <c r="U27" i="10" s="1"/>
  <c r="L27" i="13"/>
  <c r="L24" i="13"/>
  <c r="L48" i="13"/>
  <c r="K50" i="14"/>
  <c r="K36" i="13"/>
  <c r="K38" i="13"/>
  <c r="I24" i="10"/>
  <c r="S24" i="10" s="1"/>
  <c r="T24" i="10" s="1"/>
  <c r="U24" i="10" s="1"/>
  <c r="S17" i="10"/>
  <c r="T17" i="10" s="1"/>
  <c r="U17" i="10" s="1"/>
  <c r="L22" i="14"/>
  <c r="K20" i="13"/>
  <c r="S14" i="10"/>
  <c r="T14" i="10" s="1"/>
  <c r="U14" i="10" s="1"/>
  <c r="L21" i="13"/>
  <c r="S22" i="10"/>
  <c r="T22" i="10" s="1"/>
  <c r="U22" i="10" s="1"/>
  <c r="L9" i="10"/>
  <c r="S9" i="10" s="1"/>
  <c r="T9" i="10" s="1"/>
  <c r="U9" i="10" s="1"/>
  <c r="S15" i="10"/>
  <c r="T15" i="10" s="1"/>
  <c r="O30" i="10"/>
  <c r="L37" i="13"/>
  <c r="L23" i="13"/>
  <c r="S7" i="10"/>
  <c r="T7" i="10" s="1"/>
  <c r="U7" i="10" s="1"/>
  <c r="K37" i="13"/>
  <c r="L19" i="13"/>
  <c r="S31" i="10"/>
  <c r="T31" i="10" s="1"/>
  <c r="U31" i="10" s="1"/>
  <c r="O15" i="10"/>
  <c r="S18" i="10"/>
  <c r="T18" i="10" s="1"/>
  <c r="U18" i="10" s="1"/>
  <c r="L18" i="14"/>
  <c r="K16" i="13"/>
  <c r="L16" i="13"/>
  <c r="S23" i="10"/>
  <c r="T23" i="10" s="1"/>
  <c r="U23" i="10" s="1"/>
  <c r="K28" i="13"/>
  <c r="K49" i="13"/>
  <c r="L26" i="13"/>
  <c r="S20" i="10"/>
  <c r="T20" i="10" s="1"/>
  <c r="U20" i="10" s="1"/>
  <c r="O33" i="10"/>
  <c r="S33" i="10" s="1"/>
  <c r="T33" i="10" s="1"/>
  <c r="U33" i="10" s="1"/>
  <c r="G49" i="14" l="1"/>
  <c r="H41" i="12"/>
  <c r="I41" i="12" s="1"/>
  <c r="J41" i="12" s="1"/>
  <c r="K41" i="12" s="1"/>
  <c r="L41" i="12" s="1"/>
  <c r="N50" i="14" s="1"/>
  <c r="S30" i="10"/>
  <c r="T30" i="10" s="1"/>
  <c r="U30" i="10" s="1"/>
  <c r="G50" i="14"/>
  <c r="H36" i="12"/>
  <c r="I36" i="12" s="1"/>
  <c r="J36" i="12" s="1"/>
  <c r="K36" i="12" s="1"/>
  <c r="L36" i="12" s="1"/>
  <c r="N45" i="14" s="1"/>
  <c r="G45" i="14"/>
  <c r="G33" i="11"/>
  <c r="H33" i="11" s="1"/>
  <c r="K33" i="11" s="1"/>
  <c r="G31" i="14"/>
  <c r="H22" i="12"/>
  <c r="I22" i="12" s="1"/>
  <c r="J22" i="12" s="1"/>
  <c r="K22" i="12" s="1"/>
  <c r="L22" i="12" s="1"/>
  <c r="N31" i="14" s="1"/>
  <c r="G19" i="11"/>
  <c r="H19" i="11" s="1"/>
  <c r="K19" i="11" s="1"/>
  <c r="H49" i="14"/>
  <c r="N37" i="11"/>
  <c r="G39" i="14"/>
  <c r="H30" i="12"/>
  <c r="I30" i="12" s="1"/>
  <c r="J30" i="12" s="1"/>
  <c r="K30" i="12" s="1"/>
  <c r="L30" i="12" s="1"/>
  <c r="N39" i="14" s="1"/>
  <c r="G27" i="11"/>
  <c r="H27" i="11" s="1"/>
  <c r="K27" i="11" s="1"/>
  <c r="L22" i="3"/>
  <c r="O12" i="3"/>
  <c r="L21" i="3"/>
  <c r="K12" i="3"/>
  <c r="L19" i="3"/>
  <c r="K15" i="3"/>
  <c r="L20" i="3"/>
  <c r="M12" i="3"/>
  <c r="L23" i="3"/>
  <c r="U15" i="10"/>
  <c r="H25" i="12"/>
  <c r="I25" i="12" s="1"/>
  <c r="J25" i="12" s="1"/>
  <c r="K25" i="12" s="1"/>
  <c r="L25" i="12" s="1"/>
  <c r="N34" i="14" s="1"/>
  <c r="G34" i="14"/>
  <c r="G22" i="11"/>
  <c r="H22" i="11" s="1"/>
  <c r="K22" i="11" s="1"/>
  <c r="H50" i="14"/>
  <c r="N38" i="11"/>
  <c r="H24" i="12"/>
  <c r="I24" i="12" s="1"/>
  <c r="J24" i="12" s="1"/>
  <c r="K24" i="12" s="1"/>
  <c r="L24" i="12" s="1"/>
  <c r="N33" i="14" s="1"/>
  <c r="G33" i="14"/>
  <c r="G21" i="11"/>
  <c r="H21" i="11" s="1"/>
  <c r="K21" i="11" s="1"/>
  <c r="G7" i="11"/>
  <c r="H7" i="11" s="1"/>
  <c r="K7" i="11" s="1"/>
  <c r="H10" i="12"/>
  <c r="G19" i="14"/>
  <c r="G18" i="14"/>
  <c r="E12" i="14"/>
  <c r="H9" i="12"/>
  <c r="G6" i="11"/>
  <c r="H6" i="11" s="1"/>
  <c r="K6" i="11" s="1"/>
  <c r="H51" i="14"/>
  <c r="N39" i="11"/>
  <c r="H12" i="12"/>
  <c r="G21" i="14"/>
  <c r="G9" i="11"/>
  <c r="H9" i="11" s="1"/>
  <c r="K9" i="11" s="1"/>
  <c r="G26" i="14"/>
  <c r="G14" i="11"/>
  <c r="H14" i="11" s="1"/>
  <c r="K14" i="11" s="1"/>
  <c r="H17" i="12"/>
  <c r="I17" i="12" s="1"/>
  <c r="J17" i="12" s="1"/>
  <c r="K17" i="12" s="1"/>
  <c r="L17" i="12" s="1"/>
  <c r="N26" i="14" s="1"/>
  <c r="H16" i="12"/>
  <c r="I16" i="12" s="1"/>
  <c r="J16" i="12" s="1"/>
  <c r="K16" i="12" s="1"/>
  <c r="L16" i="12" s="1"/>
  <c r="N25" i="14" s="1"/>
  <c r="G25" i="14"/>
  <c r="G13" i="11"/>
  <c r="H13" i="11" s="1"/>
  <c r="K13" i="11" s="1"/>
  <c r="G48" i="14"/>
  <c r="H39" i="12"/>
  <c r="I39" i="12" s="1"/>
  <c r="J39" i="12" s="1"/>
  <c r="K39" i="12" s="1"/>
  <c r="L39" i="12" s="1"/>
  <c r="N48" i="14" s="1"/>
  <c r="G36" i="11"/>
  <c r="H36" i="11" s="1"/>
  <c r="K36" i="11" s="1"/>
  <c r="H23" i="12"/>
  <c r="I23" i="12" s="1"/>
  <c r="J23" i="12" s="1"/>
  <c r="K23" i="12" s="1"/>
  <c r="L23" i="12" s="1"/>
  <c r="N32" i="14" s="1"/>
  <c r="G32" i="14"/>
  <c r="G20" i="11"/>
  <c r="H20" i="11" s="1"/>
  <c r="K20" i="11" s="1"/>
  <c r="G35" i="14"/>
  <c r="H26" i="12"/>
  <c r="I26" i="12" s="1"/>
  <c r="J26" i="12" s="1"/>
  <c r="K26" i="12" s="1"/>
  <c r="L26" i="12" s="1"/>
  <c r="N35" i="14" s="1"/>
  <c r="G23" i="11"/>
  <c r="H23" i="11" s="1"/>
  <c r="K23" i="11" s="1"/>
  <c r="G29" i="14"/>
  <c r="H20" i="12"/>
  <c r="G17" i="11"/>
  <c r="H17" i="11" s="1"/>
  <c r="K17" i="11" s="1"/>
  <c r="G38" i="14"/>
  <c r="H29" i="12"/>
  <c r="I29" i="12" s="1"/>
  <c r="J29" i="12" s="1"/>
  <c r="K29" i="12" s="1"/>
  <c r="L29" i="12" s="1"/>
  <c r="N38" i="14" s="1"/>
  <c r="G26" i="11"/>
  <c r="H26" i="11" s="1"/>
  <c r="K26" i="11" s="1"/>
  <c r="H27" i="12"/>
  <c r="I27" i="12" s="1"/>
  <c r="J27" i="12" s="1"/>
  <c r="K27" i="12" s="1"/>
  <c r="L27" i="12" s="1"/>
  <c r="N36" i="14" s="1"/>
  <c r="G36" i="14"/>
  <c r="G24" i="11"/>
  <c r="H24" i="11" s="1"/>
  <c r="K24" i="11" s="1"/>
  <c r="G24" i="14"/>
  <c r="G12" i="11"/>
  <c r="H12" i="11" s="1"/>
  <c r="K12" i="11" s="1"/>
  <c r="H15" i="12"/>
  <c r="H13" i="12"/>
  <c r="I13" i="12" s="1"/>
  <c r="J13" i="12" s="1"/>
  <c r="K13" i="12" s="1"/>
  <c r="L13" i="12" s="1"/>
  <c r="N22" i="14" s="1"/>
  <c r="G22" i="14"/>
  <c r="G10" i="11"/>
  <c r="H10" i="11" s="1"/>
  <c r="K10" i="11" s="1"/>
  <c r="H14" i="12"/>
  <c r="I14" i="12" s="1"/>
  <c r="J14" i="12" s="1"/>
  <c r="K14" i="12" s="1"/>
  <c r="L14" i="12" s="1"/>
  <c r="N23" i="14" s="1"/>
  <c r="G23" i="14"/>
  <c r="G11" i="11"/>
  <c r="H11" i="11" s="1"/>
  <c r="K11" i="11" s="1"/>
  <c r="I11" i="12"/>
  <c r="J11" i="12" s="1"/>
  <c r="G18" i="11"/>
  <c r="H18" i="11" s="1"/>
  <c r="K18" i="11" s="1"/>
  <c r="H21" i="12"/>
  <c r="I21" i="12" s="1"/>
  <c r="J21" i="12" s="1"/>
  <c r="K21" i="12" s="1"/>
  <c r="L21" i="12" s="1"/>
  <c r="N30" i="14" s="1"/>
  <c r="G30" i="14"/>
  <c r="H35" i="12"/>
  <c r="I35" i="12" s="1"/>
  <c r="J35" i="12" s="1"/>
  <c r="K35" i="12" s="1"/>
  <c r="L35" i="12" s="1"/>
  <c r="N44" i="14" s="1"/>
  <c r="G44" i="14"/>
  <c r="G32" i="11"/>
  <c r="H32" i="11" s="1"/>
  <c r="K32" i="11" s="1"/>
  <c r="G29" i="11"/>
  <c r="H29" i="11" s="1"/>
  <c r="K29" i="11" s="1"/>
  <c r="H32" i="12"/>
  <c r="I32" i="12" s="1"/>
  <c r="J32" i="12" s="1"/>
  <c r="K32" i="12" s="1"/>
  <c r="L32" i="12" s="1"/>
  <c r="N41" i="14" s="1"/>
  <c r="G41" i="14"/>
  <c r="H20" i="14"/>
  <c r="N8" i="11"/>
  <c r="H38" i="12"/>
  <c r="I38" i="12" s="1"/>
  <c r="J38" i="12" s="1"/>
  <c r="K38" i="12" s="1"/>
  <c r="L38" i="12" s="1"/>
  <c r="N47" i="14" s="1"/>
  <c r="G35" i="11"/>
  <c r="H35" i="11" s="1"/>
  <c r="K35" i="11" s="1"/>
  <c r="G47" i="14"/>
  <c r="G46" i="14"/>
  <c r="H37" i="12"/>
  <c r="I37" i="12" s="1"/>
  <c r="J37" i="12" s="1"/>
  <c r="K37" i="12" s="1"/>
  <c r="L37" i="12" s="1"/>
  <c r="N46" i="14" s="1"/>
  <c r="G34" i="11"/>
  <c r="H34" i="11" s="1"/>
  <c r="K34" i="11" s="1"/>
  <c r="G40" i="14"/>
  <c r="G28" i="11"/>
  <c r="H28" i="11" s="1"/>
  <c r="K28" i="11" s="1"/>
  <c r="H31" i="12"/>
  <c r="I31" i="12" s="1"/>
  <c r="J31" i="12" s="1"/>
  <c r="K31" i="12" s="1"/>
  <c r="L31" i="12" s="1"/>
  <c r="N40" i="14" s="1"/>
  <c r="G28" i="14"/>
  <c r="H19" i="12"/>
  <c r="I19" i="12" s="1"/>
  <c r="J19" i="12" s="1"/>
  <c r="K19" i="12" s="1"/>
  <c r="L19" i="12" s="1"/>
  <c r="N28" i="14" s="1"/>
  <c r="G16" i="11"/>
  <c r="H16" i="11" s="1"/>
  <c r="K16" i="11" s="1"/>
  <c r="H34" i="12"/>
  <c r="I34" i="12" s="1"/>
  <c r="J34" i="12" s="1"/>
  <c r="K34" i="12" s="1"/>
  <c r="L34" i="12" s="1"/>
  <c r="N43" i="14" s="1"/>
  <c r="G43" i="14"/>
  <c r="G31" i="11"/>
  <c r="H31" i="11" s="1"/>
  <c r="K31" i="11" s="1"/>
  <c r="H37" i="14"/>
  <c r="N25" i="11"/>
  <c r="G30" i="11" l="1"/>
  <c r="H30" i="11" s="1"/>
  <c r="K30" i="11" s="1"/>
  <c r="H33" i="12"/>
  <c r="I33" i="12" s="1"/>
  <c r="J33" i="12" s="1"/>
  <c r="K33" i="12" s="1"/>
  <c r="L33" i="12" s="1"/>
  <c r="N42" i="14" s="1"/>
  <c r="G42" i="14"/>
  <c r="M21" i="3"/>
  <c r="I12" i="12"/>
  <c r="J12" i="12" s="1"/>
  <c r="K12" i="12" s="1"/>
  <c r="L12" i="12" s="1"/>
  <c r="C52" i="12"/>
  <c r="F52" i="12"/>
  <c r="D52" i="12"/>
  <c r="E52" i="12"/>
  <c r="G52" i="12"/>
  <c r="H39" i="14"/>
  <c r="N27" i="11"/>
  <c r="O38" i="11"/>
  <c r="I50" i="14"/>
  <c r="H48" i="14"/>
  <c r="N36" i="11"/>
  <c r="I49" i="14"/>
  <c r="O37" i="11"/>
  <c r="H46" i="14"/>
  <c r="N34" i="11"/>
  <c r="H36" i="14"/>
  <c r="N24" i="11"/>
  <c r="H34" i="14"/>
  <c r="N22" i="11"/>
  <c r="H40" i="14"/>
  <c r="N28" i="11"/>
  <c r="I51" i="14"/>
  <c r="O39" i="11"/>
  <c r="H24" i="14"/>
  <c r="N12" i="11"/>
  <c r="H30" i="14"/>
  <c r="N18" i="11"/>
  <c r="H44" i="14"/>
  <c r="N32" i="11"/>
  <c r="H18" i="14"/>
  <c r="K41" i="11"/>
  <c r="A9" i="14" s="1"/>
  <c r="N6" i="11"/>
  <c r="H31" i="14"/>
  <c r="N19" i="11"/>
  <c r="H32" i="14"/>
  <c r="N20" i="11"/>
  <c r="H38" i="14"/>
  <c r="N26" i="11"/>
  <c r="H25" i="14"/>
  <c r="N13" i="11"/>
  <c r="I9" i="12"/>
  <c r="J9" i="12" s="1"/>
  <c r="C49" i="12"/>
  <c r="D49" i="12"/>
  <c r="E49" i="12"/>
  <c r="F49" i="12"/>
  <c r="G49" i="12"/>
  <c r="G27" i="14"/>
  <c r="H18" i="12"/>
  <c r="G15" i="11"/>
  <c r="H15" i="11" s="1"/>
  <c r="K15" i="11" s="1"/>
  <c r="H33" i="14"/>
  <c r="N21" i="11"/>
  <c r="I37" i="14"/>
  <c r="O25" i="11"/>
  <c r="A12" i="14"/>
  <c r="M23" i="3"/>
  <c r="H47" i="14"/>
  <c r="N35" i="11"/>
  <c r="M20" i="3"/>
  <c r="H42" i="14"/>
  <c r="N30" i="11"/>
  <c r="I15" i="12"/>
  <c r="J15" i="12" s="1"/>
  <c r="K15" i="12" s="1"/>
  <c r="L15" i="12" s="1"/>
  <c r="D53" i="12"/>
  <c r="G53" i="12"/>
  <c r="E53" i="12"/>
  <c r="F53" i="12"/>
  <c r="C53" i="12"/>
  <c r="H23" i="14"/>
  <c r="N11" i="11"/>
  <c r="M12" i="14"/>
  <c r="K11" i="12"/>
  <c r="L11" i="12" s="1"/>
  <c r="I12" i="14"/>
  <c r="H29" i="14"/>
  <c r="N17" i="11"/>
  <c r="H43" i="14"/>
  <c r="N31" i="11"/>
  <c r="I20" i="14"/>
  <c r="O8" i="11"/>
  <c r="I20" i="12"/>
  <c r="J20" i="12" s="1"/>
  <c r="K20" i="12" s="1"/>
  <c r="L20" i="12" s="1"/>
  <c r="C54" i="12"/>
  <c r="D54" i="12"/>
  <c r="G54" i="12"/>
  <c r="E54" i="12"/>
  <c r="F54" i="12"/>
  <c r="H26" i="14"/>
  <c r="N14" i="11"/>
  <c r="M19" i="3"/>
  <c r="H45" i="14"/>
  <c r="N33" i="11"/>
  <c r="I10" i="12"/>
  <c r="J10" i="12" s="1"/>
  <c r="K10" i="12" s="1"/>
  <c r="L10" i="12" s="1"/>
  <c r="G50" i="12"/>
  <c r="F50" i="12"/>
  <c r="D50" i="12"/>
  <c r="E50" i="12"/>
  <c r="C50" i="12"/>
  <c r="H28" i="14"/>
  <c r="N16" i="11"/>
  <c r="H22" i="14"/>
  <c r="N10" i="11"/>
  <c r="M22" i="3"/>
  <c r="H35" i="14"/>
  <c r="N23" i="11"/>
  <c r="H21" i="14"/>
  <c r="N9" i="11"/>
  <c r="H41" i="14"/>
  <c r="N29" i="11"/>
  <c r="H19" i="14"/>
  <c r="N7" i="11"/>
  <c r="I40" i="14" l="1"/>
  <c r="O28" i="11"/>
  <c r="I19" i="14"/>
  <c r="O7" i="11"/>
  <c r="N21" i="14"/>
  <c r="H52" i="12"/>
  <c r="I52" i="12" s="1"/>
  <c r="K9" i="12"/>
  <c r="I46" i="14"/>
  <c r="O34" i="11"/>
  <c r="I41" i="14"/>
  <c r="O29" i="11"/>
  <c r="R49" i="14"/>
  <c r="M47" i="13"/>
  <c r="P37" i="11"/>
  <c r="J49" i="14" s="1"/>
  <c r="O49" i="14" s="1"/>
  <c r="P49" i="14" s="1"/>
  <c r="O35" i="11"/>
  <c r="I47" i="14"/>
  <c r="R20" i="14"/>
  <c r="M18" i="13"/>
  <c r="P8" i="11"/>
  <c r="J20" i="14" s="1"/>
  <c r="O20" i="14" s="1"/>
  <c r="P20" i="14" s="1"/>
  <c r="O10" i="11"/>
  <c r="I22" i="14"/>
  <c r="I31" i="14"/>
  <c r="O19" i="11"/>
  <c r="O24" i="11"/>
  <c r="I36" i="14"/>
  <c r="O31" i="11"/>
  <c r="I43" i="14"/>
  <c r="I48" i="14"/>
  <c r="O36" i="11"/>
  <c r="N24" i="14"/>
  <c r="H53" i="12"/>
  <c r="I53" i="12" s="1"/>
  <c r="O13" i="11"/>
  <c r="I25" i="14"/>
  <c r="O9" i="11"/>
  <c r="I21" i="14"/>
  <c r="O16" i="11"/>
  <c r="I28" i="14"/>
  <c r="I38" i="14"/>
  <c r="O26" i="11"/>
  <c r="O21" i="11"/>
  <c r="I33" i="14"/>
  <c r="M48" i="13"/>
  <c r="R50" i="14"/>
  <c r="P38" i="11"/>
  <c r="J50" i="14" s="1"/>
  <c r="O50" i="14" s="1"/>
  <c r="P50" i="14" s="1"/>
  <c r="I26" i="14"/>
  <c r="O14" i="11"/>
  <c r="O32" i="11"/>
  <c r="I44" i="14"/>
  <c r="O27" i="11"/>
  <c r="I39" i="14"/>
  <c r="I34" i="14"/>
  <c r="O22" i="11"/>
  <c r="I29" i="14"/>
  <c r="O17" i="11"/>
  <c r="H27" i="14"/>
  <c r="N15" i="11"/>
  <c r="I35" i="14"/>
  <c r="O23" i="11"/>
  <c r="I18" i="14"/>
  <c r="O6" i="11"/>
  <c r="N41" i="11"/>
  <c r="N20" i="14"/>
  <c r="I18" i="12"/>
  <c r="J18" i="12" s="1"/>
  <c r="K18" i="12" s="1"/>
  <c r="L18" i="12" s="1"/>
  <c r="N27" i="14" s="1"/>
  <c r="G51" i="12"/>
  <c r="E51" i="12"/>
  <c r="D51" i="12"/>
  <c r="C51" i="12"/>
  <c r="F51" i="12"/>
  <c r="I30" i="14"/>
  <c r="O18" i="11"/>
  <c r="N29" i="14"/>
  <c r="H54" i="12"/>
  <c r="I54" i="12" s="1"/>
  <c r="O20" i="11"/>
  <c r="I32" i="14"/>
  <c r="M35" i="13"/>
  <c r="R37" i="14"/>
  <c r="P25" i="11"/>
  <c r="J37" i="14" s="1"/>
  <c r="O37" i="14" s="1"/>
  <c r="P37" i="14" s="1"/>
  <c r="I42" i="14"/>
  <c r="O30" i="11"/>
  <c r="N19" i="14"/>
  <c r="H50" i="12"/>
  <c r="I50" i="12" s="1"/>
  <c r="I23" i="14"/>
  <c r="O11" i="11"/>
  <c r="O6" i="3"/>
  <c r="I24" i="14"/>
  <c r="O12" i="11"/>
  <c r="I45" i="14"/>
  <c r="O33" i="11"/>
  <c r="M49" i="13"/>
  <c r="R51" i="14"/>
  <c r="P39" i="11"/>
  <c r="J51" i="14" s="1"/>
  <c r="O51" i="14" s="1"/>
  <c r="P51" i="14" s="1"/>
  <c r="H51" i="12" l="1"/>
  <c r="I51" i="12" s="1"/>
  <c r="N48" i="13"/>
  <c r="O48" i="13"/>
  <c r="M31" i="13"/>
  <c r="R33" i="14"/>
  <c r="P21" i="11"/>
  <c r="J33" i="14" s="1"/>
  <c r="O33" i="14" s="1"/>
  <c r="P33" i="14" s="1"/>
  <c r="M32" i="13"/>
  <c r="R34" i="14"/>
  <c r="P22" i="11"/>
  <c r="J34" i="14" s="1"/>
  <c r="O34" i="14" s="1"/>
  <c r="P34" i="14" s="1"/>
  <c r="R48" i="14"/>
  <c r="P36" i="11"/>
  <c r="J48" i="14" s="1"/>
  <c r="O48" i="14" s="1"/>
  <c r="P48" i="14" s="1"/>
  <c r="M46" i="13"/>
  <c r="J44" i="12"/>
  <c r="R22" i="14"/>
  <c r="P10" i="11"/>
  <c r="J22" i="14" s="1"/>
  <c r="O22" i="14" s="1"/>
  <c r="P22" i="14" s="1"/>
  <c r="M20" i="13"/>
  <c r="M39" i="13"/>
  <c r="R41" i="14"/>
  <c r="P29" i="11"/>
  <c r="J41" i="14" s="1"/>
  <c r="O41" i="14" s="1"/>
  <c r="P41" i="14" s="1"/>
  <c r="K44" i="12"/>
  <c r="L9" i="12"/>
  <c r="M22" i="13"/>
  <c r="R24" i="14"/>
  <c r="P12" i="11"/>
  <c r="J24" i="14" s="1"/>
  <c r="O24" i="14" s="1"/>
  <c r="P24" i="14" s="1"/>
  <c r="R18" i="14"/>
  <c r="M16" i="13"/>
  <c r="P6" i="11"/>
  <c r="M33" i="13"/>
  <c r="R35" i="14"/>
  <c r="P23" i="11"/>
  <c r="J35" i="14" s="1"/>
  <c r="O35" i="14" s="1"/>
  <c r="P35" i="14" s="1"/>
  <c r="M26" i="13"/>
  <c r="R28" i="14"/>
  <c r="P16" i="11"/>
  <c r="J28" i="14" s="1"/>
  <c r="O28" i="14" s="1"/>
  <c r="P28" i="14" s="1"/>
  <c r="R21" i="14"/>
  <c r="M19" i="13"/>
  <c r="P9" i="11"/>
  <c r="J21" i="14" s="1"/>
  <c r="O21" i="14" s="1"/>
  <c r="P21" i="14" s="1"/>
  <c r="O35" i="13"/>
  <c r="N35" i="13"/>
  <c r="R25" i="14"/>
  <c r="M23" i="13"/>
  <c r="P13" i="11"/>
  <c r="J25" i="14" s="1"/>
  <c r="O25" i="14" s="1"/>
  <c r="P25" i="14" s="1"/>
  <c r="R32" i="14"/>
  <c r="M30" i="13"/>
  <c r="P20" i="11"/>
  <c r="J32" i="14" s="1"/>
  <c r="O32" i="14" s="1"/>
  <c r="P32" i="14" s="1"/>
  <c r="R39" i="14"/>
  <c r="M37" i="13"/>
  <c r="P27" i="11"/>
  <c r="J39" i="14" s="1"/>
  <c r="O39" i="14" s="1"/>
  <c r="P39" i="14" s="1"/>
  <c r="R23" i="14"/>
  <c r="M21" i="13"/>
  <c r="P11" i="11"/>
  <c r="J23" i="14" s="1"/>
  <c r="O23" i="14" s="1"/>
  <c r="P23" i="14" s="1"/>
  <c r="O18" i="13"/>
  <c r="N18" i="13"/>
  <c r="R42" i="14"/>
  <c r="M40" i="13"/>
  <c r="P30" i="11"/>
  <c r="J42" i="14" s="1"/>
  <c r="O42" i="14" s="1"/>
  <c r="P42" i="14" s="1"/>
  <c r="O47" i="13"/>
  <c r="N47" i="13"/>
  <c r="R44" i="14"/>
  <c r="M42" i="13"/>
  <c r="P32" i="11"/>
  <c r="J44" i="14" s="1"/>
  <c r="O44" i="14" s="1"/>
  <c r="P44" i="14" s="1"/>
  <c r="M17" i="13"/>
  <c r="R19" i="14"/>
  <c r="P7" i="11"/>
  <c r="J19" i="14" s="1"/>
  <c r="O19" i="14" s="1"/>
  <c r="P19" i="14" s="1"/>
  <c r="O9" i="3"/>
  <c r="M27" i="13"/>
  <c r="R29" i="14"/>
  <c r="P17" i="11"/>
  <c r="J29" i="14" s="1"/>
  <c r="O29" i="14" s="1"/>
  <c r="P29" i="14" s="1"/>
  <c r="M44" i="13"/>
  <c r="R46" i="14"/>
  <c r="P34" i="11"/>
  <c r="J46" i="14" s="1"/>
  <c r="O46" i="14" s="1"/>
  <c r="P46" i="14" s="1"/>
  <c r="M28" i="13"/>
  <c r="R30" i="14"/>
  <c r="P18" i="11"/>
  <c r="J30" i="14" s="1"/>
  <c r="O30" i="14" s="1"/>
  <c r="P30" i="14" s="1"/>
  <c r="R43" i="14"/>
  <c r="M41" i="13"/>
  <c r="P31" i="11"/>
  <c r="J43" i="14" s="1"/>
  <c r="O43" i="14" s="1"/>
  <c r="P43" i="14" s="1"/>
  <c r="R26" i="14"/>
  <c r="M24" i="13"/>
  <c r="P14" i="11"/>
  <c r="J26" i="14" s="1"/>
  <c r="O26" i="14" s="1"/>
  <c r="P26" i="14" s="1"/>
  <c r="R36" i="14"/>
  <c r="M34" i="13"/>
  <c r="P24" i="11"/>
  <c r="J36" i="14" s="1"/>
  <c r="O36" i="14" s="1"/>
  <c r="P36" i="14" s="1"/>
  <c r="M36" i="13"/>
  <c r="R38" i="14"/>
  <c r="P26" i="11"/>
  <c r="J38" i="14" s="1"/>
  <c r="O38" i="14" s="1"/>
  <c r="P38" i="14" s="1"/>
  <c r="R47" i="14"/>
  <c r="M45" i="13"/>
  <c r="P35" i="11"/>
  <c r="J47" i="14" s="1"/>
  <c r="O47" i="14" s="1"/>
  <c r="P47" i="14" s="1"/>
  <c r="I27" i="14"/>
  <c r="O15" i="11"/>
  <c r="O49" i="13"/>
  <c r="N49" i="13"/>
  <c r="R45" i="14"/>
  <c r="M43" i="13"/>
  <c r="P33" i="11"/>
  <c r="J45" i="14" s="1"/>
  <c r="O45" i="14" s="1"/>
  <c r="P45" i="14" s="1"/>
  <c r="R31" i="14"/>
  <c r="P19" i="11"/>
  <c r="J31" i="14" s="1"/>
  <c r="O31" i="14" s="1"/>
  <c r="P31" i="14" s="1"/>
  <c r="M29" i="13"/>
  <c r="R40" i="14"/>
  <c r="M38" i="13"/>
  <c r="P28" i="11"/>
  <c r="J40" i="14" s="1"/>
  <c r="O40" i="14" s="1"/>
  <c r="P40" i="14" s="1"/>
  <c r="O41" i="11" l="1"/>
  <c r="I6" i="14" s="1"/>
  <c r="O45" i="13"/>
  <c r="N45" i="13"/>
  <c r="O36" i="13"/>
  <c r="N36" i="13"/>
  <c r="O17" i="13"/>
  <c r="N17" i="13"/>
  <c r="O34" i="13"/>
  <c r="N34" i="13"/>
  <c r="N18" i="14"/>
  <c r="H49" i="12"/>
  <c r="I49" i="12" s="1"/>
  <c r="L44" i="12"/>
  <c r="E9" i="14" s="1"/>
  <c r="O42" i="13"/>
  <c r="N42" i="13"/>
  <c r="O39" i="13"/>
  <c r="N39" i="13"/>
  <c r="Q35" i="13"/>
  <c r="P35" i="13"/>
  <c r="M37" i="14" s="1"/>
  <c r="O29" i="13"/>
  <c r="N29" i="13"/>
  <c r="Q48" i="13"/>
  <c r="P48" i="13"/>
  <c r="M50" i="14" s="1"/>
  <c r="O37" i="13"/>
  <c r="N37" i="13"/>
  <c r="N30" i="13"/>
  <c r="O30" i="13"/>
  <c r="O22" i="13"/>
  <c r="N22" i="13"/>
  <c r="O24" i="13"/>
  <c r="N24" i="13"/>
  <c r="O27" i="13"/>
  <c r="N27" i="13"/>
  <c r="O23" i="13"/>
  <c r="N23" i="13"/>
  <c r="Q18" i="13"/>
  <c r="P18" i="13"/>
  <c r="M20" i="14" s="1"/>
  <c r="O33" i="13"/>
  <c r="N33" i="13"/>
  <c r="O32" i="13"/>
  <c r="N32" i="13"/>
  <c r="N38" i="13"/>
  <c r="O38" i="13"/>
  <c r="O40" i="13"/>
  <c r="N40" i="13"/>
  <c r="O46" i="13"/>
  <c r="N46" i="13"/>
  <c r="N41" i="13"/>
  <c r="O41" i="13"/>
  <c r="N26" i="13"/>
  <c r="O26" i="13"/>
  <c r="N43" i="13"/>
  <c r="O43" i="13"/>
  <c r="O21" i="13"/>
  <c r="N21" i="13"/>
  <c r="J18" i="14"/>
  <c r="O18" i="14" s="1"/>
  <c r="P18" i="14" s="1"/>
  <c r="P41" i="11"/>
  <c r="Q47" i="13"/>
  <c r="P47" i="13"/>
  <c r="M49" i="14" s="1"/>
  <c r="O28" i="13"/>
  <c r="N28" i="13"/>
  <c r="Q49" i="13"/>
  <c r="P49" i="13"/>
  <c r="M51" i="14" s="1"/>
  <c r="N16" i="13"/>
  <c r="O16" i="13"/>
  <c r="O20" i="13"/>
  <c r="N20" i="13"/>
  <c r="N19" i="13"/>
  <c r="O19" i="13"/>
  <c r="R27" i="14"/>
  <c r="P15" i="11"/>
  <c r="J27" i="14" s="1"/>
  <c r="O27" i="14" s="1"/>
  <c r="P27" i="14" s="1"/>
  <c r="M25" i="13"/>
  <c r="O44" i="13"/>
  <c r="N44" i="13"/>
  <c r="O31" i="13"/>
  <c r="N31" i="13"/>
  <c r="K9" i="3" l="1"/>
  <c r="G6" i="13"/>
  <c r="H6" i="13" s="1"/>
  <c r="G9" i="13"/>
  <c r="H9" i="13" s="1"/>
  <c r="G11" i="13"/>
  <c r="H11" i="13" s="1"/>
  <c r="Q16" i="13"/>
  <c r="G10" i="13"/>
  <c r="H10" i="13" s="1"/>
  <c r="G8" i="13"/>
  <c r="H8" i="13" s="1"/>
  <c r="G7" i="13"/>
  <c r="H7" i="13" s="1"/>
  <c r="P16" i="13"/>
  <c r="M18" i="14" s="1"/>
  <c r="Q39" i="13"/>
  <c r="P39" i="13"/>
  <c r="M41" i="14" s="1"/>
  <c r="Q46" i="13"/>
  <c r="P46" i="13"/>
  <c r="M48" i="14" s="1"/>
  <c r="Q20" i="13"/>
  <c r="P20" i="13"/>
  <c r="M22" i="14" s="1"/>
  <c r="Q32" i="13"/>
  <c r="P32" i="13"/>
  <c r="M34" i="14" s="1"/>
  <c r="I9" i="14"/>
  <c r="M6" i="14"/>
  <c r="Q45" i="13"/>
  <c r="P45" i="13"/>
  <c r="M47" i="14" s="1"/>
  <c r="Q37" i="13"/>
  <c r="P37" i="13"/>
  <c r="M39" i="14" s="1"/>
  <c r="Q40" i="13"/>
  <c r="P40" i="13"/>
  <c r="M42" i="14" s="1"/>
  <c r="Q28" i="13"/>
  <c r="P28" i="13"/>
  <c r="M30" i="14" s="1"/>
  <c r="Q33" i="13"/>
  <c r="P33" i="13"/>
  <c r="M35" i="14" s="1"/>
  <c r="Q42" i="13"/>
  <c r="P42" i="13"/>
  <c r="M44" i="14" s="1"/>
  <c r="Q23" i="13"/>
  <c r="P23" i="13"/>
  <c r="M25" i="14" s="1"/>
  <c r="Q27" i="13"/>
  <c r="P27" i="13"/>
  <c r="M29" i="14" s="1"/>
  <c r="Q31" i="13"/>
  <c r="P31" i="13"/>
  <c r="M33" i="14" s="1"/>
  <c r="Q24" i="13"/>
  <c r="P24" i="13"/>
  <c r="M26" i="14" s="1"/>
  <c r="M15" i="3"/>
  <c r="Q19" i="13"/>
  <c r="P19" i="13"/>
  <c r="M21" i="14" s="1"/>
  <c r="Q38" i="13"/>
  <c r="P38" i="13"/>
  <c r="M40" i="14" s="1"/>
  <c r="Q29" i="13"/>
  <c r="P29" i="13"/>
  <c r="M31" i="14" s="1"/>
  <c r="Q21" i="13"/>
  <c r="P21" i="13"/>
  <c r="M23" i="14" s="1"/>
  <c r="Q43" i="13"/>
  <c r="P43" i="13"/>
  <c r="M45" i="14" s="1"/>
  <c r="Q34" i="13"/>
  <c r="P34" i="13"/>
  <c r="M36" i="14" s="1"/>
  <c r="Q44" i="13"/>
  <c r="P44" i="13"/>
  <c r="M46" i="14" s="1"/>
  <c r="Q26" i="13"/>
  <c r="P26" i="13"/>
  <c r="M28" i="14" s="1"/>
  <c r="Q17" i="13"/>
  <c r="P17" i="13"/>
  <c r="M19" i="14" s="1"/>
  <c r="O25" i="13"/>
  <c r="N25" i="13"/>
  <c r="Q22" i="13"/>
  <c r="P22" i="13"/>
  <c r="M24" i="14" s="1"/>
  <c r="Q41" i="13"/>
  <c r="P41" i="13"/>
  <c r="M43" i="14" s="1"/>
  <c r="Q30" i="13"/>
  <c r="P30" i="13"/>
  <c r="M32" i="14" s="1"/>
  <c r="Q36" i="13"/>
  <c r="P36" i="13"/>
  <c r="M38" i="14" s="1"/>
  <c r="Q25" i="13" l="1"/>
  <c r="P25" i="13"/>
  <c r="M27" i="14" s="1"/>
  <c r="M9" i="14"/>
</calcChain>
</file>

<file path=xl/sharedStrings.xml><?xml version="1.0" encoding="utf-8"?>
<sst xmlns="http://schemas.openxmlformats.org/spreadsheetml/2006/main" count="2304" uniqueCount="1079">
  <si>
    <t xml:space="preserve">  ■ 색상 범례 (모든 시트 공통)</t>
  </si>
  <si>
    <t>노란색 셀</t>
  </si>
  <si>
    <t>HR 담당자가 직접 입력하는 셀입니다. 이 셀만 수정하세요.</t>
  </si>
  <si>
    <t>연두색 셀</t>
  </si>
  <si>
    <t>자동 계산 셀 (수식). 수동으로 입력하지 마세요. 다른 시트의 값을 참조합니다.</t>
  </si>
  <si>
    <t>흰색·회색 셀</t>
  </si>
  <si>
    <t>참고용 라벨·헤더. 일반적으로 수정하지 않습니다.</t>
  </si>
  <si>
    <t>S/A 등급</t>
  </si>
  <si>
    <t>탁월·우수 — 평가 결과가 S/A인 셀에 자동 색상 적용</t>
  </si>
  <si>
    <t>C 등급</t>
  </si>
  <si>
    <t>미흡 — 보완 필요</t>
  </si>
  <si>
    <t>D 등급 / 이탈</t>
  </si>
  <si>
    <t>부족 / 페이밴드 이탈 — 즉시 조치 필요</t>
  </si>
  <si>
    <t xml:space="preserve">  ■ 시트 구성 (왼쪽→오른쪽 순서대로 사용)</t>
  </si>
  <si>
    <t>구분</t>
  </si>
  <si>
    <t>시트명</t>
  </si>
  <si>
    <t>역할</t>
  </si>
  <si>
    <t>기본</t>
  </si>
  <si>
    <t>01_인적정보</t>
  </si>
  <si>
    <t>임직원 명부 마스터. 사번·이름·직무·역할등급을 관리</t>
  </si>
  <si>
    <t>신규입사·퇴사·승진 시</t>
  </si>
  <si>
    <t>HR 담당자</t>
  </si>
  <si>
    <t>02_의사결정·종합결과</t>
  </si>
  <si>
    <t>가중치(3축+공통역량11개)·등급별 인상률·페이밴드 설정 + 종합 KPI 대시보드</t>
  </si>
  <si>
    <t>연초 정책 설정 시</t>
  </si>
  <si>
    <t>HR 담당자·경영진</t>
  </si>
  <si>
    <t>평가</t>
  </si>
  <si>
    <t>03_전사업적평가</t>
  </si>
  <si>
    <t>전사 KPI 달성도 평가 (별도 운영, 성과급 재원 가산용)</t>
  </si>
  <si>
    <t>상·하반기 결산 후</t>
  </si>
  <si>
    <t>재무·경영전략</t>
  </si>
  <si>
    <t>04_역할평가</t>
  </si>
  <si>
    <t>역할등급별 일반 수행도 5개 항목 평가</t>
  </si>
  <si>
    <t>상·하반기 평가 시</t>
  </si>
  <si>
    <t>평가자(상사·동료)</t>
  </si>
  <si>
    <t>05_공통역량평가</t>
  </si>
  <si>
    <t>전사 공통 11개 역량 평가</t>
  </si>
  <si>
    <t>평가자</t>
  </si>
  <si>
    <t>06_직무역량평가</t>
  </si>
  <si>
    <t>직무별 책무·과업 기반 전문역량 평가</t>
  </si>
  <si>
    <t>취합</t>
  </si>
  <si>
    <t>07_결과취합</t>
  </si>
  <si>
    <t>부서별 평가지 회수 후 등급 통합 입력</t>
  </si>
  <si>
    <t>평가 종료 후</t>
  </si>
  <si>
    <t>산출</t>
  </si>
  <si>
    <t>08_종합평가</t>
  </si>
  <si>
    <t>3축(역할·공통·직무) 가중 통합 + 최종 등급 자동 산출</t>
  </si>
  <si>
    <t>취합 완료 후 자동</t>
  </si>
  <si>
    <t>확인만</t>
  </si>
  <si>
    <t>09_보상연계</t>
  </si>
  <si>
    <t>최종 등급 → 인상률 → 차년도 기본연봉 자동 산출</t>
  </si>
  <si>
    <t>12월 평가 후</t>
  </si>
  <si>
    <t>10_성과급관리</t>
  </si>
  <si>
    <t>등급별 성과급 자동 산출 + 부서별 통계</t>
  </si>
  <si>
    <t>성과급 지급 시</t>
  </si>
  <si>
    <t>HR 담당자·재무</t>
  </si>
  <si>
    <t>11_페이밴드검증</t>
  </si>
  <si>
    <t>인상 후 연봉의 페이밴드 적합도 검증·이탈자 관리</t>
  </si>
  <si>
    <t>보상 확정 전</t>
  </si>
  <si>
    <t>12_시뮬레이션</t>
  </si>
  <si>
    <t>End-to-End 종합 대시보드 (모든 결과 한눈에)</t>
  </si>
  <si>
    <t>수시 모니터링</t>
  </si>
  <si>
    <t>DB</t>
  </si>
  <si>
    <t>13_직무역할DB</t>
  </si>
  <si>
    <t>직무·역할등급별 역할 정의 마스터</t>
  </si>
  <si>
    <t>직무체계 변경 시</t>
  </si>
  <si>
    <t>14_직무책무DB</t>
  </si>
  <si>
    <t>직무 프로파일의 책무·과업·필요스킬 상세</t>
  </si>
  <si>
    <t>직무 프로파일 갱신 시</t>
  </si>
  <si>
    <t>15_역량개발플랜</t>
  </si>
  <si>
    <t>직무별 육성 전략 + 개인별 IDP</t>
  </si>
  <si>
    <t>평가 면담 시</t>
  </si>
  <si>
    <t>HR 담당자·관리자</t>
  </si>
  <si>
    <t xml:space="preserve">  ■ 연간 운영 워크플로우 (4단계)</t>
  </si>
  <si>
    <t>단계</t>
  </si>
  <si>
    <t>시기</t>
  </si>
  <si>
    <t>주요 활동</t>
  </si>
  <si>
    <t>상세 절차</t>
  </si>
  <si>
    <t>STEP 1</t>
  </si>
  <si>
    <t>연초 (1월~2월)</t>
  </si>
  <si>
    <t>정책 설정</t>
  </si>
  <si>
    <t>[01_인적정보] 명부 최신화 → [02_의사결정] 가중치·인상률·페이밴드·전사 KPI 목표 설정</t>
  </si>
  <si>
    <t>STEP 2</t>
  </si>
  <si>
    <t>상반기 평가 (6월)</t>
  </si>
  <si>
    <t>1차 평가 회수·취합</t>
  </si>
  <si>
    <t>부서별 평가시트 회수 → [07_결과취합]에 등급 입력 → [04][05][06]에 자동 반영 → [08_종합평가] 자동 산출</t>
  </si>
  <si>
    <t>STEP 3</t>
  </si>
  <si>
    <t>하반기 평가 (12월)</t>
  </si>
  <si>
    <t>2차 평가 + 연간 확정</t>
  </si>
  <si>
    <t>STEP 2 동일 + [03_전사업적평가] 실적 입력 → 연간 최종 등급 확정</t>
  </si>
  <si>
    <t>STEP 4</t>
  </si>
  <si>
    <t>12월~1월</t>
  </si>
  <si>
    <t>보상·성과급 시뮬레이션·확정</t>
  </si>
  <si>
    <t>[09_보상연계] → [11_페이밴드검증] 이탈자 조정 → [10_성과급관리] → [12_시뮬레이션] 경영진 보고</t>
  </si>
  <si>
    <t xml:space="preserve">  ■ 평가 구조 — 3축 (역할 + 공통역량 + 직무역량 = 100%)</t>
  </si>
  <si>
    <t>축 ①</t>
  </si>
  <si>
    <t>역할평가</t>
  </si>
  <si>
    <t>역할등급(G1~G6)에 따른 일반 수행도 — 5개 평가 항목 (책임범위·의사결정·성과기여·코칭·산출물)</t>
  </si>
  <si>
    <t>축 ②</t>
  </si>
  <si>
    <t>공통역량평가</t>
  </si>
  <si>
    <t>전사 공통 11개 역량 (업무·조직·인성·미래) — 가중치 적용 (직무전문성 15%, 분석력 10% 등)</t>
  </si>
  <si>
    <t>축 ③</t>
  </si>
  <si>
    <t>직무역량평가</t>
  </si>
  <si>
    <t>직무별 책무·과업에 대한 평가 — 직무 프로파일의 5~19개 책무 (예: BIM컨설팅 14개, 경영전략 19개)</t>
  </si>
  <si>
    <t xml:space="preserve">  ■ 직급별 3축 가중치 (02_의사결정에서 수정 가능)</t>
  </si>
  <si>
    <t>역할등급</t>
  </si>
  <si>
    <t>공통역량</t>
  </si>
  <si>
    <t>직무역량</t>
  </si>
  <si>
    <t>합계</t>
  </si>
  <si>
    <t>G6</t>
  </si>
  <si>
    <t>G5</t>
  </si>
  <si>
    <t>G4</t>
  </si>
  <si>
    <t>G3</t>
  </si>
  <si>
    <t>G2</t>
  </si>
  <si>
    <t>G1</t>
  </si>
  <si>
    <t>질문</t>
  </si>
  <si>
    <t>Q. 평가 가중치를 바꾸고 싶어요.</t>
  </si>
  <si>
    <t>[02_의사결정·종합결과] 시트의 노란색 가중치 셀을 수정. ① 직급별 3축 가중치(역할/공통/직무) ② ⑥ 공통역량 11개 가중치 모두 한 시트에서 조정 가능. 합계가 100% 아니면 빨간색 경고 표시됨.</t>
  </si>
  <si>
    <t>Q. 신규 입사자가 생겼어요.</t>
  </si>
  <si>
    <t>[01_인적정보] 시트의 마지막 행 다음에 입력하면 됩니다. 모든 시트의 행이 자동으로 추가되지는 않으므로, HR 담당자는 평가 시점에 필요한 시트의 행을 복사하여 추가해 주세요.</t>
  </si>
  <si>
    <t>Q. 평가 등급이 자동으로 안 나와요.</t>
  </si>
  <si>
    <t>[07_결과취합]에 부서별 평가시트의 등급을 입력하면 [04][05][06]→[08]로 자동 흐릅니다. 결과취합 시트의 빈 셀이 있는지 확인하세요.</t>
  </si>
  <si>
    <t>Q. 절대평가/상대평가를 바꾸고 싶어요.</t>
  </si>
  <si>
    <t>[02_의사결정] 시트의 '평가 방식' 드롭다운에서 변경할 수 있습니다. 강제분포(상대평가) 선택 시 위·아래 분포 비중도 함께 조정하세요.</t>
  </si>
  <si>
    <t>Q. 페이밴드 이탈자는 어떻게 처리하나요?</t>
  </si>
  <si>
    <t>[11_페이밴드검증] 시트의 '조정 필요액' 컬럼을 참고하여 [09_보상연계]의 '연봉확정' 셀을 수동으로 조정하세요.</t>
  </si>
  <si>
    <t>Q. 전사 KPI 달성률이 낮으면 성과급은 어떻게 되나요?</t>
  </si>
  <si>
    <t>[10_성과급관리]의 '지급률(노란셀)'을 전사 KPI 달성률에 따라 조정하시거나, 'KPI 가산 계수' (예: 0.8~1.2)를 입력하여 일괄 조정할 수 있습니다.</t>
  </si>
  <si>
    <t xml:space="preserve">  임직원 명부 마스터 (Master)</t>
  </si>
  <si>
    <t xml:space="preserve">  사번을 키로 모든 시트를 연결. 노란색 셀만 직접 수정. 인적사항은 이 시트에서만 관리하세요.</t>
  </si>
  <si>
    <t xml:space="preserve">  ▶ 신규입사·퇴사·승진 시 이 시트만 업데이트하면 모든 시트에 자동 반영됩니다.</t>
  </si>
  <si>
    <t>No.</t>
  </si>
  <si>
    <t>사번</t>
  </si>
  <si>
    <t>성명</t>
  </si>
  <si>
    <t>직군</t>
  </si>
  <si>
    <t>직무</t>
  </si>
  <si>
    <t>부서</t>
  </si>
  <si>
    <t>기존직급</t>
  </si>
  <si>
    <t>입사일</t>
  </si>
  <si>
    <t>근속연수</t>
  </si>
  <si>
    <t>1차 평가자</t>
  </si>
  <si>
    <t>2차 평가자</t>
  </si>
  <si>
    <t>조회키 (직무+역할등급)</t>
  </si>
  <si>
    <t>비고</t>
  </si>
  <si>
    <t>BSS-001</t>
  </si>
  <si>
    <t>이화형</t>
  </si>
  <si>
    <t>영업</t>
  </si>
  <si>
    <t>프로젝트영업</t>
  </si>
  <si>
    <t>스마트사업부</t>
  </si>
  <si>
    <t>전무</t>
  </si>
  <si>
    <t>BSS-002</t>
  </si>
  <si>
    <t>강전용</t>
  </si>
  <si>
    <t>연구&amp;개발</t>
  </si>
  <si>
    <t>연구개발(R&amp;D)</t>
  </si>
  <si>
    <t>R&amp;D 본부</t>
  </si>
  <si>
    <t>상무</t>
  </si>
  <si>
    <t>BSS-003</t>
  </si>
  <si>
    <t>김현민</t>
  </si>
  <si>
    <t>설계</t>
  </si>
  <si>
    <t>BIM컨설팅</t>
  </si>
  <si>
    <t>컨설팅본부</t>
  </si>
  <si>
    <t>BSS-004</t>
  </si>
  <si>
    <t>이일곤</t>
  </si>
  <si>
    <t>경영관리</t>
  </si>
  <si>
    <t>경영전략기획</t>
  </si>
  <si>
    <t>경영전략실</t>
  </si>
  <si>
    <t>이사</t>
  </si>
  <si>
    <t>BSS-005</t>
  </si>
  <si>
    <t>송헌영</t>
  </si>
  <si>
    <t>BSS-006</t>
  </si>
  <si>
    <t>이재용</t>
  </si>
  <si>
    <t>BSS-007</t>
  </si>
  <si>
    <t>이진행</t>
  </si>
  <si>
    <t>교육 및 기술지원</t>
  </si>
  <si>
    <t>교육·기술지원</t>
  </si>
  <si>
    <t>솔루션본부</t>
  </si>
  <si>
    <t>부장</t>
  </si>
  <si>
    <t>BSS-008</t>
  </si>
  <si>
    <t>김민수</t>
  </si>
  <si>
    <t>BSS-009</t>
  </si>
  <si>
    <t>박남식</t>
  </si>
  <si>
    <t>BSS-010</t>
  </si>
  <si>
    <t>신재민</t>
  </si>
  <si>
    <t>BSS-011</t>
  </si>
  <si>
    <t>마장엽</t>
  </si>
  <si>
    <t>BSS-012</t>
  </si>
  <si>
    <t>하은주</t>
  </si>
  <si>
    <t>마케팅팀</t>
  </si>
  <si>
    <t>BSS-013</t>
  </si>
  <si>
    <t>홍사훈</t>
  </si>
  <si>
    <t>BSS-014</t>
  </si>
  <si>
    <t>유자영</t>
  </si>
  <si>
    <t>BSS-015</t>
  </si>
  <si>
    <t>민지선</t>
  </si>
  <si>
    <t>차장</t>
  </si>
  <si>
    <t>BSS-016</t>
  </si>
  <si>
    <t>장훈</t>
  </si>
  <si>
    <t>BSS-017</t>
  </si>
  <si>
    <t>김우람</t>
  </si>
  <si>
    <t>과장</t>
  </si>
  <si>
    <t>BSS-018</t>
  </si>
  <si>
    <t>조성준</t>
  </si>
  <si>
    <t>BSS-019</t>
  </si>
  <si>
    <t>구서현</t>
  </si>
  <si>
    <t>BSS-020</t>
  </si>
  <si>
    <t>박진용</t>
  </si>
  <si>
    <t>대리</t>
  </si>
  <si>
    <t>BSS-021</t>
  </si>
  <si>
    <t>김가연</t>
  </si>
  <si>
    <t>BSS-022</t>
  </si>
  <si>
    <t>한근수</t>
  </si>
  <si>
    <t>BSS-023</t>
  </si>
  <si>
    <t>김성민</t>
  </si>
  <si>
    <t>BSS-024</t>
  </si>
  <si>
    <t>고광우</t>
  </si>
  <si>
    <t>BSS-025</t>
  </si>
  <si>
    <t>김성수</t>
  </si>
  <si>
    <t>BSS-026</t>
  </si>
  <si>
    <t>박진희</t>
  </si>
  <si>
    <t>주임</t>
  </si>
  <si>
    <t>BSS-027</t>
  </si>
  <si>
    <t>장은한</t>
  </si>
  <si>
    <t>BSS-028</t>
  </si>
  <si>
    <t>김현수</t>
  </si>
  <si>
    <t>BSS-029</t>
  </si>
  <si>
    <t>콜셍홍</t>
  </si>
  <si>
    <t>BSS-030</t>
  </si>
  <si>
    <t>안성진</t>
  </si>
  <si>
    <t>BSS-031</t>
  </si>
  <si>
    <t>이정일</t>
  </si>
  <si>
    <t>BSS-032</t>
  </si>
  <si>
    <t>안재성</t>
  </si>
  <si>
    <t>사원</t>
  </si>
  <si>
    <t>BSS-033</t>
  </si>
  <si>
    <t>유태석</t>
  </si>
  <si>
    <t>BSS-034</t>
  </si>
  <si>
    <t>엄보근</t>
  </si>
  <si>
    <t xml:space="preserve">  ■ 통계 요약</t>
  </si>
  <si>
    <t>역할등급별</t>
  </si>
  <si>
    <t>인원</t>
  </si>
  <si>
    <t>직군별</t>
  </si>
  <si>
    <t>부서별</t>
  </si>
  <si>
    <t xml:space="preserve">  HR 의사결정 컨피그 + 종합 결과 대시보드</t>
  </si>
  <si>
    <t xml:space="preserve">  HR 담당자가 가중치·인상률·평가방식을 결정하는 컨피그 영역 + 모든 시트의 결과가 자동 집계되는 대시보드</t>
  </si>
  <si>
    <t xml:space="preserve">  ■ ① 평가 방식·반기 가중치</t>
  </si>
  <si>
    <t xml:space="preserve">  ■ 종합 결과 대시보드 (모든 시트 자동 집계)</t>
  </si>
  <si>
    <t>평가 척도</t>
  </si>
  <si>
    <t>5점</t>
  </si>
  <si>
    <t>5점 또는 100점 (전 시트 일괄 적용)</t>
  </si>
  <si>
    <t>총 인원</t>
  </si>
  <si>
    <t>연봉 총액 (현재)</t>
  </si>
  <si>
    <t>연봉 총액 (인상 후)</t>
  </si>
  <si>
    <t>평가 방식</t>
  </si>
  <si>
    <t>절대평가</t>
  </si>
  <si>
    <t>절대평가: 점수→등급 환산  /  상대평가: 분포 강제</t>
  </si>
  <si>
    <t>상반기 가중치</t>
  </si>
  <si>
    <t>하반기 가중치</t>
  </si>
  <si>
    <t>총 인상액</t>
  </si>
  <si>
    <t>평균 인상률</t>
  </si>
  <si>
    <t>성과급 총액</t>
  </si>
  <si>
    <t>강제분포 비중</t>
  </si>
  <si>
    <t>S</t>
  </si>
  <si>
    <t>A</t>
  </si>
  <si>
    <t>B</t>
  </si>
  <si>
    <t>C</t>
  </si>
  <si>
    <t>D</t>
  </si>
  <si>
    <t>S등급</t>
  </si>
  <si>
    <t>A등급</t>
  </si>
  <si>
    <t>B등급</t>
  </si>
  <si>
    <t xml:space="preserve">  ■ ② 직급별 3축 평가 가중치 (역할 + 공통역량 + 직무역량 = 100%)</t>
  </si>
  <si>
    <t>역할평가 W</t>
  </si>
  <si>
    <t>공통역량 W</t>
  </si>
  <si>
    <t>직무역량 W</t>
  </si>
  <si>
    <t>검증</t>
  </si>
  <si>
    <t>설계 의도</t>
  </si>
  <si>
    <t>C·D등급</t>
  </si>
  <si>
    <t>페이밴드 적합률</t>
  </si>
  <si>
    <t>전사 KPI 연간 등급</t>
  </si>
  <si>
    <t>경영성과 책임·전사 의사결정 중심</t>
  </si>
  <si>
    <t>조직 관리·실무 전문성 균형</t>
  </si>
  <si>
    <t>실무 책임자, 직무역량 강조</t>
  </si>
  <si>
    <t>핵심 실무자, 직무 깊이 가중</t>
  </si>
  <si>
    <t>등급</t>
  </si>
  <si>
    <t>비율</t>
  </si>
  <si>
    <t>실무자, 역량 개발 집중</t>
  </si>
  <si>
    <t>신입·실무 보조, 기본기 학습</t>
  </si>
  <si>
    <t xml:space="preserve">  ■ ③ 평가 등급별 인상률 &amp; 성과급률</t>
  </si>
  <si>
    <t>기본연봉 인상률</t>
  </si>
  <si>
    <t>09_보상연계 시트에 자동 반영</t>
  </si>
  <si>
    <t>성과급 지급률</t>
  </si>
  <si>
    <t>10_성과급관리 시트에 자동 반영</t>
  </si>
  <si>
    <t>승진 가산률</t>
  </si>
  <si>
    <t>승진(역할등급 상승) 시 기본연봉 인상률에 가산</t>
  </si>
  <si>
    <t>Y/N 선택 시 자동 적용</t>
  </si>
  <si>
    <t xml:space="preserve">  ■ ④ 페이밴드 (역할등급별 기본연봉 범위)</t>
  </si>
  <si>
    <t>최소(Min)</t>
  </si>
  <si>
    <t>중위(Mid)</t>
  </si>
  <si>
    <t>최대(Max)</t>
  </si>
  <si>
    <t>Range Spread</t>
  </si>
  <si>
    <t xml:space="preserve">  ■ ⑤ 전사 KPI 목표 (성과급 재원 가산용)</t>
  </si>
  <si>
    <t>KPI</t>
  </si>
  <si>
    <t>측정방법</t>
  </si>
  <si>
    <t>가중치</t>
  </si>
  <si>
    <t>목표</t>
  </si>
  <si>
    <t>S기준</t>
  </si>
  <si>
    <t>A기준</t>
  </si>
  <si>
    <t>B기준</t>
  </si>
  <si>
    <t>C기준</t>
  </si>
  <si>
    <t>D기준</t>
  </si>
  <si>
    <t>영업이익률</t>
  </si>
  <si>
    <t>영업이익 ÷ 매출액 × 100</t>
  </si>
  <si>
    <t>매출 성장률</t>
  </si>
  <si>
    <t>(금년도매출-전년도매출) ÷ 전년도매출 × 100</t>
  </si>
  <si>
    <t>프로젝트 납기·품질 준수율</t>
  </si>
  <si>
    <t>납기·품질 충족 프로젝트 ÷ 총 프로젝트 × 100</t>
  </si>
  <si>
    <t xml:space="preserve">  ■ ⑥ 공통역량별 가중치 (11개 역량) — HR 담당자가 직접 조정 가능</t>
  </si>
  <si>
    <t>역량군</t>
  </si>
  <si>
    <t>핵심 역량</t>
  </si>
  <si>
    <t>역량 설명</t>
  </si>
  <si>
    <t>업무역량</t>
  </si>
  <si>
    <t>직무 전문성</t>
  </si>
  <si>
    <t>직무에 필요한 전문 지식 및 기술을 충분히 보유하고 실무에 적절히 적용하고 있는지 평가</t>
  </si>
  <si>
    <t>분석력</t>
  </si>
  <si>
    <t>데이터·수치를 기반으로 사고하며 업무 효율을 높이는 능력</t>
  </si>
  <si>
    <t>기획/실행력</t>
  </si>
  <si>
    <t>실행 가능한 목표 설정·계획 수립·체계적 실행 능력</t>
  </si>
  <si>
    <t>조직역량</t>
  </si>
  <si>
    <t>자원·시간 관리</t>
  </si>
  <si>
    <t>업무 우선순위 설정 및 시간 내 효과적 업무 완수 능력</t>
  </si>
  <si>
    <t>협업 능력</t>
  </si>
  <si>
    <t>팀원·타 부서와의 협업 태도와 적극적 협력</t>
  </si>
  <si>
    <t>소통 능력</t>
  </si>
  <si>
    <t>명확한 의견 전달·경청·효과적 커뮤니케이션</t>
  </si>
  <si>
    <t>인성역량</t>
  </si>
  <si>
    <t>윤리/책임감</t>
  </si>
  <si>
    <t>공정·투명한 업무 처리와 책임감 있는 업무 수행</t>
  </si>
  <si>
    <t>업무 태도</t>
  </si>
  <si>
    <t>성실·주도적 태도, 변화에 대한 유연성</t>
  </si>
  <si>
    <t>미래역량</t>
  </si>
  <si>
    <t>혁신 역량</t>
  </si>
  <si>
    <t>AI·자동화 등 최신 기술을 실무에 접목</t>
  </si>
  <si>
    <t>프로세스 개선</t>
  </si>
  <si>
    <t>업무 절차 분석 및 비효율 개선 아이디어 제시·실행</t>
  </si>
  <si>
    <t>지속가능 기여</t>
  </si>
  <si>
    <t>장기적 성과 향상·조직 기여도</t>
  </si>
  <si>
    <t>합계 (반드시 100%)</t>
  </si>
  <si>
    <t>↑ 합계 검증</t>
  </si>
  <si>
    <t xml:space="preserve">  전사 업적평가 — KPI 달성도 (성과급 재원 가산용)</t>
  </si>
  <si>
    <t xml:space="preserve">  전사 KPI 실적을 입력 → 자동 등급 산정. 별도 운영으로 전사 등급은 성과급 재원 조정에 사용됩니다</t>
  </si>
  <si>
    <t xml:space="preserve">  ■ 상반기 (1월~6월)</t>
  </si>
  <si>
    <t>실적</t>
  </si>
  <si>
    <t>달성등급</t>
  </si>
  <si>
    <t>상반기 종합</t>
  </si>
  <si>
    <t>가중평균:</t>
  </si>
  <si>
    <t>등급:</t>
  </si>
  <si>
    <t xml:space="preserve">  ■ 하반기 (7월~12월)</t>
  </si>
  <si>
    <t>하반기 종합</t>
  </si>
  <si>
    <t xml:space="preserve">  ■ 연간 종합 업적평가</t>
  </si>
  <si>
    <t>연간 가중평균:</t>
  </si>
  <si>
    <t>연간 등급:</t>
  </si>
  <si>
    <t xml:space="preserve">  역할평가 — 역할등급별 일반 수행도 5개 항목</t>
  </si>
  <si>
    <t xml:space="preserve">  역할정의(13_직무역할DB 자동 참조) + 5개 평가 항목 등급 입력 → 자동 종합</t>
  </si>
  <si>
    <t xml:space="preserve">  ■ 등급 부여 기준 (BARS 행동기준)</t>
  </si>
  <si>
    <t>S (탁월)</t>
  </si>
  <si>
    <t>역할정의를 현저히 초과 달성. 조직 전체에 긍정적 파급효과 창출.</t>
  </si>
  <si>
    <t>A (우수)</t>
  </si>
  <si>
    <t>역할정의를 충실히 수행하며 기대 수준을 상회. 자기주도적 성과.</t>
  </si>
  <si>
    <t>B (양호)</t>
  </si>
  <si>
    <t>역할정의에 부합하는 수준으로 안정적 수행. 기대 책임을 기한 내 완수.</t>
  </si>
  <si>
    <t>C (미흡)</t>
  </si>
  <si>
    <t>역할정의 대비 부분적 미흡. 추가 지도·지원 필요.</t>
  </si>
  <si>
    <t>D (부족)</t>
  </si>
  <si>
    <t>역할정의 대비 전반적 미흡. 구체적 개선 계획 필요.</t>
  </si>
  <si>
    <t xml:space="preserve">  ■ 상반기 역할평가</t>
  </si>
  <si>
    <t>역할명</t>
  </si>
  <si>
    <t>역할정의</t>
  </si>
  <si>
    <t>책임범위
이행</t>
  </si>
  <si>
    <t>의사결정
적절성</t>
  </si>
  <si>
    <t>성과
기여도</t>
  </si>
  <si>
    <t>조직·코칭</t>
  </si>
  <si>
    <t>산출물
완성도</t>
  </si>
  <si>
    <t>1차 평가
(종합)</t>
  </si>
  <si>
    <t>2차 평가
(종합)</t>
  </si>
  <si>
    <t>확정등급</t>
  </si>
  <si>
    <t>평가점수</t>
  </si>
  <si>
    <t>강점·개선 소견</t>
  </si>
  <si>
    <t xml:space="preserve">  ■ 하반기 역할평가</t>
  </si>
  <si>
    <t xml:space="preserve">  공통역량평가 — 전사 공통 11개 역량</t>
  </si>
  <si>
    <t xml:space="preserve">  직무 전문성 15% / 분석력 10% / ... / 지속가능 기여 5% (가중합산 100%)</t>
  </si>
  <si>
    <t xml:space="preserve">  ■ 상반기 공통역량평가</t>
  </si>
  <si>
    <t>직무 전문성
(역량 #1)</t>
  </si>
  <si>
    <t>분석력
(역량 #2)</t>
  </si>
  <si>
    <t>기획/실행력
(역량 #3)</t>
  </si>
  <si>
    <t>자원·시간 관리
(역량 #4)</t>
  </si>
  <si>
    <t>협업 능력
(역량 #5)</t>
  </si>
  <si>
    <t>소통 능력
(역량 #6)</t>
  </si>
  <si>
    <t>윤리/책임감
(역량 #7)</t>
  </si>
  <si>
    <t>업무 태도
(역량 #8)</t>
  </si>
  <si>
    <t>혁신 역량
(역량 #9)</t>
  </si>
  <si>
    <t>프로세스 개선
(역량 #10)</t>
  </si>
  <si>
    <t>지속가능 기여
(역량 #11)</t>
  </si>
  <si>
    <t>가중합산</t>
  </si>
  <si>
    <t>소견</t>
  </si>
  <si>
    <t xml:space="preserve">  ■ 하반기 공통역량평가</t>
  </si>
  <si>
    <t xml:space="preserve">  직무역량평가 — 직무 책무·과업 기반 전문역량</t>
  </si>
  <si>
    <t xml:space="preserve">  직무 프로파일의 책무·과업을 평가 항목으로 활용 (부서별 평가시트에서 책무별 등급 부여 → 여기 종합 표시)</t>
  </si>
  <si>
    <t xml:space="preserve">  ■ 상반기 직무역량평가</t>
  </si>
  <si>
    <t>직무 책무 수</t>
  </si>
  <si>
    <t>평가 책무 수</t>
  </si>
  <si>
    <t>1차 종합</t>
  </si>
  <si>
    <t>2차 종합</t>
  </si>
  <si>
    <t>점수</t>
  </si>
  <si>
    <t xml:space="preserve">  ■ 하반기 직무역량평가</t>
  </si>
  <si>
    <t xml:space="preserve">  결과 취합 시트 (부서별 평가지 → 통합 입력)</t>
  </si>
  <si>
    <t xml:space="preserve">  HR 담당자가 부서별 평가시트의 등급을 회수해 노란셀에 입력. 04~06 시트가 자동 참조합니다.</t>
  </si>
  <si>
    <t xml:space="preserve">  ■ 상반기 평가 결과 취합 (역할평가 + 공통역량 + 직무역량)</t>
  </si>
  <si>
    <t>역할-책임</t>
  </si>
  <si>
    <t>역할-의사결정</t>
  </si>
  <si>
    <t>역할-성과</t>
  </si>
  <si>
    <t>역할-코칭</t>
  </si>
  <si>
    <t>역할-산출물</t>
  </si>
  <si>
    <t>역할 1차</t>
  </si>
  <si>
    <t>역할 2차</t>
  </si>
  <si>
    <t>직무 1차</t>
  </si>
  <si>
    <t>직무 2차</t>
  </si>
  <si>
    <t>종합 소견</t>
  </si>
  <si>
    <t xml:space="preserve">  ■ 하반기 평가 결과 취합</t>
  </si>
  <si>
    <t xml:space="preserve">  부서별 평가지 → 07_결과취합 시트 입력 매핑 가이드</t>
  </si>
  <si>
    <t xml:space="preserve">  각 부서에서 회수한 평가지의 등급을 07_결과취합 시트의 어느 컬럼에 입력해야 하는지 정확히 안내</t>
  </si>
  <si>
    <t xml:space="preserve">  ▶ 평가지 회수 → 마스터 입력 흐름</t>
  </si>
  <si>
    <t xml:space="preserve">  ① 평가자(부서장)로부터 각 부서 평가지 파일을 회수 (이메일·공유폴더)</t>
  </si>
  <si>
    <t xml:space="preserve">  ② 평가지 각 시트의 [3축 종합 평가 결과] 영역에서 평가 대상자별 사번·등급 확인</t>
  </si>
  <si>
    <t xml:space="preserve">  ③ 본 매핑 가이드대로 [07_결과취합] 시트의 사번 행을 찾아 등급(S/A/B/C/D)을 입력</t>
  </si>
  <si>
    <t xml:space="preserve">  ④ 04~06 평가 시트가 자동으로 07_결과취합을 참조 → 08_종합평가에서 최종 등급 산출</t>
  </si>
  <si>
    <t xml:space="preserve">  ⑤ 09_보상연계, 10_성과급관리, 11_페이밴드검증, 12_시뮬레이션 자동 갱신</t>
  </si>
  <si>
    <t xml:space="preserve">  ▶ 평가지의 각 영역 → 07_결과취합 컬럼 매핑</t>
  </si>
  <si>
    <t>평가지 영역</t>
  </si>
  <si>
    <t>07_결과취합 컬럼 (상반기 6~39행, 하반기 44~77행)</t>
  </si>
  <si>
    <t>① 역할평가</t>
  </si>
  <si>
    <t>5개 항목 각각</t>
  </si>
  <si>
    <t>G~K 컬럼 (역할-책임·의사결정·성과·코칭·산출물)</t>
  </si>
  <si>
    <t>종합 등급</t>
  </si>
  <si>
    <t>L (역할 1차) / M (역할 2차)</t>
  </si>
  <si>
    <t>상반기=L, 하반기=L이지만 H1/H2 영역 구분</t>
  </si>
  <si>
    <t>② 공통역량평가</t>
  </si>
  <si>
    <t>11개 등급</t>
  </si>
  <si>
    <t>N~X 컬럼 (직무전문성·분석력·...·지속가능기여)</t>
  </si>
  <si>
    <t>평가지 C-1~C-11 등급을 순서대로</t>
  </si>
  <si>
    <t>③ 직무역량평가</t>
  </si>
  <si>
    <t>Y (직무 1차) / Z (직무 2차)</t>
  </si>
  <si>
    <t>평가지의 직무역량 종합 등급</t>
  </si>
  <si>
    <t>텍스트</t>
  </si>
  <si>
    <t>AA (종합 소견)</t>
  </si>
  <si>
    <t>강점/개선/육성 방향 통합 요약</t>
  </si>
  <si>
    <t xml:space="preserve">  ▶ 사번별 입력 행 위치 (07_결과취합 시트)</t>
  </si>
  <si>
    <t>상반기 입력 행</t>
  </si>
  <si>
    <t>하반기 입력 행</t>
  </si>
  <si>
    <t>사용 양식 파일</t>
  </si>
  <si>
    <t>6행</t>
  </si>
  <si>
    <t>44행</t>
  </si>
  <si>
    <t>01_스마트사업부/평가지_스마트사업부_2026.xlsx</t>
  </si>
  <si>
    <t>7행</t>
  </si>
  <si>
    <t>45행</t>
  </si>
  <si>
    <t>02_R&amp;D본부/평가지_R&amp;D본부_2026.xlsx</t>
  </si>
  <si>
    <t>8행</t>
  </si>
  <si>
    <t>46행</t>
  </si>
  <si>
    <t>03_컨설팅본부/평가지_컨설팅본부_2026.xlsx</t>
  </si>
  <si>
    <t>9행</t>
  </si>
  <si>
    <t>47행</t>
  </si>
  <si>
    <t>04_경영전략실/평가지_경영전략실_2026.xlsx</t>
  </si>
  <si>
    <t>10행</t>
  </si>
  <si>
    <t>48행</t>
  </si>
  <si>
    <t>11행</t>
  </si>
  <si>
    <t>49행</t>
  </si>
  <si>
    <t>12행</t>
  </si>
  <si>
    <t>50행</t>
  </si>
  <si>
    <t>05_솔루션본부/평가지_솔루션본부_2026.xlsx</t>
  </si>
  <si>
    <t>13행</t>
  </si>
  <si>
    <t>51행</t>
  </si>
  <si>
    <t>14행</t>
  </si>
  <si>
    <t>52행</t>
  </si>
  <si>
    <t>15행</t>
  </si>
  <si>
    <t>53행</t>
  </si>
  <si>
    <t>16행</t>
  </si>
  <si>
    <t>54행</t>
  </si>
  <si>
    <t>17행</t>
  </si>
  <si>
    <t>55행</t>
  </si>
  <si>
    <t>06_마케팅팀/평가지_마케팅팀_2026.xlsx</t>
  </si>
  <si>
    <t>18행</t>
  </si>
  <si>
    <t>56행</t>
  </si>
  <si>
    <t>19행</t>
  </si>
  <si>
    <t>57행</t>
  </si>
  <si>
    <t>20행</t>
  </si>
  <si>
    <t>58행</t>
  </si>
  <si>
    <t>21행</t>
  </si>
  <si>
    <t>59행</t>
  </si>
  <si>
    <t>22행</t>
  </si>
  <si>
    <t>60행</t>
  </si>
  <si>
    <t>23행</t>
  </si>
  <si>
    <t>61행</t>
  </si>
  <si>
    <t>24행</t>
  </si>
  <si>
    <t>62행</t>
  </si>
  <si>
    <t>25행</t>
  </si>
  <si>
    <t>63행</t>
  </si>
  <si>
    <t>26행</t>
  </si>
  <si>
    <t>64행</t>
  </si>
  <si>
    <t>27행</t>
  </si>
  <si>
    <t>65행</t>
  </si>
  <si>
    <t>28행</t>
  </si>
  <si>
    <t>66행</t>
  </si>
  <si>
    <t>29행</t>
  </si>
  <si>
    <t>67행</t>
  </si>
  <si>
    <t>30행</t>
  </si>
  <si>
    <t>68행</t>
  </si>
  <si>
    <t>31행</t>
  </si>
  <si>
    <t>69행</t>
  </si>
  <si>
    <t>32행</t>
  </si>
  <si>
    <t>70행</t>
  </si>
  <si>
    <t>33행</t>
  </si>
  <si>
    <t>71행</t>
  </si>
  <si>
    <t>34행</t>
  </si>
  <si>
    <t>72행</t>
  </si>
  <si>
    <t>35행</t>
  </si>
  <si>
    <t>73행</t>
  </si>
  <si>
    <t>36행</t>
  </si>
  <si>
    <t>74행</t>
  </si>
  <si>
    <t>37행</t>
  </si>
  <si>
    <t>75행</t>
  </si>
  <si>
    <t>38행</t>
  </si>
  <si>
    <t>76행</t>
  </si>
  <si>
    <t>39행</t>
  </si>
  <si>
    <t>77행</t>
  </si>
  <si>
    <t xml:space="preserve">  종합 성과평가 — 3축 통합 (역할 + 공통역량 + 직무역량) + 최종 등급</t>
  </si>
  <si>
    <t xml:space="preserve">  직급별 가변 가중치 적용 → 종합점수 → 절대평가 / 상대평가(강제분포) → 최종 등급 자동 산출</t>
  </si>
  <si>
    <t xml:space="preserve">  ■ 종합평가 — 모든 평가의 결과가 자동 통합됩니다</t>
  </si>
  <si>
    <t>역할
(상)</t>
  </si>
  <si>
    <t>역할
(하)</t>
  </si>
  <si>
    <t>역할 점수</t>
  </si>
  <si>
    <t>공통
(상)</t>
  </si>
  <si>
    <t>공통
(하)</t>
  </si>
  <si>
    <t>공통 점수</t>
  </si>
  <si>
    <t>직무
(상)</t>
  </si>
  <si>
    <t>직무
(하)</t>
  </si>
  <si>
    <t>직무 점수</t>
  </si>
  <si>
    <t>가중
(역할)</t>
  </si>
  <si>
    <t>가중
(공통)</t>
  </si>
  <si>
    <t>가중
(직무)</t>
  </si>
  <si>
    <t>종합점수</t>
  </si>
  <si>
    <t>절대등급</t>
  </si>
  <si>
    <t>최종등급</t>
  </si>
  <si>
    <t xml:space="preserve">  성과평가 → 보상 연계 (기본연봉 인상 시뮬레이션)</t>
  </si>
  <si>
    <t xml:space="preserve">  08_종합평가의 최종등급 → 인상률 → 차년도 기본연봉 자동 산출. 페이밴드 적합 자동 확인</t>
  </si>
  <si>
    <t xml:space="preserve">  ■ 인상 시뮬레이션</t>
  </si>
  <si>
    <t>현재 기본연봉</t>
  </si>
  <si>
    <t>평가인상률</t>
  </si>
  <si>
    <t>승진여부</t>
  </si>
  <si>
    <t>승진인상률</t>
  </si>
  <si>
    <t>총인상률</t>
  </si>
  <si>
    <t>페이밴드
Min</t>
  </si>
  <si>
    <t>페이밴드
Max</t>
  </si>
  <si>
    <t>신규 연봉(안)</t>
  </si>
  <si>
    <t>연봉확정</t>
  </si>
  <si>
    <t>인상액</t>
  </si>
  <si>
    <t xml:space="preserve">  성과급(인센티브) 관리 — 등급별 자동 산출</t>
  </si>
  <si>
    <t xml:space="preserve">  08_종합평가의 최종등급에 따라 성과급 자동 산정. 전사 KPI 달성률 가산 계수 조정 가능</t>
  </si>
  <si>
    <t xml:space="preserve">  ■ 전사 KPI 달성률 → 성과급 재원 가산 계수</t>
  </si>
  <si>
    <t>KPI 가산 계수 (등급에 따라 자동)</t>
  </si>
  <si>
    <t>수동 조정</t>
  </si>
  <si>
    <t>S/A 등급 시 가산, C/D 등급 시 감산. 수동 조정란에 직접 값을 입력해 덮어쓸 수 있습니다.</t>
  </si>
  <si>
    <t xml:space="preserve">  ■ 개인별 성과급 산출</t>
  </si>
  <si>
    <t>지급률</t>
  </si>
  <si>
    <t>성과급(산출)</t>
  </si>
  <si>
    <t>KPI 가산 적용</t>
  </si>
  <si>
    <t>성과급(확정)</t>
  </si>
  <si>
    <t>지급일자</t>
  </si>
  <si>
    <t xml:space="preserve">  ■ 부서별 성과급 통계</t>
  </si>
  <si>
    <t>총인원</t>
  </si>
  <si>
    <t>평균 성과급</t>
  </si>
  <si>
    <t xml:space="preserve">  페이밴드 적합성 검증</t>
  </si>
  <si>
    <t xml:space="preserve">  현재·인상 후 연봉이 페이밴드 범위에 있는지 자동 검증. 이탈자 조정 필요액 자동 산출</t>
  </si>
  <si>
    <t xml:space="preserve">  ■ 직급별 페이밴드 (02_의사결정에서 자동 참조)</t>
  </si>
  <si>
    <t>해당인원</t>
  </si>
  <si>
    <t>범위 내</t>
  </si>
  <si>
    <t>이탈</t>
  </si>
  <si>
    <t xml:space="preserve">  ■ 개인별 적합성 검증</t>
  </si>
  <si>
    <t>현재연봉</t>
  </si>
  <si>
    <t>Band Min</t>
  </si>
  <si>
    <t>Band Mid</t>
  </si>
  <si>
    <t>Band Max</t>
  </si>
  <si>
    <t>현재 위치</t>
  </si>
  <si>
    <t>현재 적합</t>
  </si>
  <si>
    <t>인상후연봉</t>
  </si>
  <si>
    <t>인상후 위치</t>
  </si>
  <si>
    <t>인상후 적합</t>
  </si>
  <si>
    <t>종합 판정</t>
  </si>
  <si>
    <t>조정 필요액</t>
  </si>
  <si>
    <t xml:space="preserve">  End-to-End 시뮬레이션 대시보드 (모든 결과 한눈에)</t>
  </si>
  <si>
    <t xml:space="preserve">  07_결과취합에 등급 입력 시 모든 시트가 자동 갱신되어 여기에 종합 요약됩니다</t>
  </si>
  <si>
    <t xml:space="preserve">  ▶ 종합 요약</t>
  </si>
  <si>
    <t>총 인건비 증가</t>
  </si>
  <si>
    <t>S등급 인원</t>
  </si>
  <si>
    <t>A등급 인원</t>
  </si>
  <si>
    <t>B등급 인원</t>
  </si>
  <si>
    <t>C·D등급 인원</t>
  </si>
  <si>
    <t xml:space="preserve">  ■ 개인별 통합 현황 (평가 → 보상 → 페이밴드 → 성과급)</t>
  </si>
  <si>
    <t>인상률</t>
  </si>
  <si>
    <t>Band 판정</t>
  </si>
  <si>
    <t>성과급</t>
  </si>
  <si>
    <t>총보상변동</t>
  </si>
  <si>
    <t>총변동률</t>
  </si>
  <si>
    <t>승진</t>
  </si>
  <si>
    <t xml:space="preserve">  직무·역할등급 정의 데이터베이스</t>
  </si>
  <si>
    <t xml:space="preserve">  직무 프로파일 기반 마스터. 조회키(직무+역할등급) 으로 모든 시트에서 VLOOKUP 참조</t>
  </si>
  <si>
    <t xml:space="preserve">  ■ 직무 × 역할등급 마스터 (G5는 통합 키)</t>
  </si>
  <si>
    <t>조회키</t>
  </si>
  <si>
    <t>역할 정의</t>
  </si>
  <si>
    <t>권한 및 책임</t>
  </si>
  <si>
    <t>핵심 책무 1</t>
  </si>
  <si>
    <t>핵심 책무 2</t>
  </si>
  <si>
    <t>핵심 책무 3</t>
  </si>
  <si>
    <t>핵심 책무 4</t>
  </si>
  <si>
    <t>필요 스킬 요약</t>
  </si>
  <si>
    <t>승급 표준연한</t>
  </si>
  <si>
    <t>경영전략기획G6</t>
  </si>
  <si>
    <t>사업·조직 관리</t>
  </si>
  <si>
    <t>회사의 비전과 중장기 전략을 총괄하며, 경영·인사·재무·마케팅 등 핵심 기능을 통합 관리하고, 전사 의사결정·대외 협력·리스크 관리를 주도함.</t>
  </si>
  <si>
    <t>• 전사 비전 및 중장기 전략 수립·승인
• 예산·자원 배분 총괄 및 대외 협력 주도
• 전사 KPI 달성 및 리스크 관리 책임</t>
  </si>
  <si>
    <t>중장기 경영전략 수립</t>
  </si>
  <si>
    <t>조직 목표 및 KPI 관리</t>
  </si>
  <si>
    <t>경영계획 및 예산수립</t>
  </si>
  <si>
    <t>경영평가 및 모니터링</t>
  </si>
  <si>
    <t>전략적 사고력, 데이터 분석력, 
기획력, 조직이해 능력 · 성과관리 능력, 문제해결력, 데이터 시각화(BI), 
커뮤니케이션 능력 · 재무·회계 지식, 엑셀·스프레드시트 활용, 
수리분석 능력 · 분석력, 통계해석, 프레젠테이션 능력,
리포팅 능력 · 시장조사 능력, 재무분석, 의사결정 능력, 
프로젝트 관리(PM) · 리스크관리 능력, 협상력, 문서작성</t>
  </si>
  <si>
    <t>5년 이상</t>
  </si>
  <si>
    <t>경영전략기획G5</t>
  </si>
  <si>
    <t>G5-M</t>
  </si>
  <si>
    <t>직무 관리(부서장)</t>
  </si>
  <si>
    <t>부서 전략 및 목표를 수립하고, 자원 배분·예산 관리·성과 관리를 통해 조직 성과 달성을 책임지고, 부서 내 의사결정을 주도함.</t>
  </si>
  <si>
    <t>• 부서 전략·성과 목표 설정 및 관리
• 자원·인력 배치 및 성과관리 주도
• 부서 의사결정 및 현안 조정 책임</t>
  </si>
  <si>
    <t>4년 이상</t>
  </si>
  <si>
    <t>경영전략기획G5-S</t>
  </si>
  <si>
    <t>G5-S</t>
  </si>
  <si>
    <t>실무 스페셜리스트</t>
  </si>
  <si>
    <t>전략기획·인사·재무·마케팅 등 각 분야에서 전문적 분석 및 고난이도 과제 수행.</t>
  </si>
  <si>
    <t>• 전문 영역(전략, 재무, 마케팅 등) 고난도 분석
• 의사결정 지원 자료 및 대안 제시
• 내부 자문·전문 지식 공유 역할</t>
  </si>
  <si>
    <t>경영전략기획G4</t>
  </si>
  <si>
    <t>실무 책임(PM)</t>
  </si>
  <si>
    <t>단위 프로젝트 또는 핵심 과제의 전략 수립·추진을 주도하며, 일정·예산·품질을 종합적으로 관리함.</t>
  </si>
  <si>
    <t>• 전략과제 및 프로젝트 기획·추진 관리
• 일정·예산·성과 모니터링 및 조정
• 과제팀 운영 및 산출물 품질 책임</t>
  </si>
  <si>
    <t>3년 이상</t>
  </si>
  <si>
    <t>경영전략기획G3</t>
  </si>
  <si>
    <t>핵심 실무</t>
  </si>
  <si>
    <t>전문 지식과 기술을 활용하여 핵심 과제 기획·수행 및 성과물을 도출함.</t>
  </si>
  <si>
    <t>• 경영성과 분석 및 개선안 도출
• 경영회의 보고자료·대시보드 작성
• 과제 실행 및 주요 산출물 도출</t>
  </si>
  <si>
    <t>경영전략기획G2</t>
  </si>
  <si>
    <t>실무</t>
  </si>
  <si>
    <t>프로젝트 계획에 따라 세부 과업을 독립적·자율적으로 수행하고 결과물을 도출함.</t>
  </si>
  <si>
    <t>• 기초 데이터 분석·리서치 수행
• KPI 집계 및 운영 보고 지원
• 프로젝트 과업 수행 및 운영 지원</t>
  </si>
  <si>
    <t>2년 이상</t>
  </si>
  <si>
    <t>경영전략기획G1</t>
  </si>
  <si>
    <t>실무 보조</t>
  </si>
  <si>
    <t>실무 수행에 필요한 기초 지식·기술 습득 및 단순 과업 수행.</t>
  </si>
  <si>
    <t>• 자료 수집·정리 및 행정 지원
• 기본 보고서·문서 편집 지원
• 단순 반복 업무 및 기초 과업 수행</t>
  </si>
  <si>
    <t>1년 이상</t>
  </si>
  <si>
    <t>프로젝트영업G6</t>
  </si>
  <si>
    <t>회사의 영업전략 수립과 목표 달성을 총괄하며, 주요 고객·파트너십 관리 및 사업 기회를 확대하는 역할.</t>
  </si>
  <si>
    <t>• 전사 영업전략 및 대형 프로젝트 영업 의사결정 권한
• 주요 고객사·파트너사와 최고위 레벨 협상 주도
• 전사 매출 목표 달성 및 리스크 총괄 책임
• 사내 또는 사외 우호세력의 지속적 고객·고객사 관리
• 신규 사업에 대한 시장 발굴(사업아이템, 고객사, 파트너사)</t>
  </si>
  <si>
    <t>영업 전략 수립</t>
  </si>
  <si>
    <t>제안 및 수주 활동</t>
  </si>
  <si>
    <t>고객·관계 관리</t>
  </si>
  <si>
    <t>프로젝트 지원 및 수금 관리</t>
  </si>
  <si>
    <t>분석력, 전략적 사고 · 제안서 작성 능력, 프레젠테이션, 협상력 · 소통 능력, 관계 관리, 문제 해결력 · 협업 능력, 일정 관리, 리스크 대응 · 협업 능력, 조정 능력</t>
  </si>
  <si>
    <t>프로젝트영업G5</t>
  </si>
  <si>
    <t>영업 성과목표 수립·관리, 프로젝트 포트폴리오 운영, 자원 배분 및 매출 목표 달성 총괄.</t>
  </si>
  <si>
    <t>• 부서 영업 목표 수립 및 실행 관리 권한
• 제안·계약 최종 검토 및 승인 권한
• 부서 인력·예산 운영 책임
• 사내 또는 사외 우호세력의 고객·고객사 관리
• 신규 사업에 대한 시장 발굴(사업아이템, 고객사, 파트너사) 지원
• 프로젝트 리스크 관리</t>
  </si>
  <si>
    <t>프로젝트영업G5-S</t>
  </si>
  <si>
    <t>전문 영업 지식과 경험을 기반으로 대형/복잡 영업 프로젝트를 수행하며, 신규 시장 개척 및 고객 관계 강화.</t>
  </si>
  <si>
    <t>• 고난도 프로젝트 제안 및 계약 협상 주도
• 영업 전략 수립과 전문 자문 제공 권한
• 고객사 관계 강화 및 신규 기회 창출 책임
• 사내 또는 사외 우호세력의 고객·고객사 관리
• 프로젝트 리스크 관리</t>
  </si>
  <si>
    <t>프로젝트영업G4</t>
  </si>
  <si>
    <t>프로젝트 영업 활동을 주도하며, 매출·수익성 목표 달성과 주요 고객 관리 책임.</t>
  </si>
  <si>
    <t>• 프로젝트 단위 영업 리딩 권한
• 제안·계약 진행 및 수금 관리 책임
• 고객사 커뮤니케이션 및 협력사 조율 권한
• 사내 또는 사외 우호세력의 고객·고객사 관리</t>
  </si>
  <si>
    <t>프로젝트영업G3</t>
  </si>
  <si>
    <t>핵심 영업 과업(제안, 계약 관리 등)을 수행하고, 고객 요구 충족 및 프로젝트 진행을 지원.</t>
  </si>
  <si>
    <t>• 제안서 작성·발표 지원 권한
• 고객 요구 분석 및 맞춤형 솔루션 제안 책임
• 계약·수행 과정 지원
• 사내 또는 사외 우호세력의 고객·고객사 자료 관리</t>
  </si>
  <si>
    <t>프로젝트영업G2</t>
  </si>
  <si>
    <t>영업 기회 발굴, 제안 자료 작성, 고객 커뮤니케이션 지원 등 실무적 영업 활동 담당.</t>
  </si>
  <si>
    <t>• 고객사 정보 조사 및 관리
• 제안 문서·견적서 등 영업 자료 작성 지원
• 계약·수금 관련 행정 지원
• 건설 프로젝트 발주 현황 자료 정리</t>
  </si>
  <si>
    <t>프로젝트영업G1</t>
  </si>
  <si>
    <t>영업팀 활동 지원, 자료 정리 및 기본적 고객 응대 보조.</t>
  </si>
  <si>
    <t>• 기존 및 신규 프로젝트 데이터 정리
• 영업 데이터·고객 DB 정리
• 회의록 및 보고자료 작성 지원
• 기본 고객 응대 및 사무 지원</t>
  </si>
  <si>
    <t>SW판매영업G6</t>
  </si>
  <si>
    <t>SW판매영업</t>
  </si>
  <si>
    <t>회사의 SW 판매 전략과 영업 목표를 총괄하며 주요 파트너십과 대외 협력, 성과 달성을 책임지는 역할.</t>
  </si>
  <si>
    <t>• 회사 전체 SW 영업 전략·목표 최종 승인 권한 보유
• 주요 파트너십 및 대외 협력 관계 구축·유지
• 전사 매출성과 및 리스크 관리 책임</t>
  </si>
  <si>
    <t>시장 및 고객 발굴</t>
  </si>
  <si>
    <t>영업 기회 관리</t>
  </si>
  <si>
    <t>계약 및 매출 관리</t>
  </si>
  <si>
    <t>파트너십 관리</t>
  </si>
  <si>
    <t>시장분석 능력, 고객 발굴 능력, 커뮤니케이션 스킬 · 제안서 작성 능력, 협상력, CRM 활용 능력 · 계약 관리 지식, 수익 분석 능력, 재무 이해도 · 파트너십 관리 능력, 협업 능력, 프로젝트 조정 능력 · 고객 관리 능력, 문제 해결 능력, 장기적 관계 구축 역량</t>
  </si>
  <si>
    <t>4~5년 이상</t>
  </si>
  <si>
    <t>SW판매영업G5</t>
  </si>
  <si>
    <t>SW 영업팀의 목표를 설정·관리하고 영업 전략 실행을 총괄하며 인력·자원 배분과 성과 달성을 책임지는 역할.</t>
  </si>
  <si>
    <t>• 팀 목표·성과 관리 및 자원 배분 권한 보유
• 영업 전략 실행 및 팀 운영 책임
• 성과 평가 및 조직 성과 달성 관리</t>
  </si>
  <si>
    <t>3~4년</t>
  </si>
  <si>
    <t>SW판매영업G5-S</t>
  </si>
  <si>
    <t>주요 고객사 영업, 대규모 계약 협상, 기술 제안 등 복잡하고 고난이도의 영업 과제를 수행하며 전문성을 발휘하는 역할.</t>
  </si>
  <si>
    <t>• 대규모 계약 협상 및 기술 제안 권한 보유
• 전문적 영업 과제 수행 책임
• 신규 시장 개척 및 주요 고객 관계 강화</t>
  </si>
  <si>
    <t>3년</t>
  </si>
  <si>
    <t>SW판매영업G4</t>
  </si>
  <si>
    <t>영업 프로젝트를 주도적으로 관리하며 매출 성과, 고객 대응, 계약 체결을 책임지고 성과를 보고하는 역할.</t>
  </si>
  <si>
    <t>• 프로젝트 영업 실행·성과 보고 책임
• 계약 진행 및 고객 대응 주도
• 매출 목표 달성 관리 권한</t>
  </si>
  <si>
    <t>2~3년</t>
  </si>
  <si>
    <t>SW판매영업G3</t>
  </si>
  <si>
    <t>고객 발굴·관계 관리·제안서 작성 등 핵심 영업 활동을 수행하고 매출 목표 달성에 기여하는 역할.</t>
  </si>
  <si>
    <t>• 제안서 작성, 계약 관리 등 핵심 영업 활동 수행
• 고객 요구 분석 및 대응 책임
• 목표 달성에 필요한 주요 과업 독립 수행</t>
  </si>
  <si>
    <t>2년</t>
  </si>
  <si>
    <t>SW판매영업G2</t>
  </si>
  <si>
    <t>정해진 절차에 따라 영업 활동을 지원하며 고객 관리·계약 진행·자료 준비 등을 담당하는 역할.</t>
  </si>
  <si>
    <t>• 정해진 절차에 따른 영업 지원 권한
• 고객 관리·자료 준비 및 계약 보조
• 기본 과업 성과 책임</t>
  </si>
  <si>
    <t>1~2년</t>
  </si>
  <si>
    <t>SW판매영업G1</t>
  </si>
  <si>
    <t>영업 활동에 필요한 기초 업무를 보조하며 고객 응대 및 기본적 문서 작업을 수행하는 역할.</t>
  </si>
  <si>
    <t>• 기초 영업 업무 및 문서 지원 권한
• 고객 응대·자료 정리 보조 책임
• 팀 영업활동 지원</t>
  </si>
  <si>
    <t>1년</t>
  </si>
  <si>
    <t>BIM컨설팅G6</t>
  </si>
  <si>
    <t>BIM 컨설팅 전략과 서비스 체계를 총괄하며 대외 협력과 사업 확장을 책임지는 역할.</t>
  </si>
  <si>
    <t>• BIM 컨설팅 조직 및 사업 전략 총괄
• 대형 프로젝트·신규 시장 진출 의사결정
• 대외 협력·파트너십 관리 및 리스크 총괄</t>
  </si>
  <si>
    <t>프로젝트 요구사항 분석</t>
  </si>
  <si>
    <t>BIM 모델 작성</t>
  </si>
  <si>
    <t>시뮬레이션 및 검토</t>
  </si>
  <si>
    <t>현장 데이터 수집</t>
  </si>
  <si>
    <t>분석력, 설계 규정 이해, 커뮤니케이션 능력 ·  Civil3D, OpenRoads Designer, 공간 분석 능력 · 시뮬레이션 툴 활용 능력, 분석 보고 능력 · 드론 운용 능력, 항공 촬영 지식, 데이터 수집 능력 · 3D GIS 모델 제작 툴, 모델 및 포인트 클라우드 후처리, GIS 연계, 설계 SW 연계 가능 포멧으로 변환 · BIM-GIS 통</t>
  </si>
  <si>
    <t>BIM컨설팅G5</t>
  </si>
  <si>
    <t>BIM 컨설팅 조직의 목표와 방향을 설정·관리하고 프로젝트 포트폴리오 운영 및 성과 달성을 총괄하는 역할.</t>
  </si>
  <si>
    <t>• 부서 단위 BIM 컨설팅 목표·성과 관리
• 인력·예산·자원 배분 권한 보유
• 부서 주요 프로젝트 품질·납기 책임</t>
  </si>
  <si>
    <t>BIM컨설팅G5-S</t>
  </si>
  <si>
    <t>BIM 설계·시뮬레이션·검증 등 고난이도 과제를 전문적으로 수행하며 기술 자산화와 표준화를 주도하는 역할.</t>
  </si>
  <si>
    <t>• 구조/설비/토목 등 특정 BIM 전문영역 과제 리딩
• 고난도 모델링·시뮬레이션 수행
• 사내 BIM 표준 및 기술 자문 역할</t>
  </si>
  <si>
    <t>BIM컨설팅G4</t>
  </si>
  <si>
    <t>BIM 프로젝트를 기획·운영하며 일정·품질·비용 관리와 산출물 보고를 책임지는 역할.</t>
  </si>
  <si>
    <t>• 프로젝트 단위 BIM 컨설팅 리딩
• 모델링 품질·납기·성과물 관리 책임
• 고객사 및 협력사 커뮤니케이션 주도</t>
  </si>
  <si>
    <t>BIM컨설팅G3</t>
  </si>
  <si>
    <t>BIM 모델링·구조 검토·시뮬레이션 등 주요 과제를 수행하고 산출물 품질과 납기를 책임지는 역할.</t>
  </si>
  <si>
    <t>• BIM 모델링·시뮬레이션 등 핵심 실무 수행
• 프로젝트 보고서·프레젠테이션 작성
• 설계/시공팀 협업 및 문제 해결 지원</t>
  </si>
  <si>
    <t>BIM컨설팅G2</t>
  </si>
  <si>
    <t>BIM 모델링과 도면 작성 등 세부 실무를 독립적으로 수행하며 프로젝트 품질 확보를 지원하는 역할.</t>
  </si>
  <si>
    <t>• 상세 모델링, 도면 검토 및 수정 지원
• BIM 데이터 관리 및 보고 지원
• 기본적 고객사 요구 대응</t>
  </si>
  <si>
    <t>BIM컨설팅G1</t>
  </si>
  <si>
    <t>BIM 모델링 기초 작업과 자료 정리를 담당하며 실무 진행을 보조하는 역할.</t>
  </si>
  <si>
    <t>• BIM 모델 입력·자료 정리 등 단순 지원
• 도면·데이터 관리 보조
• 선임자 지시에 따른 업무 지원</t>
  </si>
  <si>
    <t>교육G6</t>
  </si>
  <si>
    <t>교육</t>
  </si>
  <si>
    <t>회사의 교육 전략과 포트폴리오를 총괄하며 외부 파트너십·자격체계·수익모델을 통해 교육 사업의 확장과 성과를 책임지는 역할.</t>
  </si>
  <si>
    <t>• 교육 사업 전략·수익모델 최종 승인 권한
• 외부 파트너십·인증·자격 체계 협력 총괄
• 교육 포트폴리오 성과 책임</t>
  </si>
  <si>
    <t>교육 과정 기획 및 운영</t>
  </si>
  <si>
    <t>학습 품질 관리</t>
  </si>
  <si>
    <t>자원 및 행정 관리</t>
  </si>
  <si>
    <t>교육 콘텐츠 개발 및 개선</t>
  </si>
  <si>
    <t>교육과정 설계 능력, 일정 관리 능력, 교육 운영 경험 · 품질 관리 능력, 문제 해결 능력, 피드백 분석 능력 · 자원 관리 능력, 예산 관리 능력, 행정 처리 능력 · 교육 콘텐츠 개발 능력, BIM·SW 전문지식, 협업 능력 · 대외 협력 능력, 네트워크 구축 능력, 인증·평가 대응 능력</t>
  </si>
  <si>
    <t>교육G5</t>
  </si>
  <si>
    <t>교육 조직의 목표·예산·인력을 관리하고 과정 기획·운영 품질을 총괄하며 대외 인증·평가 대응을 주도하는 역할.</t>
  </si>
  <si>
    <t>• 부서 내 인력·예산·성과 관리 책임
• 교육 과정 기획·운영 품질 최종 검토
• 인증·평가 대응 권한</t>
  </si>
  <si>
    <t>교육G5-S</t>
  </si>
  <si>
    <t>고난도 전문과정(예: BIM/솔루션 심화) 설계·교안 개발·강사 코칭을 수행하고 커리큘럼 표준화와 콘텐츠 자산화를 주도하는 역할.</t>
  </si>
  <si>
    <t>• 전문 교육과정(심화·특화)의 커리큘럼 설계 권한
• 교육 콘텐츠 표준화·자산화 책임
• 강사·코치 멘토링 수행</t>
  </si>
  <si>
    <t>교육G4</t>
  </si>
  <si>
    <t>핵심 교육과정의 운영 총괄과 강의 품질·수강생 성과·NPS를 관리하며 프로젝트형 교육과 기업 맞춤 과제를 리드하는 역할.</t>
  </si>
  <si>
    <t>• 프로젝트형 교육과정 운영 총괄 권한
• 수강생 성과·품질 관리 책임
• 고객사 맞춤형 교육 리딩</t>
  </si>
  <si>
    <t>교육G3</t>
  </si>
  <si>
    <t>주력 과정을 독립적으로 강의·실습 운영하고 교안 개선·평가 채점·학습 성과 피드백을 통해 품질과 만족도를 확보하는 역할.</t>
  </si>
  <si>
    <t>• 독립적 교육·실습 진행 권한
• 교안 개선·평가 수행 책임
• 학습 품질 및 수강생 만족도 확보</t>
  </si>
  <si>
    <t>교육G2</t>
  </si>
  <si>
    <t>표준 과정을 보조 또는 공동 진행하며 실습 관리·수강생 질의응답·교재 업데이트 등 운영 지원을 수행하는 역할.</t>
  </si>
  <si>
    <t>• 공동 교육과정 운영 참여 권한
• 실습 관리·수강생 질의응답 책임
• 교재 업데이트·운영 지원</t>
  </si>
  <si>
    <t>교육G1</t>
  </si>
  <si>
    <t>교육 운영에 필요한 준비·등록·실습 환경 세팅과 기본 자료 정리 등 기초 업무를 보조하는 역할.</t>
  </si>
  <si>
    <t>• 교육 준비·등록·환경 세팅 지원
• 기본 자료 정리·행정 보조
• 실습 운영 지원</t>
  </si>
  <si>
    <t>기술지원G6</t>
  </si>
  <si>
    <t>기술지원</t>
  </si>
  <si>
    <t>고객 기술지원 전략과 체계를 총괄하며, 주요 파트너·대형 고객의 기술 과제를 해결하고 서비스 품질을 통한 기업 신뢰도 제고와 매출 확대를 주도하는 역할.</t>
  </si>
  <si>
    <t>• 기술지원 전략 및 서비스 품질 총괄
• 대형 고객·파트너 핵심 기술이슈 해결 최종 의사결정
• 조직 운영·성과·예산 승인</t>
  </si>
  <si>
    <t>고객 기술 문제 해결</t>
  </si>
  <si>
    <t>기술 문서·지식 관리</t>
  </si>
  <si>
    <t>고객 커뮤니케이션 및 지원</t>
  </si>
  <si>
    <t>문제 해결 능력, 기술 분석 능력, 장애 대응 역량 · 문서 작성 능력, 지식 관리 능력, 커뮤니케이션 스킬, 발표·교육 능력 · 고객 대응 능력, 공감·소통 능력</t>
  </si>
  <si>
    <t>기술지원G5</t>
  </si>
  <si>
    <t>기술지원 조직의 목표·성과·인력을 관리하고 고객 SLA 준수를 책임지며 복잡한 기술이슈 해결과 대응 프로세스를 총괄하는 역할.</t>
  </si>
  <si>
    <t>• 기술지원팀 목표·성과 관리 및 SLA 준수 책임
• 고난도 고객 이슈 에스컬레이션 처리
• 지원 프로세스·매뉴얼 개선 승인</t>
  </si>
  <si>
    <t>기술지원G5-S</t>
  </si>
  <si>
    <t>고난도의 고객 기술문제를 직접 해결하고 솔루션 개선안을 제시하며 내부 교육·기술자료 표준화를 통해 조직 역량을 강화하는 역할.</t>
  </si>
  <si>
    <t>• 고난도 기술문제 분석·해결안 도출
• 내부 교육 및 기술지식 표준화 주도
• 제품·서비스 개선 피드백 제공</t>
  </si>
  <si>
    <t>기술지원G4</t>
  </si>
  <si>
    <t>주요 고객사의 시스템 이슈를 독립적으로 진단·해결하고 고객 피드백을 분석해 제품 개선과 서비스 향상에 기여하는 역할.</t>
  </si>
  <si>
    <t>• 주요 고객사 기술과제 독립 해결
• VOC 분석 통한 개선과제 제안
• 개발·영업 협업 및 산출물 검수</t>
  </si>
  <si>
    <t>기술지원G3</t>
  </si>
  <si>
    <t>표준화된 절차에 따라 고객의 일반적 기술 요청을 처리하고 설치·업데이트·간단한 문제 해결을 지원하며 품질 데이터를 축적하는 역할.</t>
  </si>
  <si>
    <t>• 표준 절차 기반 고객 요청·장애 처리
• 설치·업데이트 등 운영 지원
• 품질 데이터 기록 및 보고</t>
  </si>
  <si>
    <t>기술지원G2</t>
  </si>
  <si>
    <t>선임의 지도하에 고객 질의 응대·문서화·기초 점검을 수행하며 표준 매뉴얼에 따른 기술지원 활동을 지원하는 역할.</t>
  </si>
  <si>
    <t>• 선임 지도하에 고객 질의 응대·기초 점검
• 표준 매뉴얼에 따른 문서 작성·관리
• 반복 이슈 모니터링·보고</t>
  </si>
  <si>
    <t>기술지원G1</t>
  </si>
  <si>
    <t>고객지원 시스템에 기본 데이터를 입력하고 기술 문서·자료 관리 및 단순 업무를 보조하는 역할.</t>
  </si>
  <si>
    <t>• 고객지원 시스템 데이터 입력·정리
• 기술 문서·자료 관리 지원
• 교육·회의 등 운영 보조</t>
  </si>
  <si>
    <t>연구개발(R&amp;D)G6</t>
  </si>
  <si>
    <t>전사 기술 로드맵과 제품 포트폴리오 전략을 총괄하며 핵심 기술 투자·외부 협력·IP 전략을 통해 사업 경쟁력을 창출하는 역할.</t>
  </si>
  <si>
    <t>• 전사 연구개발 전략 수립 및 의사결정 권한 보유
• 핵심 기술 로드맵 및 투자 방향 총괄
• 외부 협력 및 산학연 과제 승인·관리 책임
• 성과지표 달성 여부를 최종 점검하고 보고</t>
  </si>
  <si>
    <t>요구분석 및 설계</t>
  </si>
  <si>
    <t>기능 개발 및 구현</t>
  </si>
  <si>
    <t>품질 관리 및 검증</t>
  </si>
  <si>
    <t>유지보수 및 업그레이드</t>
  </si>
  <si>
    <t>요구분석 능력, UML/모델링 툴, 건설 도메인 지식, 시스템 설계 역량 · 프로그래밍 언어(C#, Python, Java, C++), DB 설계·SQL, API 연동, UI/UX 개발 · 테스트 자동화 도구(Jira, Git, Jenkins 등), 문제해결능력, 코드 품질관리 · Git 관리, CI/CD 이해, 문제 분석능력, 기술 트렌드 학습역량 · 문</t>
  </si>
  <si>
    <t>연구개발(R&amp;D)G5</t>
  </si>
  <si>
    <t>R&amp;D 조직의 목표·예산·인력을 관리하고 아키텍처 표준·개발 프로세스·품질 지표를 체계화하여 제품 출시 성과를 책임지는 역할.</t>
  </si>
  <si>
    <t>• 연구개발 부서 운영과 인력·예산 배분 권한
• 아키텍처 표준·프로세스 정의 및 실행 관리
• 프로젝트 진행 성과 검토 및 승인 책임
• 품질·안전·윤리 기준 준수 여부 관리</t>
  </si>
  <si>
    <t>연구개발(R&amp;D)G5-S</t>
  </si>
  <si>
    <t>핵심 알고리즘·엔진·플랫폼 아키텍처를 설계·검증하고 난도 높은 기술 과제를 해결하며 기술 자산화·특허화를 주도하는 역할.</t>
  </si>
  <si>
    <t>• 고난도 핵심 기술 검토 및 설계 의사결정 권한
• 특허·기술자산 관리 및 산출물 품질 검증 책임
• 신규 기술 도입·검증 및 외부 발표 주도
• 후배 연구원 멘토링 및 기술 역량 강화 기여</t>
  </si>
  <si>
    <t>연구개발(R&amp;D)G4</t>
  </si>
  <si>
    <t>모듈/서브시스템 수준의 설계·구현·성능 최적화를 리드하고 코드 리뷰·테스트 전략·릴리스 계획을 주도하는 역할.</t>
  </si>
  <si>
    <t>• 프로젝트 관리 전반 책임
• 모듈·시스템 설계 및 구현 검토 권한
• 리뷰·테스트 계획 승인 및 일정 관리 책임
• 리스크 발생 시 대응 및 보고 의무</t>
  </si>
  <si>
    <t>연구개발(R&amp;D)G3</t>
  </si>
  <si>
    <t>주요 기능을 독립적으로 설계·구현하고 단위/통합 테스트·결함 개선·문서화를 통해 품질과 일정 준수를 확보하는 역할.</t>
  </si>
  <si>
    <t>• 기능 구현·테스트 수행 책임
• 문서화·결함 관리 권한
• 일정 내 품질 확보 의무
• 협업 표준 준수 및 개선 의견 제시</t>
  </si>
  <si>
    <t>연구개발(R&amp;D)G2</t>
  </si>
  <si>
    <t>명세에 따라 기능 개발·버그 수정·리팩터링·테스트 보조를 수행하고 코드 품질 기준과 CI/CD 절차를 준수하는 역할.</t>
  </si>
  <si>
    <t>• 코드 구현 및 유지보수 실행 책임
• 버그 수정·리팩터링 수행 권한
• CI/CD 절차 준수 의무
• 품질 기준 내 개발 결과물 제공</t>
  </si>
  <si>
    <t>연구개발(R&amp;D)G1</t>
  </si>
  <si>
    <t>개발 환경 설정·기초 구현·테스트 데이터 준비 등 기본 업무를 수행하며 제품/도메인 지식을 학습하는 역할.</t>
  </si>
  <si>
    <t>• 개발 환경 설정 및 단순 구현 보조
• 테스트 데이터 준비 및 기초 실험 책임
• 선임 지시에 따른 자료 조사·정리 권한
• 기초 지식 학습 및 업무 지원 의무</t>
  </si>
  <si>
    <t>교육·기술지원G6</t>
  </si>
  <si>
    <t>교육과정 설계 능력, 일정 관리 능력, 교육 운영 경험 · 품질 관리 능력, 문제 해결 능력, 피드백 분석 능력 · 자원 관리 능력, 예산 관리 능력, 행정 처리 능력 · 교육 콘텐츠 개발 능력, BIM·SW 전문지식, 협업 능력 · 대외 협력 능력, 네트워크 구축 능력, 인증·평가 대응 능력 · 문제 해결 능력, 기술 분석 능력, 장애 대응 역량 · 문서</t>
  </si>
  <si>
    <t>교육·기술지원G5</t>
  </si>
  <si>
    <t>교육·기술지원G5-S</t>
  </si>
  <si>
    <t>교육·기술지원G4</t>
  </si>
  <si>
    <t>교육·기술지원G3</t>
  </si>
  <si>
    <t>교육·기술지원G2</t>
  </si>
  <si>
    <t>교육·기술지원G1</t>
  </si>
  <si>
    <t xml:space="preserve">  직무별 책무·과업 상세 DB (직무 프로파일)</t>
  </si>
  <si>
    <t xml:space="preserve">  직무 프로파일의 책무·과업·필요스킬 — 06_직무역량평가의 평가 항목으로 직접 사용됩니다</t>
  </si>
  <si>
    <t xml:space="preserve">  ■ 직무 × 전문영역 × 핵심책무 × 핵심과업 × 필요스킬</t>
  </si>
  <si>
    <t>전문영역</t>
  </si>
  <si>
    <t>핵심 책무</t>
  </si>
  <si>
    <t>핵심 과업</t>
  </si>
  <si>
    <t>필요 스킬</t>
  </si>
  <si>
    <t>조회키(직무_책무)</t>
  </si>
  <si>
    <t>경영기획</t>
  </si>
  <si>
    <t>• 내외부 경영환경 분석을 통해 중장기 전략방향 설정
• 내·외부 환경 분석(PEST·SWOT)을 통한 경영환경 진단
• 핵심성공요소(CSF) 도출 및 전략적 목표 설정
• 중장기 비전, 경영방침, 실행 로드맵 수립
• 전략목표별 세부 추진계획 수립 및 모니터링</t>
  </si>
  <si>
    <t>전략적 사고력, 데이터 분석력, 
기획력, 조직이해 능력</t>
  </si>
  <si>
    <t>경영전략기획_중장기 경영전략 수립</t>
  </si>
  <si>
    <t>성과지표 체계구축과 관리
• 연간 사업계획 및 KPI 체계 수립
• 성과지표 정의서(Indicator Definition Sheet) 작성 및 관리
• 부서별 목표연계 및 KPI 달성 모니터링
• 실적분석 및 개선과제 도출, 성과보고서 작성</t>
  </si>
  <si>
    <t>성과관리 능력, 문제해결력, 데이터 시각화(BI), 
커뮤니케이션 능력</t>
  </si>
  <si>
    <t>경영전략기획_조직 목표 및 KPI 관리</t>
  </si>
  <si>
    <t>연간사업계획 및 예산조정관리
• 예산편성 지침 수립 및 예산 항목별 소요예산 산정
• 부서별 예산 조정·통합 및 전사 예산안 편성
• 예산 대비 실적분석 및 차년도 예산 반영
• 비용구조 개선 및 자원배분 효율화 방안 수립</t>
  </si>
  <si>
    <t>재무·회계 지식, 엑셀·스프레드시트 활용, 
수리분석 능력</t>
  </si>
  <si>
    <t>경영전략기획_경영계획 및 예산수립</t>
  </si>
  <si>
    <t>전사 성과 및 부서별 실적평가 체계화
• 경영실적 점검계획 수립 및 성과지표 운영관리
• 부서별 실적 측정 및 편차 분석
• 성과평가 보고서 작성 및 개선 피드백 체계 구축
• 평가결과 기반의 조직 성과관리 체계 고도화</t>
  </si>
  <si>
    <t>분석력, 통계해석, 프레젠테이션 능력,
리포팅 능력</t>
  </si>
  <si>
    <t>경영전략기획_경영평가 및 모니터링</t>
  </si>
  <si>
    <t>신규 사업 기획 및
타당성 검토</t>
  </si>
  <si>
    <t>신사업 발굴 및 사업성 검토
• 신사업 아이디어 발굴 및 시장·경쟁환경 조사
• 사업성·수익성·타당성 검토 및 투자계획 수립
• 투자금 집행 및 리스크 대응계획 수립
• 사업성과 모니터링 및 개선안 제시</t>
  </si>
  <si>
    <t>시장조사 능력, 재무분석, 의사결정 능력, 
프로젝트 관리(PM)</t>
  </si>
  <si>
    <t>경영전략기획_신규 사업 기획 및
타당성 검토</t>
  </si>
  <si>
    <t>리스크 성과분석</t>
  </si>
  <si>
    <t>경영리스크 파악 및 대응계획 수립
• 경영리스크 유형별 파악 및 위험도 평가
• 사전대응계획 수립 및 점검
• 핵심리스크지표(KRI) 관리 및 개선활동 실행
• 투자자·협력사·관계사·유관기관과의 협력체계 구축</t>
  </si>
  <si>
    <t>리스크관리 능력, 협상력, 문서작성능력, 
조직 내·외 커뮤니케이션</t>
  </si>
  <si>
    <t>경영전략기획_리스크 성과분석</t>
  </si>
  <si>
    <t>인사총무</t>
  </si>
  <si>
    <t>인사관리 및 인력운영</t>
  </si>
  <si>
    <t>• 입·퇴사자 인사 프로세스 관리(계약서, 4대보험, 인사발령)
• 근태·휴가·연장근무·출장 등 근무관리
• 인사기록카드, 인사DB 업데이트 및 관리
• 인력 배치 및 조직도 관리</t>
  </si>
  <si>
    <t>HRM 시스템 활용능력, 문서작성 능력, 개인정보 관리 의식</t>
  </si>
  <si>
    <t>경영전략기획_인사관리 및 인력운영</t>
  </si>
  <si>
    <t>급여 및 복리후생</t>
  </si>
  <si>
    <t>• 급여·상여·성과급 정산 및 지급 관리
• 4대보험, 퇴직연금, 연말정산 관리
• 각종 복리후생(건강검진, 경조사, 식대·복지카드 등) 운영
• 외부 대행기관(세무·보험사) 협업 및 증빙자료 제출</t>
  </si>
  <si>
    <t>급여정산 지식, 세무·보험 이해, 개인정보 관리 으식, 일정관리 능력</t>
  </si>
  <si>
    <t>경영전략기획_급여 및 복리후생</t>
  </si>
  <si>
    <t>총무 및 자산관리</t>
  </si>
  <si>
    <t>• 사무실 운영(비품, 문서, 시설, 차량, 우편, 택배 등)
• 사무공간 및 비품 구매·재고관리
• 보안·출입통제·청소·시설 유지보수 관리
• 외주업체(시설, 보안, 용역 등) 계약 및 정산</t>
  </si>
  <si>
    <t>행정처리 능력, 회계 이해, 문서관리력, 협력사 커뮤니케이션</t>
  </si>
  <si>
    <t>경영전략기획_총무 및 자산관리</t>
  </si>
  <si>
    <t>노무 및 법규</t>
  </si>
  <si>
    <t>• 근로계약서, 취업규칙, 인사제도 운영 관리
• 노동법, 개인정보보호법 등 법규 준수 모니터링
• 근로감독·노무 컨설팅 대응
• 인사 관련 공문, 신고서, 공단문서 작성 및 제출</t>
  </si>
  <si>
    <t>근로기준법 이해, 노무 실무, 대외 공문서 작성 능력, 직원 대응 커뮤니케이션</t>
  </si>
  <si>
    <t>경영전략기획_노무 및 법규</t>
  </si>
  <si>
    <t>조직문화 및 사내행사</t>
  </si>
  <si>
    <t>• 사내 행사(워크숍, 창립기념일, 송년회 등) 기획·진행
• 사내 공지, 게시판, 뉴스레터 등 내부 커뮤니케이션 운영
• 신규입사자 온보딩(교육·OT) 및 퇴직면담 관리
• 사내 복지 프로그램 기획 및 만족도 조사</t>
  </si>
  <si>
    <t>행사기획·운영능력, 대인 커뮤니케이션, 프레젠테이션, 행사 홍보 자료 기본 작성 편집능력</t>
  </si>
  <si>
    <t>경영전략기획_조직문화 및 사내행사</t>
  </si>
  <si>
    <t>재무회계</t>
  </si>
  <si>
    <t>재무 전략 및 자금 관리</t>
  </si>
  <si>
    <t>자금 조달·운영, 재무 리스크 관리, 투자 검토</t>
  </si>
  <si>
    <t>재무지식, 분석력</t>
  </si>
  <si>
    <t>경영전략기획_재무 전략 및 자금 관리</t>
  </si>
  <si>
    <t>회계 관리 및 결산</t>
  </si>
  <si>
    <t>결산/재무제표 작성, 회계 감사 대응, 세무 관리</t>
  </si>
  <si>
    <t>회계 지식, 꼼꼼함</t>
  </si>
  <si>
    <t>경영전략기획_회계 관리 및 결산</t>
  </si>
  <si>
    <t>결산 및 세무</t>
  </si>
  <si>
    <t>• 월/분기/연 결산 및 재무제표 작성                                         
• 외부감사 및 세무조정 대응 • 법인세, 원천세 신고 및 납부</t>
  </si>
  <si>
    <t>재무회계 지식, 세법 지식, 분석적 사고, ERP 활용 능력, 꼼꼼함</t>
  </si>
  <si>
    <t>경영전략기획_결산 및 세무</t>
  </si>
  <si>
    <t>프로젝트 손익 및 원가 관리</t>
  </si>
  <si>
    <t xml:space="preserve">• 매출 관리                                                                         
• 프로젝트별 원가 산출 및 정산 </t>
  </si>
  <si>
    <t>원가회계 지식,  ERP 활용 능력, 분석력</t>
  </si>
  <si>
    <t>경영전략기획_프로젝트 손익 및 원가 관리</t>
  </si>
  <si>
    <t>자금 및 경영지원</t>
  </si>
  <si>
    <t>• 일일/월간 자금 계획 수립 및 집행                                        
• 자금 현황 관리 및 보고                                                       
• 정부지원금, 국책 과제 신청 및 정산                                       
• 급여 관리                                                                         
• 금융기관 관리 및 여신 업무</t>
  </si>
  <si>
    <t>재무관리, 재무 분석, OA 활용 능력</t>
  </si>
  <si>
    <t>경영전략기획_자금 및 경영지원</t>
  </si>
  <si>
    <t>마케팅</t>
  </si>
  <si>
    <t>마케팅 전략 수립</t>
  </si>
  <si>
    <t>• 시장조사, 고객 요구 분석 
• 기업 포지셔닝 전략 수립 
• 마케팅 캠페인 기획 및 운영(온,오프라인)
• 브랜드 아이덴티티, 톤앤매너 관리</t>
  </si>
  <si>
    <t>시장 분석력, 
기획력 &amp; 논리적 사고</t>
  </si>
  <si>
    <t>경영전략기획_마케팅 전략 수립</t>
  </si>
  <si>
    <t>브랜드 마케팅</t>
  </si>
  <si>
    <t>• 홈페이지, SNS,유투브 등 온라인 채널 운영
• 기술 세미나/전시회 기획 및 운영
• 행사 (마케팅 캠페인) 후 고객 관리
• 광고 집행 계획 및 실행</t>
  </si>
  <si>
    <t>커뮤니케이션 능력
브랜드 감각
행사 기획 능력</t>
  </si>
  <si>
    <t>경영전략기획_브랜드 마케팅</t>
  </si>
  <si>
    <t>컨텐츠 마케팅</t>
  </si>
  <si>
    <t>• 뉴스레터, 영상 등 콘텐츠 전략 기획 
• 컨텐츠 제작
• 온라인 컨텐츠 성과분석</t>
  </si>
  <si>
    <t>디지털 리터러시
콘텐츠 제작 능력 
문제 해결력, 협업 능력</t>
  </si>
  <si>
    <t>경영전략기획_컨텐츠 마케팅</t>
  </si>
  <si>
    <t>공공/건설프로젝트영업</t>
  </si>
  <si>
    <t>• 발주처·시장 동향 조사
• 공공·건설 프로젝트 기회 발굴
• 경쟁사 분석 및 입찰 전략 수립</t>
  </si>
  <si>
    <t>분석력, 전략적 사고</t>
  </si>
  <si>
    <t>프로젝트영업_영업 전략 수립</t>
  </si>
  <si>
    <t>• 입찰 제안서 작성 및 PT
• 발주처 요구사항 대응
• 계약 조건 협상 및 수주 성사</t>
  </si>
  <si>
    <t>제안서 작성 능력, 프레젠테이션, 협상력</t>
  </si>
  <si>
    <t>프로젝트영업_제안 및 수주 활동</t>
  </si>
  <si>
    <t>• 주요 발주처 및 협력사 관계 유지
• 정기 미팅 및 프로젝트 현안 대응
• 고객 만족도 조사 및 개선 제안</t>
  </si>
  <si>
    <t>소통 능력, 관계 관리, 문제 해결력</t>
  </si>
  <si>
    <t>프로젝트영업_고객·관계 관리</t>
  </si>
  <si>
    <t>• 계약 후 실행 단계 모니터링
• 이슈 발생 시 내부 협업·조율
• 수금 일정 관리 및 실행</t>
  </si>
  <si>
    <t>협업 능력, 일정 관리, 리스크 대응</t>
  </si>
  <si>
    <t>프로젝트영업_프로젝트 지원 및 수금 관리</t>
  </si>
  <si>
    <t>협력사/내부 부서 협업</t>
  </si>
  <si>
    <t>• 파트너사와 공동 제안 협력
• 기술·재무 부서 협업 통한 솔루션 제안
• 계약 이행 관련 행정 협조</t>
  </si>
  <si>
    <t>협업 능력, 조정 능력</t>
  </si>
  <si>
    <t>프로젝트영업_협력사/내부 부서 협업</t>
  </si>
  <si>
    <t>SW 패키지/라이선스영업</t>
  </si>
  <si>
    <t>• 타겟 시장 및 고객사 조사·분석
• 신규 고객 발굴 및 접촉 활동
• 잠재 고객 데이터베이스 구축·관리</t>
  </si>
  <si>
    <t>시장분석 능력, 고객 발굴 능력, 커뮤니케이션 스킬</t>
  </si>
  <si>
    <t>SW판매영업_시장 및 고객 발굴</t>
  </si>
  <si>
    <t>• 고객 요구사항 파악 및 솔루션 매칭
• 라이선스 제안서·견적 작성
• 영업 파이프라인 관리</t>
  </si>
  <si>
    <t>제안서 작성 능력, 협상력, CRM 활용 능력</t>
  </si>
  <si>
    <t>SW판매영업_영업 기회 관리</t>
  </si>
  <si>
    <t>• 계약 조건 협의 및 체결
• 매출 목표 수립 및 달성 관리
• 정산 및 라이선스 관리 프로세스 수행</t>
  </si>
  <si>
    <t>계약 관리 지식, 수익 분석 능력, 재무 이해도</t>
  </si>
  <si>
    <t>SW판매영업_계약 및 매출 관리</t>
  </si>
  <si>
    <t>• SW 공급사·리셀러와 협력 네트워크 구축
• 공동 영업 및 마케팅 활동 추진
• 파트너 성과 평가 및 관리</t>
  </si>
  <si>
    <t>파트너십 관리 능력, 협업 능력, 프로젝트 조정 능력</t>
  </si>
  <si>
    <t>SW판매영업_파트너십 관리</t>
  </si>
  <si>
    <t>고객 관계 유지</t>
  </si>
  <si>
    <t>• 정기적 고객 관리 및 기술 지원 연계
• 갱신·업그레이드 영업 활동 수행
• 고객 만족도 조사 및 피드백 반영</t>
  </si>
  <si>
    <t>고객 관리 능력, 문제 해결 능력, 장기적 관계 구축 역량</t>
  </si>
  <si>
    <t>SW판매영업_고객 관계 유지</t>
  </si>
  <si>
    <t>계획모델링</t>
  </si>
  <si>
    <t>• 프로젝트 발주처 요구사항 파악
• 설계 조건 및 법규 검토
• BIM 모델 범위 정의</t>
  </si>
  <si>
    <t>분석력, 설계 규정 이해, 커뮤니케이션 능력</t>
  </si>
  <si>
    <t>BIM컨설팅_프로젝트 요구사항 분석</t>
  </si>
  <si>
    <t>• 3D 모델 생성
• 설계 오류 및 간섭 검토
• 설계 대안 비교 및 수정 반영</t>
  </si>
  <si>
    <t xml:space="preserve"> Civil3D, OpenRoads Designer, 공간 분석 능력</t>
  </si>
  <si>
    <t>BIM컨설팅_BIM 모델 작성</t>
  </si>
  <si>
    <t>• 4D, 주행 및 장비 시뮬레이션
• 설계 충돌 검토 및 수정사항 반영
• 결과 리포트 작성</t>
  </si>
  <si>
    <t>시뮬레이션 툴 활용 능력, 분석 보고 능력</t>
  </si>
  <si>
    <t>BIM컨설팅_시뮬레이션 및 검토</t>
  </si>
  <si>
    <t>드론응용모델링</t>
  </si>
  <si>
    <t>• 드론 촬영 계획 수립 및 비행
• 영상·사진 데이터 수집
• GCP, CP 등 측량 데이터 취득</t>
  </si>
  <si>
    <t>드론 운용 능력, 항공 촬영 지식, 데이터 수집 능력</t>
  </si>
  <si>
    <t>BIM컨설팅_현장 데이터 수집</t>
  </si>
  <si>
    <t>3D 모델 생성·검증</t>
  </si>
  <si>
    <t>• 현장 수집 데이터 기반 3D GIS 모델 생성
• CP 데이터를 통한 GIS 모델 오차 비교
• 오차 분석 및 GCP 데이터 활용 보정</t>
  </si>
  <si>
    <t>3D GIS 모델 제작 툴, 모델 및 포인트 클라우드 후처리, GIS 연계, 설계 SW 연계 가능 포멧으로 변환</t>
  </si>
  <si>
    <t>BIM컨설팅_3D 모델 생성·검증</t>
  </si>
  <si>
    <t>데이터 통합 관리</t>
  </si>
  <si>
    <t>• BIM 모델과 드론 데이터 통합
• BIM to GIS, GIS to GIS 비교를 통한 시공 관리
• 성과물 보고서 작성</t>
  </si>
  <si>
    <t>BIM-GIS 통합 기술, 데이터 관리, 시공 모니터링, 보고서 작성 능력</t>
  </si>
  <si>
    <t>BIM컨설팅_데이터 통합 관리</t>
  </si>
  <si>
    <t>구조물 모델링</t>
  </si>
  <si>
    <t>• 철근콘크리트/강구조 3D 모델 작성
• 구조 부재 속성 입력
• 설계 변경사항 반영</t>
  </si>
  <si>
    <t>Revit Structure, Tekla, 구조 설계 지식</t>
  </si>
  <si>
    <t>BIM컨설팅_구조물 모델링</t>
  </si>
  <si>
    <t>구조모델링</t>
  </si>
  <si>
    <t>프로젝트 분석</t>
  </si>
  <si>
    <t>• 프로젝트 발주처 요구사항 파악
• 초기 BIM 모델 범위 정의</t>
  </si>
  <si>
    <t>과업에 대한 전체적인 이해 및 분석</t>
  </si>
  <si>
    <t>BIM컨설팅_프로젝트 분석</t>
  </si>
  <si>
    <t>Revit, Allplan 등 프로그램 기본 지식과 구조물 이해도 필요</t>
  </si>
  <si>
    <t>구조물 모델링 분석</t>
  </si>
  <si>
    <t>• 좌표 등 계획과의 일치 여부 검토
• 구조물간 혹은 지형과의 간선 검토
• 설계 변경사항 반영
• 주행 시뮬레이션 및 건설 시뮬레이션 검토</t>
  </si>
  <si>
    <t>구조성과품 분석 및 계획과의 협업</t>
  </si>
  <si>
    <t>BIM컨설팅_구조물 모델링 분석</t>
  </si>
  <si>
    <t>품질 검토 및 보고</t>
  </si>
  <si>
    <t>• 구조 검토 보고서 작성
• 설계 품질 검토 및 시공시 협업
• 품질 검토보고서 작성</t>
  </si>
  <si>
    <t>문서화 능력, 협업 능력</t>
  </si>
  <si>
    <t>BIM컨설팅_품질 검토 및 보고</t>
  </si>
  <si>
    <t>상하수도모델링</t>
  </si>
  <si>
    <t>상하수도시설 모델링</t>
  </si>
  <si>
    <t>• 상·하수도 관로시설 모델 
• 상·하수도 처리시설/구조물 모델
• 3D 네트워크 모델 생성
• 수리,수문해석 시뮬레이션 수행</t>
  </si>
  <si>
    <t>상하수도 수리,수문해석 지식, 모델링 능력
SewerGEMS,WaterGEMS,InfoworkICM 등</t>
  </si>
  <si>
    <t>BIM컨설팅_상하수도시설 모델링</t>
  </si>
  <si>
    <t>충돌 검토 및 간섭 해소</t>
  </si>
  <si>
    <t>• 배관 충돌 검토
• 간섭사항 수정 및 최적화
• 협업 툴을 통한 실시간 검토</t>
  </si>
  <si>
    <t>Navisworks, Clash Detection, 협업 능력</t>
  </si>
  <si>
    <t>BIM컨설팅_충돌 검토 및 간섭 해소</t>
  </si>
  <si>
    <t>유지관리 데이터 연계</t>
  </si>
  <si>
    <t>• 배관 운영·점검 이력 반영
• 유지관리 시스템과 BIM 통합
• 운영 리포트 작성</t>
  </si>
  <si>
    <t>데이터 관리 능력, BIM-FM 연계 기술, 보고 능력</t>
  </si>
  <si>
    <t>BIM컨설팅_유지관리 데이터 연계</t>
  </si>
  <si>
    <t>BIM·SW교육 운영·관리</t>
  </si>
  <si>
    <t>• BIM·SW 교육과정 편성 및 일정 수립
• 과정별 운영계획 수립 및 강사 배정
• 수강생 모집 및 등록 관리
• 과정 운영 성과 분석</t>
  </si>
  <si>
    <t>교육과정 설계 능력, 일정 관리 능력, 교육 운영 경험</t>
  </si>
  <si>
    <t>교육_교육 과정 기획 및 운영</t>
  </si>
  <si>
    <t>• 강의 및 실습 품질 점검
• 수강생 만족도 조사 및 피드백 반영
• 강사 평가 및 개선 지원
• 품질 지표(NPS, 수료율 등) 관리</t>
  </si>
  <si>
    <t>품질 관리 능력, 문제 해결 능력, 피드백 분석 능력</t>
  </si>
  <si>
    <t>교육_학습 품질 관리</t>
  </si>
  <si>
    <t>• 교재 및 실습 장비 관리
• 교육 예산 수립 및 집행
• 교육 관련 행정 지원(출석, 수료증 등)
• LMS(학습관리시스템) 운영</t>
  </si>
  <si>
    <t>자원 관리 능력, 예산 관리 능력, 행정 처리 능력</t>
  </si>
  <si>
    <t>교육_자원 및 행정 관리</t>
  </si>
  <si>
    <t>• BIM·SW 관련 교안 및 실습 자료 개발
• 최신 기술 반영한 콘텐츠 업데이트
• 모듈형 학습 콘텐츠 제작
• 내부·외부 전문가 협업 통한 개선</t>
  </si>
  <si>
    <t>교육 콘텐츠 개발 능력, BIM·SW 전문지식, 협업 능력</t>
  </si>
  <si>
    <t>교육_교육 콘텐츠 개발 및 개선</t>
  </si>
  <si>
    <t>대외 협력 및 인증 대응</t>
  </si>
  <si>
    <t>• 산업체·기관과의 협력 네트워크 구축
• 정부·기관 인증 및 평가 대응
• 산학연계 프로젝트 운영
• 대외 홍보 및 성과 보고</t>
  </si>
  <si>
    <t>대외 협력 능력, 네트워크 구축 능력, 인증·평가 대응 능력</t>
  </si>
  <si>
    <t>교육_대외 협력 및 인증 대응</t>
  </si>
  <si>
    <t>• 고객 시스템 오류·장애 진단 및 조치
• 긴급 장애 발생 시 원인 분석 및 해결
• 솔루션 개선안 제시 및 보고</t>
  </si>
  <si>
    <t>문제 해결 능력, 기술 분석 능력, 장애 대응 역량</t>
  </si>
  <si>
    <t>기술지원_고객 기술 문제 해결</t>
  </si>
  <si>
    <t>• 기술지원 매뉴얼 작성 및 DB구축
• 기술 Q&amp;A 및 FAQ 구축
• 소프트웨어 별 사내 교육 진행 및 데이터셋 공유</t>
  </si>
  <si>
    <t>문서 작성 능력, 지식 관리 능력, 커뮤니케이션 스킬, 발표·교육 능력</t>
  </si>
  <si>
    <t>기술지원_기술 문서·지식 관리</t>
  </si>
  <si>
    <t>• 고객 질의 응대 및 기술 상담
• 기술 교육 및 사용자 가이드 제공</t>
  </si>
  <si>
    <t>고객 대응 능력, 공감·소통 능력</t>
  </si>
  <si>
    <t>기술지원_고객 커뮤니케이션 및 지원</t>
  </si>
  <si>
    <t>건설SW개발</t>
  </si>
  <si>
    <t>• 사용자 요구사항 수집 및 기능 정의
• 건설 프로세스 분석 및 데이터 흐름 설계
• SW 아키텍처 및 UI/UX 기본 설계</t>
  </si>
  <si>
    <t>요구분석 능력, UML/모델링 툴, 건설 도메인 지식, 시스템 설계 역량</t>
  </si>
  <si>
    <t>연구개발(R&amp;D)_요구분석 및 설계</t>
  </si>
  <si>
    <t>• BIM·CAD API 기반 기능 개발
• 데이터 연동(데이터베이스, 시뮬레이션 엔진 등) 구현
• 클라우드·웹 기반 SW 모듈 개발</t>
  </si>
  <si>
    <t>프로그래밍 언어(C#, Python, Java, C++), DB 설계·SQL, API 연동, UI/UX 개발</t>
  </si>
  <si>
    <t>연구개발(R&amp;D)_기능 개발 및 구현</t>
  </si>
  <si>
    <t>• 기능/성능 테스트 시나리오 수립 및 수행
• 오류(버그) 검출 및 코드 리뷰
• SW 품질 개선 및 배포 전 검증</t>
  </si>
  <si>
    <t>테스트 자동화 도구(Jira, Git, Jenkins 등), 문제해결능력, 코드 품질관리</t>
  </si>
  <si>
    <t>연구개발(R&amp;D)_품질 관리 및 검증</t>
  </si>
  <si>
    <t>• 버전관리(Git) 및 배포이력 관리
• 사용자 피드백 기반 기능 개선
• 신규 기술 적용 및 업데이트</t>
  </si>
  <si>
    <t>Git 관리, CI/CD 이해, 문제 분석능력, 기술 트렌드 학습역량</t>
  </si>
  <si>
    <t>연구개발(R&amp;D)_유지보수 및 업그레이드</t>
  </si>
  <si>
    <t>기술 문서 및 협업 관리</t>
  </si>
  <si>
    <t>• 개발 산출물(요구명세서, 매뉴얼 등) 작성
• 부서 간 협업 및 기술 검토 지원</t>
  </si>
  <si>
    <t>문서 작성능력, 협업툴(Confluence, Notion 등) 활용능력, 커뮤니케이션 능력</t>
  </si>
  <si>
    <t>연구개발(R&amp;D)_기술 문서 및 협업 관리</t>
  </si>
  <si>
    <t>국책연구과제</t>
  </si>
  <si>
    <t>연구과제 기획 및 제안</t>
  </si>
  <si>
    <t>• 정부·공공 연구사업 공고 분석 및 과제기획
• 연구 목표 및 기술 로드맵 수립
• 제안서 및 사업계획서 작성</t>
  </si>
  <si>
    <t>연구기획력, 보고서 작성력, 기술분석력, 공공 R&amp;D 제도 이해</t>
  </si>
  <si>
    <t>연구개발(R&amp;D)_연구과제 기획 및 제안</t>
  </si>
  <si>
    <t>연구 수행 및 기술 개발</t>
  </si>
  <si>
    <t>• 연구계획서에 따른 실험 및 검증 수행
• 기술 시제품·프로토타입 제작 및 테스트
• 연구성과(논문, 특허, 기술보고서) 도출</t>
  </si>
  <si>
    <t>연구수행 관리, 데이터 분석(Python·R), 실험기획 및 결과 분석, 기술문서 작성</t>
  </si>
  <si>
    <t>연구개발(R&amp;D)_연구 수행 및 기술 개발</t>
  </si>
  <si>
    <t>성과 관리 및 보고</t>
  </si>
  <si>
    <t>• 정기·중간·최종 보고서 작성 및 제출
• 연구비 집행 관리 및 정산
• 과제평가 대응 및 결과 피드백 반영</t>
  </si>
  <si>
    <t>보고서 작성능력, 회계 기본지식, 공공기관 보고체계 이해</t>
  </si>
  <si>
    <t>연구개발(R&amp;D)_성과 관리 및 보고</t>
  </si>
  <si>
    <t>산학연 협력, 기술 이전</t>
  </si>
  <si>
    <t>• 대학·기업·연구기관과 공동연구 수행
• 기술이전 및 IP(특허·저작권) 관리
• 외부 전문가 자문 및 워크숍 운영</t>
  </si>
  <si>
    <t>협력조정 능력, IP 관리지식, 커뮤니케이션·조정능력</t>
  </si>
  <si>
    <t>연구개발(R&amp;D)_산학연 협력, 기술 이전</t>
  </si>
  <si>
    <t>데이터 및 지식재산 관리</t>
  </si>
  <si>
    <t>• 연구데이터 표준화 및 DB 구축
• 성과물(논문, 특허, 보고서 등) 관리체계 운영</t>
  </si>
  <si>
    <t>데이터 관리능력, DB 설계·정리, 정보보안 인식</t>
  </si>
  <si>
    <t>연구개발(R&amp;D)_데이터 및 지식재산 관리</t>
  </si>
  <si>
    <t xml:space="preserve">  ■ Q&amp;A</t>
    <phoneticPr fontId="16" type="noConversion"/>
  </si>
  <si>
    <t>내용</t>
    <phoneticPr fontId="16" type="noConversion"/>
  </si>
  <si>
    <t xml:space="preserve">  베이시스소프트 HR 통합관리 시스템_운영 가이드</t>
    <phoneticPr fontId="16" type="noConversion"/>
  </si>
  <si>
    <t xml:space="preserve">  매년 1월에 차년도 파일을 복제·생성하여 사용하세요.</t>
    <phoneticPr fontId="16" type="noConversion"/>
  </si>
  <si>
    <t>시기</t>
    <phoneticPr fontId="16" type="noConversion"/>
  </si>
  <si>
    <t>대상</t>
    <phoneticPr fontId="16" type="noConversion"/>
  </si>
  <si>
    <t>역할-성과</t>
    <phoneticPr fontId="16" type="noConversion"/>
  </si>
  <si>
    <t>평가지 R-1~R-5 등급을 순서대로</t>
    <phoneticPr fontId="1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</si>
</sst>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yyyy\-mm\-dd"/>
    <numFmt numFmtId="177" formatCode="0&quot;년&quot;"/>
    <numFmt numFmtId="178" formatCode="0&quot;명&quot;"/>
    <numFmt numFmtId="179" formatCode="#,##0&quot;원&quot;"/>
    <numFmt numFmtId="180" formatCode="0.0%"/>
  </numFmts>
  <fonts count="17" x14ac:knownFonts="1">
    <font>
      <sz val="11"/>
      <color theme="1"/>
      <name val="맑은 고딕"/>
      <family val="2"/>
      <scheme val="minor"/>
    </font>
    <font>
      <b/>
      <sz val="14"/>
      <color rgb="FFFFFFFF"/>
      <name val="맑은 고딕"/>
      <family val="3"/>
      <charset val="129"/>
    </font>
    <font>
      <i/>
      <sz val="10"/>
      <color rgb="FF595959"/>
      <name val="맑은 고딕"/>
      <family val="3"/>
      <charset val="129"/>
    </font>
    <font>
      <b/>
      <sz val="11"/>
      <color rgb="FF1F4E79"/>
      <name val="맑은 고딕"/>
      <family val="3"/>
      <charset val="129"/>
    </font>
    <font>
      <b/>
      <sz val="10"/>
      <name val="맑은 고딕"/>
      <family val="3"/>
      <charset val="129"/>
    </font>
    <font>
      <sz val="10"/>
      <color rgb="FF000000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b/>
      <sz val="10"/>
      <color rgb="FF1F4E79"/>
      <name val="맑은 고딕"/>
      <family val="3"/>
      <charset val="129"/>
    </font>
    <font>
      <b/>
      <sz val="10"/>
      <color rgb="FF9C5700"/>
      <name val="맑은 고딕"/>
      <family val="3"/>
      <charset val="129"/>
    </font>
    <font>
      <sz val="10"/>
      <color rgb="FF375623"/>
      <name val="맑은 고딕"/>
      <family val="3"/>
      <charset val="129"/>
    </font>
    <font>
      <b/>
      <sz val="14"/>
      <color rgb="FF1F4E79"/>
      <name val="맑은 고딕"/>
      <family val="3"/>
      <charset val="129"/>
    </font>
    <font>
      <sz val="10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b/>
      <sz val="10"/>
      <color rgb="FF375623"/>
      <name val="맑은 고딕"/>
      <family val="3"/>
      <charset val="129"/>
    </font>
    <font>
      <sz val="10"/>
      <color rgb="FF595959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DEBF7"/>
      </patternFill>
    </fill>
    <fill>
      <patternFill patternType="solid">
        <fgColor rgb="FFBDD7EE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FFFFFF"/>
      </patternFill>
    </fill>
    <fill>
      <patternFill patternType="solid">
        <fgColor rgb="FF9BC2E6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FFE4D9"/>
      </patternFill>
    </fill>
    <fill>
      <patternFill patternType="solid">
        <fgColor rgb="FFD9E5FF"/>
      </patternFill>
    </fill>
    <fill>
      <patternFill patternType="solid">
        <fgColor rgb="FFE8DFFB"/>
      </patternFill>
    </fill>
  </fills>
  <borders count="5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 style="thin">
        <color rgb="FFA6A6A6"/>
      </bottom>
      <diagonal/>
    </border>
    <border>
      <left style="thin">
        <color rgb="FFA6A6A6"/>
      </left>
      <right/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5" fillId="0" borderId="1" xfId="0" applyFont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9" fontId="5" fillId="0" borderId="1" xfId="0" applyNumberFormat="1" applyFont="1" applyBorder="1" applyAlignment="1">
      <alignment horizontal="center" vertical="center" wrapText="1"/>
    </xf>
    <xf numFmtId="9" fontId="7" fillId="0" borderId="1" xfId="0" applyNumberFormat="1" applyFont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176" fontId="9" fillId="5" borderId="1" xfId="0" applyNumberFormat="1" applyFont="1" applyFill="1" applyBorder="1" applyAlignment="1">
      <alignment horizontal="center" vertical="center" wrapText="1"/>
    </xf>
    <xf numFmtId="177" fontId="10" fillId="6" borderId="1" xfId="0" applyNumberFormat="1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9" fontId="9" fillId="5" borderId="1" xfId="0" applyNumberFormat="1" applyFont="1" applyFill="1" applyBorder="1" applyAlignment="1">
      <alignment horizontal="center" vertical="center" wrapText="1"/>
    </xf>
    <xf numFmtId="9" fontId="10" fillId="6" borderId="1" xfId="0" applyNumberFormat="1" applyFont="1" applyFill="1" applyBorder="1" applyAlignment="1">
      <alignment horizontal="center" vertical="center" wrapText="1"/>
    </xf>
    <xf numFmtId="180" fontId="10" fillId="6" borderId="1" xfId="0" applyNumberFormat="1" applyFont="1" applyFill="1" applyBorder="1" applyAlignment="1">
      <alignment horizontal="center" vertical="center" wrapText="1"/>
    </xf>
    <xf numFmtId="10" fontId="9" fillId="5" borderId="1" xfId="0" applyNumberFormat="1" applyFont="1" applyFill="1" applyBorder="1" applyAlignment="1">
      <alignment horizontal="center" vertical="center" wrapText="1"/>
    </xf>
    <xf numFmtId="3" fontId="9" fillId="5" borderId="1" xfId="0" applyNumberFormat="1" applyFont="1" applyFill="1" applyBorder="1" applyAlignment="1">
      <alignment horizontal="center" vertical="center" wrapText="1"/>
    </xf>
    <xf numFmtId="49" fontId="10" fillId="6" borderId="1" xfId="0" applyNumberFormat="1" applyFont="1" applyFill="1" applyBorder="1" applyAlignment="1">
      <alignment horizontal="center" vertical="center" wrapText="1"/>
    </xf>
    <xf numFmtId="10" fontId="10" fillId="6" borderId="1" xfId="0" applyNumberFormat="1" applyFont="1" applyFill="1" applyBorder="1" applyAlignment="1">
      <alignment horizontal="center" vertical="center" wrapText="1"/>
    </xf>
    <xf numFmtId="2" fontId="10" fillId="6" borderId="1" xfId="0" applyNumberFormat="1" applyFont="1" applyFill="1" applyBorder="1" applyAlignment="1">
      <alignment horizontal="center" vertical="center" wrapText="1"/>
    </xf>
    <xf numFmtId="1" fontId="10" fillId="6" borderId="1" xfId="0" applyNumberFormat="1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3" fontId="10" fillId="6" borderId="1" xfId="0" applyNumberFormat="1" applyFont="1" applyFill="1" applyBorder="1" applyAlignment="1">
      <alignment horizontal="center" vertical="center" wrapText="1"/>
    </xf>
    <xf numFmtId="2" fontId="9" fillId="5" borderId="1" xfId="0" applyNumberFormat="1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left" vertical="center" wrapText="1"/>
    </xf>
    <xf numFmtId="0" fontId="5" fillId="12" borderId="1" xfId="0" applyFont="1" applyFill="1" applyBorder="1" applyAlignment="1">
      <alignment horizontal="left" vertical="center" wrapText="1"/>
    </xf>
    <xf numFmtId="0" fontId="5" fillId="13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14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0" fillId="0" borderId="3" xfId="0" applyBorder="1"/>
    <xf numFmtId="0" fontId="0" fillId="0" borderId="2" xfId="0" applyBorder="1"/>
    <xf numFmtId="0" fontId="4" fillId="7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0" fillId="0" borderId="0" xfId="0"/>
    <xf numFmtId="0" fontId="4" fillId="9" borderId="1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left" vertical="center"/>
    </xf>
    <xf numFmtId="0" fontId="4" fillId="8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4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2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178" fontId="11" fillId="7" borderId="1" xfId="0" applyNumberFormat="1" applyFont="1" applyFill="1" applyBorder="1" applyAlignment="1">
      <alignment horizontal="center" vertical="center"/>
    </xf>
    <xf numFmtId="179" fontId="11" fillId="7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10" fontId="11" fillId="7" borderId="1" xfId="0" applyNumberFormat="1" applyFont="1" applyFill="1" applyBorder="1" applyAlignment="1">
      <alignment horizontal="center" vertical="center"/>
    </xf>
    <xf numFmtId="49" fontId="11" fillId="7" borderId="1" xfId="0" applyNumberFormat="1" applyFont="1" applyFill="1" applyBorder="1" applyAlignment="1">
      <alignment horizontal="center" vertical="center"/>
    </xf>
    <xf numFmtId="180" fontId="11" fillId="7" borderId="1" xfId="0" applyNumberFormat="1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left" vertical="center" wrapText="1"/>
    </xf>
    <xf numFmtId="0" fontId="8" fillId="13" borderId="1" xfId="0" applyFont="1" applyFill="1" applyBorder="1" applyAlignment="1">
      <alignment horizontal="left" vertical="center" wrapText="1"/>
    </xf>
    <xf numFmtId="0" fontId="5" fillId="13" borderId="1" xfId="0" applyFont="1" applyFill="1" applyBorder="1" applyAlignment="1">
      <alignment horizontal="left" vertical="center" wrapText="1"/>
    </xf>
    <xf numFmtId="0" fontId="12" fillId="0" borderId="0" xfId="0" applyFont="1" applyAlignment="1">
      <alignment horizontal="left" vertical="center"/>
    </xf>
    <xf numFmtId="0" fontId="7" fillId="12" borderId="1" xfId="0" applyFont="1" applyFill="1" applyBorder="1" applyAlignment="1">
      <alignment horizontal="left" vertical="center" wrapText="1"/>
    </xf>
    <xf numFmtId="0" fontId="7" fillId="13" borderId="1" xfId="0" applyFont="1" applyFill="1" applyBorder="1" applyAlignment="1">
      <alignment horizontal="left" vertical="center" wrapText="1"/>
    </xf>
    <xf numFmtId="0" fontId="8" fillId="11" borderId="1" xfId="0" applyFont="1" applyFill="1" applyBorder="1" applyAlignment="1">
      <alignment horizontal="left" vertical="center" wrapText="1"/>
    </xf>
    <xf numFmtId="0" fontId="8" fillId="3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5" fillId="11" borderId="1" xfId="0" applyFont="1" applyFill="1" applyBorder="1" applyAlignment="1">
      <alignment horizontal="left" vertical="center" wrapText="1"/>
    </xf>
    <xf numFmtId="0" fontId="7" fillId="11" borderId="1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left" vertical="center" wrapText="1"/>
    </xf>
    <xf numFmtId="0" fontId="8" fillId="12" borderId="1" xfId="0" applyFont="1" applyFill="1" applyBorder="1" applyAlignment="1">
      <alignment horizontal="left" vertical="center" wrapText="1"/>
    </xf>
    <xf numFmtId="0" fontId="5" fillId="12" borderId="1" xfId="0" applyFont="1" applyFill="1" applyBorder="1" applyAlignment="1">
      <alignment horizontal="left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</cellXfs>
  <cellStyles count="1">
    <cellStyle name="표준" xfId="0" builtinId="0"/>
  </cellStyles>
  <dxfs count="82">
    <dxf>
      <fill>
        <patternFill patternType="solid">
          <fgColor rgb="FFFFC7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9BC2E6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9BC2E6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9BC2E6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9BC2E6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9BC2E6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9BC2E6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9BC2E6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9BC2E6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9BC2E6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9BC2E6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9BC2E6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9BC2E6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9BC2E6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9BC2E6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9BC2E6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ko-KR" altLang="en-US"/>
              <a:t>최종 등급 분포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'02_의사결정·종합결과'!$L$18</c:f>
              <c:strCache>
                <c:ptCount val="1"/>
                <c:pt idx="0">
                  <c:v>인원</c:v>
                </c:pt>
              </c:strCache>
            </c:strRef>
          </c:tx>
          <c:spPr>
            <a:ln>
              <a:prstDash val="solid"/>
            </a:ln>
          </c:spP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'02_의사결정·종합결과'!$K$19:$K$23</c:f>
              <c:strCache>
                <c:ptCount val="5"/>
                <c:pt idx="0">
                  <c:v>S</c:v>
                </c:pt>
                <c:pt idx="1">
                  <c:v>A</c:v>
                </c:pt>
                <c:pt idx="2">
                  <c:v>B</c:v>
                </c:pt>
                <c:pt idx="3">
                  <c:v>C</c:v>
                </c:pt>
                <c:pt idx="4">
                  <c:v>D</c:v>
                </c:pt>
              </c:strCache>
            </c:strRef>
          </c:cat>
          <c:val>
            <c:numRef>
              <c:f>'02_의사결정·종합결과'!$L$19:$L$23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06-4510-9145-B2452D8C0279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381000</xdr:colOff>
      <xdr:row>16</xdr:row>
      <xdr:rowOff>142875</xdr:rowOff>
    </xdr:from>
    <xdr:ext cx="5124450" cy="39243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0"/>
  <sheetViews>
    <sheetView showGridLines="0" tabSelected="1" workbookViewId="0">
      <pane ySplit="3" topLeftCell="A4" activePane="bottomLeft" state="frozen"/>
      <selection pane="bottomLeft" activeCell="C10" sqref="C10:L10"/>
    </sheetView>
  </sheetViews>
  <sheetFormatPr defaultRowHeight="16.899999999999999" x14ac:dyDescent="0.6"/>
  <cols>
    <col min="1" max="1" width="12" customWidth="1"/>
    <col min="2" max="5" width="21.5" customWidth="1"/>
    <col min="6" max="12" width="10" customWidth="1"/>
  </cols>
  <sheetData>
    <row r="1" spans="1:12" ht="28.05" customHeight="1" x14ac:dyDescent="0.6">
      <c r="A1" s="51" t="s">
        <v>1073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</row>
    <row r="2" spans="1:12" ht="18" customHeight="1" x14ac:dyDescent="0.6">
      <c r="A2" s="48" t="s">
        <v>1074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</row>
    <row r="4" spans="1:12" ht="22.05" customHeight="1" x14ac:dyDescent="0.6">
      <c r="A4" s="45" t="s">
        <v>0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</row>
    <row r="5" spans="1:12" x14ac:dyDescent="0.6">
      <c r="A5" s="49" t="s">
        <v>1</v>
      </c>
      <c r="B5" s="39"/>
      <c r="C5" s="37" t="s">
        <v>2</v>
      </c>
      <c r="D5" s="38"/>
      <c r="E5" s="38"/>
      <c r="F5" s="38"/>
      <c r="G5" s="38"/>
      <c r="H5" s="38"/>
      <c r="I5" s="38"/>
      <c r="J5" s="38"/>
      <c r="K5" s="38"/>
      <c r="L5" s="39"/>
    </row>
    <row r="6" spans="1:12" x14ac:dyDescent="0.6">
      <c r="A6" s="50" t="s">
        <v>3</v>
      </c>
      <c r="B6" s="39"/>
      <c r="C6" s="37" t="s">
        <v>4</v>
      </c>
      <c r="D6" s="38"/>
      <c r="E6" s="38"/>
      <c r="F6" s="38"/>
      <c r="G6" s="38"/>
      <c r="H6" s="38"/>
      <c r="I6" s="38"/>
      <c r="J6" s="38"/>
      <c r="K6" s="38"/>
      <c r="L6" s="39"/>
    </row>
    <row r="7" spans="1:12" x14ac:dyDescent="0.6">
      <c r="A7" s="40" t="s">
        <v>5</v>
      </c>
      <c r="B7" s="39"/>
      <c r="C7" s="37" t="s">
        <v>6</v>
      </c>
      <c r="D7" s="38"/>
      <c r="E7" s="38"/>
      <c r="F7" s="38"/>
      <c r="G7" s="38"/>
      <c r="H7" s="38"/>
      <c r="I7" s="38"/>
      <c r="J7" s="38"/>
      <c r="K7" s="38"/>
      <c r="L7" s="39"/>
    </row>
    <row r="8" spans="1:12" x14ac:dyDescent="0.6">
      <c r="A8" s="46" t="s">
        <v>7</v>
      </c>
      <c r="B8" s="39"/>
      <c r="C8" s="37" t="s">
        <v>8</v>
      </c>
      <c r="D8" s="38"/>
      <c r="E8" s="38"/>
      <c r="F8" s="38"/>
      <c r="G8" s="38"/>
      <c r="H8" s="38"/>
      <c r="I8" s="38"/>
      <c r="J8" s="38"/>
      <c r="K8" s="38"/>
      <c r="L8" s="39"/>
    </row>
    <row r="9" spans="1:12" x14ac:dyDescent="0.6">
      <c r="A9" s="44" t="s">
        <v>9</v>
      </c>
      <c r="B9" s="39"/>
      <c r="C9" s="37" t="s">
        <v>10</v>
      </c>
      <c r="D9" s="38"/>
      <c r="E9" s="38"/>
      <c r="F9" s="38"/>
      <c r="G9" s="38"/>
      <c r="H9" s="38"/>
      <c r="I9" s="38"/>
      <c r="J9" s="38"/>
      <c r="K9" s="38"/>
      <c r="L9" s="39"/>
    </row>
    <row r="10" spans="1:12" x14ac:dyDescent="0.6">
      <c r="A10" s="47" t="s">
        <v>11</v>
      </c>
      <c r="B10" s="39"/>
      <c r="C10" s="37" t="s">
        <v>12</v>
      </c>
      <c r="D10" s="38"/>
      <c r="E10" s="38"/>
      <c r="F10" s="38"/>
      <c r="G10" s="38"/>
      <c r="H10" s="38"/>
      <c r="I10" s="38"/>
      <c r="J10" s="38"/>
      <c r="K10" s="38"/>
      <c r="L10" s="39"/>
    </row>
    <row r="12" spans="1:12" ht="22.05" customHeight="1" x14ac:dyDescent="0.6">
      <c r="A12" s="45" t="s">
        <v>13</v>
      </c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</row>
    <row r="13" spans="1:12" x14ac:dyDescent="0.6">
      <c r="A13" s="2" t="s">
        <v>14</v>
      </c>
      <c r="B13" s="2" t="s">
        <v>15</v>
      </c>
      <c r="C13" s="42" t="s">
        <v>16</v>
      </c>
      <c r="D13" s="38"/>
      <c r="E13" s="38"/>
      <c r="F13" s="38"/>
      <c r="G13" s="38"/>
      <c r="H13" s="39"/>
      <c r="I13" s="77" t="s">
        <v>1075</v>
      </c>
      <c r="J13" s="79"/>
      <c r="K13" s="77" t="s">
        <v>1076</v>
      </c>
      <c r="L13" s="79"/>
    </row>
    <row r="14" spans="1:12" ht="30" customHeight="1" x14ac:dyDescent="0.6">
      <c r="A14" s="3" t="s">
        <v>17</v>
      </c>
      <c r="B14" s="4" t="s">
        <v>18</v>
      </c>
      <c r="C14" s="37" t="s">
        <v>19</v>
      </c>
      <c r="D14" s="38"/>
      <c r="E14" s="38"/>
      <c r="F14" s="38"/>
      <c r="G14" s="38"/>
      <c r="H14" s="39"/>
      <c r="I14" s="37" t="s">
        <v>20</v>
      </c>
      <c r="J14" s="39"/>
      <c r="K14" s="37" t="s">
        <v>21</v>
      </c>
      <c r="L14" s="39"/>
    </row>
    <row r="15" spans="1:12" ht="30" customHeight="1" x14ac:dyDescent="0.6">
      <c r="A15" s="3" t="s">
        <v>17</v>
      </c>
      <c r="B15" s="4" t="s">
        <v>22</v>
      </c>
      <c r="C15" s="37" t="s">
        <v>23</v>
      </c>
      <c r="D15" s="38"/>
      <c r="E15" s="38"/>
      <c r="F15" s="38"/>
      <c r="G15" s="38"/>
      <c r="H15" s="39"/>
      <c r="I15" s="37" t="s">
        <v>24</v>
      </c>
      <c r="J15" s="39"/>
      <c r="K15" s="37" t="s">
        <v>25</v>
      </c>
      <c r="L15" s="39"/>
    </row>
    <row r="16" spans="1:12" ht="30" customHeight="1" x14ac:dyDescent="0.6">
      <c r="A16" s="3" t="s">
        <v>26</v>
      </c>
      <c r="B16" s="4" t="s">
        <v>27</v>
      </c>
      <c r="C16" s="37" t="s">
        <v>28</v>
      </c>
      <c r="D16" s="38"/>
      <c r="E16" s="38"/>
      <c r="F16" s="38"/>
      <c r="G16" s="38"/>
      <c r="H16" s="39"/>
      <c r="I16" s="37" t="s">
        <v>29</v>
      </c>
      <c r="J16" s="39"/>
      <c r="K16" s="37" t="s">
        <v>30</v>
      </c>
      <c r="L16" s="39"/>
    </row>
    <row r="17" spans="1:12" ht="30" customHeight="1" x14ac:dyDescent="0.6">
      <c r="A17" s="3" t="s">
        <v>26</v>
      </c>
      <c r="B17" s="4" t="s">
        <v>31</v>
      </c>
      <c r="C17" s="37" t="s">
        <v>32</v>
      </c>
      <c r="D17" s="38"/>
      <c r="E17" s="38"/>
      <c r="F17" s="38"/>
      <c r="G17" s="38"/>
      <c r="H17" s="39"/>
      <c r="I17" s="37" t="s">
        <v>33</v>
      </c>
      <c r="J17" s="39"/>
      <c r="K17" s="37" t="s">
        <v>34</v>
      </c>
      <c r="L17" s="39"/>
    </row>
    <row r="18" spans="1:12" ht="30" customHeight="1" x14ac:dyDescent="0.6">
      <c r="A18" s="3" t="s">
        <v>26</v>
      </c>
      <c r="B18" s="4" t="s">
        <v>35</v>
      </c>
      <c r="C18" s="37" t="s">
        <v>36</v>
      </c>
      <c r="D18" s="38"/>
      <c r="E18" s="38"/>
      <c r="F18" s="38"/>
      <c r="G18" s="38"/>
      <c r="H18" s="39"/>
      <c r="I18" s="37" t="s">
        <v>33</v>
      </c>
      <c r="J18" s="39"/>
      <c r="K18" s="37" t="s">
        <v>37</v>
      </c>
      <c r="L18" s="39"/>
    </row>
    <row r="19" spans="1:12" ht="30" customHeight="1" x14ac:dyDescent="0.6">
      <c r="A19" s="3" t="s">
        <v>26</v>
      </c>
      <c r="B19" s="4" t="s">
        <v>38</v>
      </c>
      <c r="C19" s="37" t="s">
        <v>39</v>
      </c>
      <c r="D19" s="38"/>
      <c r="E19" s="38"/>
      <c r="F19" s="38"/>
      <c r="G19" s="38"/>
      <c r="H19" s="39"/>
      <c r="I19" s="37" t="s">
        <v>33</v>
      </c>
      <c r="J19" s="39"/>
      <c r="K19" s="37" t="s">
        <v>37</v>
      </c>
      <c r="L19" s="39"/>
    </row>
    <row r="20" spans="1:12" ht="30" customHeight="1" x14ac:dyDescent="0.6">
      <c r="A20" s="3" t="s">
        <v>40</v>
      </c>
      <c r="B20" s="4" t="s">
        <v>41</v>
      </c>
      <c r="C20" s="37" t="s">
        <v>42</v>
      </c>
      <c r="D20" s="38"/>
      <c r="E20" s="38"/>
      <c r="F20" s="38"/>
      <c r="G20" s="38"/>
      <c r="H20" s="39"/>
      <c r="I20" s="37" t="s">
        <v>43</v>
      </c>
      <c r="J20" s="39"/>
      <c r="K20" s="37" t="s">
        <v>21</v>
      </c>
      <c r="L20" s="39"/>
    </row>
    <row r="21" spans="1:12" ht="30" customHeight="1" x14ac:dyDescent="0.6">
      <c r="A21" s="3" t="s">
        <v>44</v>
      </c>
      <c r="B21" s="4" t="s">
        <v>45</v>
      </c>
      <c r="C21" s="37" t="s">
        <v>46</v>
      </c>
      <c r="D21" s="38"/>
      <c r="E21" s="38"/>
      <c r="F21" s="38"/>
      <c r="G21" s="38"/>
      <c r="H21" s="39"/>
      <c r="I21" s="37" t="s">
        <v>47</v>
      </c>
      <c r="J21" s="39"/>
      <c r="K21" s="37" t="s">
        <v>48</v>
      </c>
      <c r="L21" s="39"/>
    </row>
    <row r="22" spans="1:12" ht="30" customHeight="1" x14ac:dyDescent="0.6">
      <c r="A22" s="3" t="s">
        <v>44</v>
      </c>
      <c r="B22" s="4" t="s">
        <v>49</v>
      </c>
      <c r="C22" s="37" t="s">
        <v>50</v>
      </c>
      <c r="D22" s="38"/>
      <c r="E22" s="38"/>
      <c r="F22" s="38"/>
      <c r="G22" s="38"/>
      <c r="H22" s="39"/>
      <c r="I22" s="37" t="s">
        <v>51</v>
      </c>
      <c r="J22" s="39"/>
      <c r="K22" s="37" t="s">
        <v>25</v>
      </c>
      <c r="L22" s="39"/>
    </row>
    <row r="23" spans="1:12" ht="30" customHeight="1" x14ac:dyDescent="0.6">
      <c r="A23" s="3" t="s">
        <v>44</v>
      </c>
      <c r="B23" s="4" t="s">
        <v>52</v>
      </c>
      <c r="C23" s="37" t="s">
        <v>53</v>
      </c>
      <c r="D23" s="38"/>
      <c r="E23" s="38"/>
      <c r="F23" s="38"/>
      <c r="G23" s="38"/>
      <c r="H23" s="39"/>
      <c r="I23" s="37" t="s">
        <v>54</v>
      </c>
      <c r="J23" s="39"/>
      <c r="K23" s="37" t="s">
        <v>55</v>
      </c>
      <c r="L23" s="39"/>
    </row>
    <row r="24" spans="1:12" ht="30" customHeight="1" x14ac:dyDescent="0.6">
      <c r="A24" s="3" t="s">
        <v>44</v>
      </c>
      <c r="B24" s="4" t="s">
        <v>56</v>
      </c>
      <c r="C24" s="37" t="s">
        <v>57</v>
      </c>
      <c r="D24" s="38"/>
      <c r="E24" s="38"/>
      <c r="F24" s="38"/>
      <c r="G24" s="38"/>
      <c r="H24" s="39"/>
      <c r="I24" s="37" t="s">
        <v>58</v>
      </c>
      <c r="J24" s="39"/>
      <c r="K24" s="37" t="s">
        <v>21</v>
      </c>
      <c r="L24" s="39"/>
    </row>
    <row r="25" spans="1:12" ht="30" customHeight="1" x14ac:dyDescent="0.6">
      <c r="A25" s="3" t="s">
        <v>44</v>
      </c>
      <c r="B25" s="4" t="s">
        <v>59</v>
      </c>
      <c r="C25" s="37" t="s">
        <v>60</v>
      </c>
      <c r="D25" s="38"/>
      <c r="E25" s="38"/>
      <c r="F25" s="38"/>
      <c r="G25" s="38"/>
      <c r="H25" s="39"/>
      <c r="I25" s="37" t="s">
        <v>61</v>
      </c>
      <c r="J25" s="39"/>
      <c r="K25" s="37" t="s">
        <v>48</v>
      </c>
      <c r="L25" s="39"/>
    </row>
    <row r="26" spans="1:12" ht="30" customHeight="1" x14ac:dyDescent="0.6">
      <c r="A26" s="3" t="s">
        <v>62</v>
      </c>
      <c r="B26" s="4" t="s">
        <v>63</v>
      </c>
      <c r="C26" s="37" t="s">
        <v>64</v>
      </c>
      <c r="D26" s="38"/>
      <c r="E26" s="38"/>
      <c r="F26" s="38"/>
      <c r="G26" s="38"/>
      <c r="H26" s="39"/>
      <c r="I26" s="37" t="s">
        <v>65</v>
      </c>
      <c r="J26" s="39"/>
      <c r="K26" s="37" t="s">
        <v>21</v>
      </c>
      <c r="L26" s="39"/>
    </row>
    <row r="27" spans="1:12" ht="30" customHeight="1" x14ac:dyDescent="0.6">
      <c r="A27" s="3" t="s">
        <v>62</v>
      </c>
      <c r="B27" s="4" t="s">
        <v>66</v>
      </c>
      <c r="C27" s="37" t="s">
        <v>67</v>
      </c>
      <c r="D27" s="38"/>
      <c r="E27" s="38"/>
      <c r="F27" s="38"/>
      <c r="G27" s="38"/>
      <c r="H27" s="39"/>
      <c r="I27" s="37" t="s">
        <v>68</v>
      </c>
      <c r="J27" s="39"/>
      <c r="K27" s="37" t="s">
        <v>21</v>
      </c>
      <c r="L27" s="39"/>
    </row>
    <row r="28" spans="1:12" ht="30" customHeight="1" x14ac:dyDescent="0.6">
      <c r="A28" s="3" t="s">
        <v>62</v>
      </c>
      <c r="B28" s="4" t="s">
        <v>69</v>
      </c>
      <c r="C28" s="37" t="s">
        <v>70</v>
      </c>
      <c r="D28" s="38"/>
      <c r="E28" s="38"/>
      <c r="F28" s="38"/>
      <c r="G28" s="38"/>
      <c r="H28" s="39"/>
      <c r="I28" s="37" t="s">
        <v>71</v>
      </c>
      <c r="J28" s="39"/>
      <c r="K28" s="37" t="s">
        <v>72</v>
      </c>
      <c r="L28" s="39"/>
    </row>
    <row r="30" spans="1:12" ht="22.05" customHeight="1" x14ac:dyDescent="0.6">
      <c r="A30" s="45" t="s">
        <v>73</v>
      </c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</row>
    <row r="31" spans="1:12" x14ac:dyDescent="0.6">
      <c r="A31" s="2" t="s">
        <v>74</v>
      </c>
      <c r="B31" s="2" t="s">
        <v>75</v>
      </c>
      <c r="C31" s="2" t="s">
        <v>76</v>
      </c>
      <c r="D31" s="42" t="s">
        <v>77</v>
      </c>
      <c r="E31" s="38"/>
      <c r="F31" s="38"/>
      <c r="G31" s="38"/>
      <c r="H31" s="38"/>
      <c r="I31" s="38"/>
      <c r="J31" s="38"/>
      <c r="K31" s="38"/>
      <c r="L31" s="39"/>
    </row>
    <row r="32" spans="1:12" ht="36" customHeight="1" x14ac:dyDescent="0.6">
      <c r="A32" s="5" t="s">
        <v>78</v>
      </c>
      <c r="B32" s="6" t="s">
        <v>79</v>
      </c>
      <c r="C32" s="3" t="s">
        <v>80</v>
      </c>
      <c r="D32" s="37" t="s">
        <v>81</v>
      </c>
      <c r="E32" s="38"/>
      <c r="F32" s="38"/>
      <c r="G32" s="38"/>
      <c r="H32" s="38"/>
      <c r="I32" s="38"/>
      <c r="J32" s="38"/>
      <c r="K32" s="38"/>
      <c r="L32" s="39"/>
    </row>
    <row r="33" spans="1:12" ht="36" customHeight="1" x14ac:dyDescent="0.6">
      <c r="A33" s="5" t="s">
        <v>82</v>
      </c>
      <c r="B33" s="6" t="s">
        <v>83</v>
      </c>
      <c r="C33" s="3" t="s">
        <v>84</v>
      </c>
      <c r="D33" s="37" t="s">
        <v>85</v>
      </c>
      <c r="E33" s="38"/>
      <c r="F33" s="38"/>
      <c r="G33" s="38"/>
      <c r="H33" s="38"/>
      <c r="I33" s="38"/>
      <c r="J33" s="38"/>
      <c r="K33" s="38"/>
      <c r="L33" s="39"/>
    </row>
    <row r="34" spans="1:12" ht="36" customHeight="1" x14ac:dyDescent="0.6">
      <c r="A34" s="5" t="s">
        <v>86</v>
      </c>
      <c r="B34" s="6" t="s">
        <v>87</v>
      </c>
      <c r="C34" s="3" t="s">
        <v>88</v>
      </c>
      <c r="D34" s="37" t="s">
        <v>89</v>
      </c>
      <c r="E34" s="38"/>
      <c r="F34" s="38"/>
      <c r="G34" s="38"/>
      <c r="H34" s="38"/>
      <c r="I34" s="38"/>
      <c r="J34" s="38"/>
      <c r="K34" s="38"/>
      <c r="L34" s="39"/>
    </row>
    <row r="35" spans="1:12" ht="36" customHeight="1" x14ac:dyDescent="0.6">
      <c r="A35" s="5" t="s">
        <v>90</v>
      </c>
      <c r="B35" s="6" t="s">
        <v>91</v>
      </c>
      <c r="C35" s="3" t="s">
        <v>92</v>
      </c>
      <c r="D35" s="37" t="s">
        <v>93</v>
      </c>
      <c r="E35" s="38"/>
      <c r="F35" s="38"/>
      <c r="G35" s="38"/>
      <c r="H35" s="38"/>
      <c r="I35" s="38"/>
      <c r="J35" s="38"/>
      <c r="K35" s="38"/>
      <c r="L35" s="39"/>
    </row>
    <row r="38" spans="1:12" ht="22.05" customHeight="1" x14ac:dyDescent="0.6">
      <c r="A38" s="45" t="s">
        <v>94</v>
      </c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</row>
    <row r="39" spans="1:12" ht="32" customHeight="1" x14ac:dyDescent="0.6">
      <c r="A39" s="7" t="s">
        <v>95</v>
      </c>
      <c r="B39" s="3" t="s">
        <v>96</v>
      </c>
      <c r="C39" s="37" t="s">
        <v>97</v>
      </c>
      <c r="D39" s="38"/>
      <c r="E39" s="38"/>
      <c r="F39" s="38"/>
      <c r="G39" s="38"/>
      <c r="H39" s="38"/>
      <c r="I39" s="38"/>
      <c r="J39" s="38"/>
      <c r="K39" s="38"/>
      <c r="L39" s="39"/>
    </row>
    <row r="40" spans="1:12" ht="32" customHeight="1" x14ac:dyDescent="0.6">
      <c r="A40" s="8" t="s">
        <v>98</v>
      </c>
      <c r="B40" s="3" t="s">
        <v>99</v>
      </c>
      <c r="C40" s="37" t="s">
        <v>100</v>
      </c>
      <c r="D40" s="38"/>
      <c r="E40" s="38"/>
      <c r="F40" s="38"/>
      <c r="G40" s="38"/>
      <c r="H40" s="38"/>
      <c r="I40" s="38"/>
      <c r="J40" s="38"/>
      <c r="K40" s="38"/>
      <c r="L40" s="39"/>
    </row>
    <row r="41" spans="1:12" ht="32" customHeight="1" x14ac:dyDescent="0.6">
      <c r="A41" s="9" t="s">
        <v>101</v>
      </c>
      <c r="B41" s="3" t="s">
        <v>102</v>
      </c>
      <c r="C41" s="37" t="s">
        <v>103</v>
      </c>
      <c r="D41" s="38"/>
      <c r="E41" s="38"/>
      <c r="F41" s="38"/>
      <c r="G41" s="38"/>
      <c r="H41" s="38"/>
      <c r="I41" s="38"/>
      <c r="J41" s="38"/>
      <c r="K41" s="38"/>
      <c r="L41" s="39"/>
    </row>
    <row r="44" spans="1:12" ht="22.05" customHeight="1" x14ac:dyDescent="0.6">
      <c r="A44" s="45" t="s">
        <v>104</v>
      </c>
      <c r="B44" s="43"/>
      <c r="C44" s="43"/>
      <c r="D44" s="43"/>
      <c r="E44" s="43"/>
      <c r="F44" s="43"/>
      <c r="G44" s="43"/>
      <c r="H44" s="43"/>
      <c r="I44" s="43"/>
      <c r="J44" s="43"/>
      <c r="K44" s="43"/>
      <c r="L44" s="43"/>
    </row>
    <row r="45" spans="1:12" x14ac:dyDescent="0.6">
      <c r="A45" s="2" t="s">
        <v>105</v>
      </c>
      <c r="B45" s="2" t="s">
        <v>96</v>
      </c>
      <c r="C45" s="2" t="s">
        <v>106</v>
      </c>
      <c r="D45" s="2" t="s">
        <v>107</v>
      </c>
      <c r="E45" s="2" t="s">
        <v>108</v>
      </c>
    </row>
    <row r="46" spans="1:12" x14ac:dyDescent="0.6">
      <c r="A46" s="5" t="s">
        <v>109</v>
      </c>
      <c r="B46" s="10">
        <v>0.4</v>
      </c>
      <c r="C46" s="10">
        <v>0.25</v>
      </c>
      <c r="D46" s="10">
        <v>0.35</v>
      </c>
      <c r="E46" s="11">
        <v>1</v>
      </c>
    </row>
    <row r="47" spans="1:12" x14ac:dyDescent="0.6">
      <c r="A47" s="5" t="s">
        <v>110</v>
      </c>
      <c r="B47" s="10">
        <v>0.35</v>
      </c>
      <c r="C47" s="10">
        <v>0.3</v>
      </c>
      <c r="D47" s="10">
        <v>0.35</v>
      </c>
      <c r="E47" s="11">
        <v>0.99999999999999989</v>
      </c>
    </row>
    <row r="48" spans="1:12" x14ac:dyDescent="0.6">
      <c r="A48" s="5" t="s">
        <v>111</v>
      </c>
      <c r="B48" s="10">
        <v>0.3</v>
      </c>
      <c r="C48" s="10">
        <v>0.3</v>
      </c>
      <c r="D48" s="10">
        <v>0.4</v>
      </c>
      <c r="E48" s="11">
        <v>1</v>
      </c>
    </row>
    <row r="49" spans="1:12" x14ac:dyDescent="0.6">
      <c r="A49" s="5" t="s">
        <v>112</v>
      </c>
      <c r="B49" s="10">
        <v>0.25</v>
      </c>
      <c r="C49" s="10">
        <v>0.3</v>
      </c>
      <c r="D49" s="10">
        <v>0.45</v>
      </c>
      <c r="E49" s="11">
        <v>1</v>
      </c>
    </row>
    <row r="50" spans="1:12" x14ac:dyDescent="0.6">
      <c r="A50" s="5" t="s">
        <v>113</v>
      </c>
      <c r="B50" s="10">
        <v>0.2</v>
      </c>
      <c r="C50" s="10">
        <v>0.35</v>
      </c>
      <c r="D50" s="10">
        <v>0.45</v>
      </c>
      <c r="E50" s="11">
        <v>1</v>
      </c>
    </row>
    <row r="51" spans="1:12" x14ac:dyDescent="0.6">
      <c r="A51" s="5" t="s">
        <v>114</v>
      </c>
      <c r="B51" s="10">
        <v>0.15</v>
      </c>
      <c r="C51" s="10">
        <v>0.35</v>
      </c>
      <c r="D51" s="10">
        <v>0.5</v>
      </c>
      <c r="E51" s="11">
        <v>1</v>
      </c>
    </row>
    <row r="53" spans="1:12" ht="22.05" customHeight="1" x14ac:dyDescent="0.6">
      <c r="A53" s="45" t="s">
        <v>1071</v>
      </c>
      <c r="B53" s="43"/>
      <c r="C53" s="43"/>
      <c r="D53" s="43"/>
      <c r="E53" s="43"/>
      <c r="F53" s="43"/>
      <c r="G53" s="43"/>
      <c r="H53" s="43"/>
      <c r="I53" s="43"/>
      <c r="J53" s="43"/>
      <c r="K53" s="43"/>
      <c r="L53" s="43"/>
    </row>
    <row r="54" spans="1:12" x14ac:dyDescent="0.6">
      <c r="A54" s="42" t="s">
        <v>115</v>
      </c>
      <c r="B54" s="38"/>
      <c r="C54" s="38"/>
      <c r="D54" s="39"/>
      <c r="E54" s="77" t="s">
        <v>1072</v>
      </c>
      <c r="F54" s="78"/>
      <c r="G54" s="78"/>
      <c r="H54" s="78"/>
      <c r="I54" s="78"/>
      <c r="J54" s="78"/>
      <c r="K54" s="78"/>
      <c r="L54" s="79"/>
    </row>
    <row r="55" spans="1:12" ht="36" customHeight="1" x14ac:dyDescent="0.6">
      <c r="A55" s="41" t="s">
        <v>116</v>
      </c>
      <c r="B55" s="38"/>
      <c r="C55" s="38"/>
      <c r="D55" s="39"/>
      <c r="E55" s="37" t="s">
        <v>117</v>
      </c>
      <c r="F55" s="38"/>
      <c r="G55" s="38"/>
      <c r="H55" s="38"/>
      <c r="I55" s="38"/>
      <c r="J55" s="38"/>
      <c r="K55" s="38"/>
      <c r="L55" s="39"/>
    </row>
    <row r="56" spans="1:12" ht="36" customHeight="1" x14ac:dyDescent="0.6">
      <c r="A56" s="41" t="s">
        <v>118</v>
      </c>
      <c r="B56" s="38"/>
      <c r="C56" s="38"/>
      <c r="D56" s="39"/>
      <c r="E56" s="37" t="s">
        <v>119</v>
      </c>
      <c r="F56" s="38"/>
      <c r="G56" s="38"/>
      <c r="H56" s="38"/>
      <c r="I56" s="38"/>
      <c r="J56" s="38"/>
      <c r="K56" s="38"/>
      <c r="L56" s="39"/>
    </row>
    <row r="57" spans="1:12" ht="36" customHeight="1" x14ac:dyDescent="0.6">
      <c r="A57" s="41" t="s">
        <v>120</v>
      </c>
      <c r="B57" s="38"/>
      <c r="C57" s="38"/>
      <c r="D57" s="39"/>
      <c r="E57" s="37" t="s">
        <v>121</v>
      </c>
      <c r="F57" s="38"/>
      <c r="G57" s="38"/>
      <c r="H57" s="38"/>
      <c r="I57" s="38"/>
      <c r="J57" s="38"/>
      <c r="K57" s="38"/>
      <c r="L57" s="39"/>
    </row>
    <row r="58" spans="1:12" ht="36" customHeight="1" x14ac:dyDescent="0.6">
      <c r="A58" s="41" t="s">
        <v>122</v>
      </c>
      <c r="B58" s="38"/>
      <c r="C58" s="38"/>
      <c r="D58" s="39"/>
      <c r="E58" s="37" t="s">
        <v>123</v>
      </c>
      <c r="F58" s="38"/>
      <c r="G58" s="38"/>
      <c r="H58" s="38"/>
      <c r="I58" s="38"/>
      <c r="J58" s="38"/>
      <c r="K58" s="38"/>
      <c r="L58" s="39"/>
    </row>
    <row r="59" spans="1:12" ht="36" customHeight="1" x14ac:dyDescent="0.6">
      <c r="A59" s="41" t="s">
        <v>124</v>
      </c>
      <c r="B59" s="38"/>
      <c r="C59" s="38"/>
      <c r="D59" s="39"/>
      <c r="E59" s="37" t="s">
        <v>125</v>
      </c>
      <c r="F59" s="38"/>
      <c r="G59" s="38"/>
      <c r="H59" s="38"/>
      <c r="I59" s="38"/>
      <c r="J59" s="38"/>
      <c r="K59" s="38"/>
      <c r="L59" s="39"/>
    </row>
    <row r="60" spans="1:12" ht="36" customHeight="1" x14ac:dyDescent="0.6">
      <c r="A60" s="41" t="s">
        <v>126</v>
      </c>
      <c r="B60" s="38"/>
      <c r="C60" s="38"/>
      <c r="D60" s="39"/>
      <c r="E60" s="37" t="s">
        <v>127</v>
      </c>
      <c r="F60" s="38"/>
      <c r="G60" s="38"/>
      <c r="H60" s="38"/>
      <c r="I60" s="38"/>
      <c r="J60" s="38"/>
      <c r="K60" s="38"/>
      <c r="L60" s="39"/>
    </row>
  </sheetData>
  <mergeCells count="90">
    <mergeCell ref="E57:L57"/>
    <mergeCell ref="C40:L40"/>
    <mergeCell ref="A1:L1"/>
    <mergeCell ref="A55:D55"/>
    <mergeCell ref="D31:L31"/>
    <mergeCell ref="C5:L5"/>
    <mergeCell ref="C18:H18"/>
    <mergeCell ref="I14:J14"/>
    <mergeCell ref="K14:L14"/>
    <mergeCell ref="A30:L30"/>
    <mergeCell ref="A2:L2"/>
    <mergeCell ref="C27:H27"/>
    <mergeCell ref="C17:H17"/>
    <mergeCell ref="C6:L6"/>
    <mergeCell ref="I21:J21"/>
    <mergeCell ref="A5:B5"/>
    <mergeCell ref="I23:J23"/>
    <mergeCell ref="K23:L23"/>
    <mergeCell ref="C20:H20"/>
    <mergeCell ref="K18:L18"/>
    <mergeCell ref="C8:L8"/>
    <mergeCell ref="C22:H22"/>
    <mergeCell ref="I27:J27"/>
    <mergeCell ref="A6:B6"/>
    <mergeCell ref="C21:H21"/>
    <mergeCell ref="K20:L20"/>
    <mergeCell ref="A59:D59"/>
    <mergeCell ref="A4:L4"/>
    <mergeCell ref="A38:L38"/>
    <mergeCell ref="C19:H19"/>
    <mergeCell ref="C28:H28"/>
    <mergeCell ref="I24:J24"/>
    <mergeCell ref="K27:L27"/>
    <mergeCell ref="C10:L10"/>
    <mergeCell ref="A8:B8"/>
    <mergeCell ref="I17:J17"/>
    <mergeCell ref="K17:L17"/>
    <mergeCell ref="C14:H14"/>
    <mergeCell ref="C9:L9"/>
    <mergeCell ref="A10:B10"/>
    <mergeCell ref="I19:J19"/>
    <mergeCell ref="K19:L19"/>
    <mergeCell ref="A9:B9"/>
    <mergeCell ref="K13:L13"/>
    <mergeCell ref="E56:L56"/>
    <mergeCell ref="C16:H16"/>
    <mergeCell ref="C39:L39"/>
    <mergeCell ref="I15:J15"/>
    <mergeCell ref="K15:L15"/>
    <mergeCell ref="A12:L12"/>
    <mergeCell ref="K21:L21"/>
    <mergeCell ref="K16:L16"/>
    <mergeCell ref="K25:L25"/>
    <mergeCell ref="A44:L44"/>
    <mergeCell ref="C41:L41"/>
    <mergeCell ref="D32:L32"/>
    <mergeCell ref="E55:L55"/>
    <mergeCell ref="C23:H23"/>
    <mergeCell ref="A7:B7"/>
    <mergeCell ref="I16:J16"/>
    <mergeCell ref="A58:D58"/>
    <mergeCell ref="I25:J25"/>
    <mergeCell ref="E60:L60"/>
    <mergeCell ref="A60:D60"/>
    <mergeCell ref="I18:J18"/>
    <mergeCell ref="D33:L33"/>
    <mergeCell ref="E59:L59"/>
    <mergeCell ref="C13:H13"/>
    <mergeCell ref="A54:D54"/>
    <mergeCell ref="D35:L35"/>
    <mergeCell ref="C15:H15"/>
    <mergeCell ref="C24:H24"/>
    <mergeCell ref="A56:D56"/>
    <mergeCell ref="D34:L34"/>
    <mergeCell ref="C25:H25"/>
    <mergeCell ref="E58:L58"/>
    <mergeCell ref="K24:L24"/>
    <mergeCell ref="C7:L7"/>
    <mergeCell ref="I26:J26"/>
    <mergeCell ref="K26:L26"/>
    <mergeCell ref="I20:J20"/>
    <mergeCell ref="E54:L54"/>
    <mergeCell ref="K28:L28"/>
    <mergeCell ref="I13:J13"/>
    <mergeCell ref="C26:H26"/>
    <mergeCell ref="A57:D57"/>
    <mergeCell ref="I22:J22"/>
    <mergeCell ref="I28:J28"/>
    <mergeCell ref="K22:L22"/>
    <mergeCell ref="A53:L53"/>
  </mergeCells>
  <phoneticPr fontId="16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8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B5" sqref="B5"/>
    </sheetView>
  </sheetViews>
  <sheetFormatPr defaultRowHeight="16.899999999999999" x14ac:dyDescent="0.6"/>
  <cols>
    <col min="1" max="1" width="5" customWidth="1"/>
    <col min="2" max="3" width="11" customWidth="1"/>
    <col min="4" max="4" width="14" customWidth="1"/>
    <col min="5" max="5" width="16" customWidth="1"/>
    <col min="6" max="6" width="14" customWidth="1"/>
    <col min="7" max="7" width="10" customWidth="1"/>
    <col min="8" max="8" width="11" customWidth="1"/>
    <col min="9" max="9" width="12" customWidth="1"/>
    <col min="10" max="10" width="10" customWidth="1"/>
    <col min="11" max="12" width="12" customWidth="1"/>
    <col min="13" max="13" width="18" customWidth="1"/>
    <col min="14" max="14" width="14" customWidth="1"/>
  </cols>
  <sheetData>
    <row r="1" spans="1:14" ht="28.05" customHeight="1" x14ac:dyDescent="0.6">
      <c r="A1" s="51" t="s">
        <v>128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</row>
    <row r="2" spans="1:14" ht="18" customHeight="1" x14ac:dyDescent="0.6">
      <c r="A2" s="48" t="s">
        <v>129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</row>
    <row r="3" spans="1:14" x14ac:dyDescent="0.6">
      <c r="A3" s="52" t="s">
        <v>130</v>
      </c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</row>
    <row r="4" spans="1:14" ht="33.75" x14ac:dyDescent="0.6">
      <c r="A4" s="2" t="s">
        <v>131</v>
      </c>
      <c r="B4" s="2" t="s">
        <v>132</v>
      </c>
      <c r="C4" s="2" t="s">
        <v>133</v>
      </c>
      <c r="D4" s="2" t="s">
        <v>134</v>
      </c>
      <c r="E4" s="2" t="s">
        <v>135</v>
      </c>
      <c r="F4" s="2" t="s">
        <v>136</v>
      </c>
      <c r="G4" s="2" t="s">
        <v>137</v>
      </c>
      <c r="H4" s="2" t="s">
        <v>105</v>
      </c>
      <c r="I4" s="2" t="s">
        <v>138</v>
      </c>
      <c r="J4" s="2" t="s">
        <v>139</v>
      </c>
      <c r="K4" s="2" t="s">
        <v>140</v>
      </c>
      <c r="L4" s="2" t="s">
        <v>141</v>
      </c>
      <c r="M4" s="2" t="s">
        <v>142</v>
      </c>
      <c r="N4" s="2" t="s">
        <v>143</v>
      </c>
    </row>
    <row r="5" spans="1:14" x14ac:dyDescent="0.6">
      <c r="A5" s="12">
        <v>1</v>
      </c>
      <c r="B5" s="12" t="s">
        <v>144</v>
      </c>
      <c r="C5" s="12" t="s">
        <v>145</v>
      </c>
      <c r="D5" s="12" t="s">
        <v>146</v>
      </c>
      <c r="E5" s="12" t="s">
        <v>147</v>
      </c>
      <c r="F5" s="12" t="s">
        <v>148</v>
      </c>
      <c r="G5" s="12" t="s">
        <v>149</v>
      </c>
      <c r="H5" s="12" t="s">
        <v>109</v>
      </c>
      <c r="I5" s="13">
        <v>41647</v>
      </c>
      <c r="J5" s="14">
        <f t="shared" ref="J5:J38" ca="1" si="0">IFERROR(DATEDIF(I5,TODAY(),"Y"),0)</f>
        <v>12</v>
      </c>
      <c r="K5" s="12"/>
      <c r="L5" s="12"/>
      <c r="M5" s="15" t="str">
        <f t="shared" ref="M5:M38" si="1">E5&amp;IF(LEFT(H5,2)="G5","G5",H5)</f>
        <v>프로젝트영업G6</v>
      </c>
      <c r="N5" s="12"/>
    </row>
    <row r="6" spans="1:14" x14ac:dyDescent="0.6">
      <c r="A6" s="12">
        <v>2</v>
      </c>
      <c r="B6" s="12" t="s">
        <v>150</v>
      </c>
      <c r="C6" s="12" t="s">
        <v>151</v>
      </c>
      <c r="D6" s="12" t="s">
        <v>152</v>
      </c>
      <c r="E6" s="12" t="s">
        <v>153</v>
      </c>
      <c r="F6" s="12" t="s">
        <v>154</v>
      </c>
      <c r="G6" s="12" t="s">
        <v>155</v>
      </c>
      <c r="H6" s="12" t="s">
        <v>109</v>
      </c>
      <c r="I6" s="13">
        <v>41685</v>
      </c>
      <c r="J6" s="14">
        <f t="shared" ca="1" si="0"/>
        <v>12</v>
      </c>
      <c r="K6" s="12"/>
      <c r="L6" s="12"/>
      <c r="M6" s="15" t="str">
        <f t="shared" si="1"/>
        <v>연구개발(R&amp;D)G6</v>
      </c>
      <c r="N6" s="12"/>
    </row>
    <row r="7" spans="1:14" x14ac:dyDescent="0.6">
      <c r="A7" s="12">
        <v>3</v>
      </c>
      <c r="B7" s="12" t="s">
        <v>156</v>
      </c>
      <c r="C7" s="12" t="s">
        <v>157</v>
      </c>
      <c r="D7" s="12" t="s">
        <v>158</v>
      </c>
      <c r="E7" s="12" t="s">
        <v>159</v>
      </c>
      <c r="F7" s="12" t="s">
        <v>160</v>
      </c>
      <c r="G7" s="12" t="s">
        <v>155</v>
      </c>
      <c r="H7" s="12" t="s">
        <v>109</v>
      </c>
      <c r="I7" s="13">
        <v>41720</v>
      </c>
      <c r="J7" s="14">
        <f t="shared" ca="1" si="0"/>
        <v>12</v>
      </c>
      <c r="K7" s="12"/>
      <c r="L7" s="12"/>
      <c r="M7" s="15" t="str">
        <f t="shared" si="1"/>
        <v>BIM컨설팅G6</v>
      </c>
      <c r="N7" s="12"/>
    </row>
    <row r="8" spans="1:14" x14ac:dyDescent="0.6">
      <c r="A8" s="12">
        <v>4</v>
      </c>
      <c r="B8" s="12" t="s">
        <v>161</v>
      </c>
      <c r="C8" s="12" t="s">
        <v>162</v>
      </c>
      <c r="D8" s="12" t="s">
        <v>163</v>
      </c>
      <c r="E8" s="12" t="s">
        <v>164</v>
      </c>
      <c r="F8" s="12" t="s">
        <v>165</v>
      </c>
      <c r="G8" s="12" t="s">
        <v>166</v>
      </c>
      <c r="H8" s="12" t="s">
        <v>109</v>
      </c>
      <c r="I8" s="13">
        <v>41730</v>
      </c>
      <c r="J8" s="14">
        <f t="shared" ca="1" si="0"/>
        <v>12</v>
      </c>
      <c r="K8" s="12"/>
      <c r="L8" s="12"/>
      <c r="M8" s="15" t="str">
        <f t="shared" si="1"/>
        <v>경영전략기획G6</v>
      </c>
      <c r="N8" s="12"/>
    </row>
    <row r="9" spans="1:14" x14ac:dyDescent="0.6">
      <c r="A9" s="12">
        <v>5</v>
      </c>
      <c r="B9" s="12" t="s">
        <v>167</v>
      </c>
      <c r="C9" s="12" t="s">
        <v>168</v>
      </c>
      <c r="D9" s="12" t="s">
        <v>163</v>
      </c>
      <c r="E9" s="12" t="s">
        <v>164</v>
      </c>
      <c r="F9" s="12" t="s">
        <v>165</v>
      </c>
      <c r="G9" s="12" t="s">
        <v>166</v>
      </c>
      <c r="H9" s="12" t="s">
        <v>109</v>
      </c>
      <c r="I9" s="13">
        <v>42132</v>
      </c>
      <c r="J9" s="14">
        <f t="shared" ca="1" si="0"/>
        <v>11</v>
      </c>
      <c r="K9" s="12"/>
      <c r="L9" s="12"/>
      <c r="M9" s="15" t="str">
        <f t="shared" si="1"/>
        <v>경영전략기획G6</v>
      </c>
      <c r="N9" s="12"/>
    </row>
    <row r="10" spans="1:14" x14ac:dyDescent="0.6">
      <c r="A10" s="12">
        <v>6</v>
      </c>
      <c r="B10" s="12" t="s">
        <v>169</v>
      </c>
      <c r="C10" s="12" t="s">
        <v>170</v>
      </c>
      <c r="D10" s="12" t="s">
        <v>163</v>
      </c>
      <c r="E10" s="12" t="s">
        <v>164</v>
      </c>
      <c r="F10" s="12" t="s">
        <v>165</v>
      </c>
      <c r="G10" s="12" t="s">
        <v>166</v>
      </c>
      <c r="H10" s="12" t="s">
        <v>109</v>
      </c>
      <c r="I10" s="13">
        <v>42170</v>
      </c>
      <c r="J10" s="14">
        <f t="shared" ca="1" si="0"/>
        <v>10</v>
      </c>
      <c r="K10" s="12"/>
      <c r="L10" s="12"/>
      <c r="M10" s="15" t="str">
        <f t="shared" si="1"/>
        <v>경영전략기획G6</v>
      </c>
      <c r="N10" s="12"/>
    </row>
    <row r="11" spans="1:14" x14ac:dyDescent="0.6">
      <c r="A11" s="12">
        <v>7</v>
      </c>
      <c r="B11" s="12" t="s">
        <v>171</v>
      </c>
      <c r="C11" s="12" t="s">
        <v>172</v>
      </c>
      <c r="D11" s="12" t="s">
        <v>173</v>
      </c>
      <c r="E11" s="12" t="s">
        <v>174</v>
      </c>
      <c r="F11" s="12" t="s">
        <v>175</v>
      </c>
      <c r="G11" s="12" t="s">
        <v>176</v>
      </c>
      <c r="H11" s="12" t="s">
        <v>110</v>
      </c>
      <c r="I11" s="13">
        <v>42207</v>
      </c>
      <c r="J11" s="14">
        <f t="shared" ca="1" si="0"/>
        <v>10</v>
      </c>
      <c r="K11" s="12"/>
      <c r="L11" s="12"/>
      <c r="M11" s="15" t="str">
        <f t="shared" si="1"/>
        <v>교육·기술지원G5</v>
      </c>
      <c r="N11" s="12"/>
    </row>
    <row r="12" spans="1:14" x14ac:dyDescent="0.6">
      <c r="A12" s="12">
        <v>8</v>
      </c>
      <c r="B12" s="12" t="s">
        <v>177</v>
      </c>
      <c r="C12" s="12" t="s">
        <v>178</v>
      </c>
      <c r="D12" s="12" t="s">
        <v>173</v>
      </c>
      <c r="E12" s="12" t="s">
        <v>174</v>
      </c>
      <c r="F12" s="12" t="s">
        <v>175</v>
      </c>
      <c r="G12" s="12" t="s">
        <v>176</v>
      </c>
      <c r="H12" s="12" t="s">
        <v>110</v>
      </c>
      <c r="I12" s="13">
        <v>42217</v>
      </c>
      <c r="J12" s="14">
        <f t="shared" ca="1" si="0"/>
        <v>10</v>
      </c>
      <c r="K12" s="12"/>
      <c r="L12" s="12"/>
      <c r="M12" s="15" t="str">
        <f t="shared" si="1"/>
        <v>교육·기술지원G5</v>
      </c>
      <c r="N12" s="12"/>
    </row>
    <row r="13" spans="1:14" x14ac:dyDescent="0.6">
      <c r="A13" s="12">
        <v>9</v>
      </c>
      <c r="B13" s="12" t="s">
        <v>179</v>
      </c>
      <c r="C13" s="12" t="s">
        <v>180</v>
      </c>
      <c r="D13" s="12" t="s">
        <v>158</v>
      </c>
      <c r="E13" s="12" t="s">
        <v>159</v>
      </c>
      <c r="F13" s="12" t="s">
        <v>160</v>
      </c>
      <c r="G13" s="12" t="s">
        <v>176</v>
      </c>
      <c r="H13" s="12" t="s">
        <v>110</v>
      </c>
      <c r="I13" s="13">
        <v>42621</v>
      </c>
      <c r="J13" s="14">
        <f t="shared" ca="1" si="0"/>
        <v>9</v>
      </c>
      <c r="K13" s="12"/>
      <c r="L13" s="12"/>
      <c r="M13" s="15" t="str">
        <f t="shared" si="1"/>
        <v>BIM컨설팅G5</v>
      </c>
      <c r="N13" s="12"/>
    </row>
    <row r="14" spans="1:14" x14ac:dyDescent="0.6">
      <c r="A14" s="12">
        <v>10</v>
      </c>
      <c r="B14" s="12" t="s">
        <v>181</v>
      </c>
      <c r="C14" s="12" t="s">
        <v>182</v>
      </c>
      <c r="D14" s="12" t="s">
        <v>158</v>
      </c>
      <c r="E14" s="12" t="s">
        <v>159</v>
      </c>
      <c r="F14" s="12" t="s">
        <v>160</v>
      </c>
      <c r="G14" s="12" t="s">
        <v>176</v>
      </c>
      <c r="H14" s="12" t="s">
        <v>110</v>
      </c>
      <c r="I14" s="13">
        <v>42658</v>
      </c>
      <c r="J14" s="14">
        <f t="shared" ca="1" si="0"/>
        <v>9</v>
      </c>
      <c r="K14" s="12"/>
      <c r="L14" s="12"/>
      <c r="M14" s="15" t="str">
        <f t="shared" si="1"/>
        <v>BIM컨설팅G5</v>
      </c>
      <c r="N14" s="12"/>
    </row>
    <row r="15" spans="1:14" x14ac:dyDescent="0.6">
      <c r="A15" s="12">
        <v>11</v>
      </c>
      <c r="B15" s="12" t="s">
        <v>183</v>
      </c>
      <c r="C15" s="12" t="s">
        <v>184</v>
      </c>
      <c r="D15" s="12" t="s">
        <v>158</v>
      </c>
      <c r="E15" s="12" t="s">
        <v>159</v>
      </c>
      <c r="F15" s="12" t="s">
        <v>160</v>
      </c>
      <c r="G15" s="12" t="s">
        <v>176</v>
      </c>
      <c r="H15" s="12" t="s">
        <v>110</v>
      </c>
      <c r="I15" s="13">
        <v>42696</v>
      </c>
      <c r="J15" s="14">
        <f t="shared" ca="1" si="0"/>
        <v>9</v>
      </c>
      <c r="K15" s="12"/>
      <c r="L15" s="12"/>
      <c r="M15" s="15" t="str">
        <f t="shared" si="1"/>
        <v>BIM컨설팅G5</v>
      </c>
      <c r="N15" s="12"/>
    </row>
    <row r="16" spans="1:14" x14ac:dyDescent="0.6">
      <c r="A16" s="12">
        <v>12</v>
      </c>
      <c r="B16" s="12" t="s">
        <v>185</v>
      </c>
      <c r="C16" s="12" t="s">
        <v>186</v>
      </c>
      <c r="D16" s="12" t="s">
        <v>163</v>
      </c>
      <c r="E16" s="12" t="s">
        <v>164</v>
      </c>
      <c r="F16" s="12" t="s">
        <v>187</v>
      </c>
      <c r="G16" s="12" t="s">
        <v>176</v>
      </c>
      <c r="H16" s="12" t="s">
        <v>110</v>
      </c>
      <c r="I16" s="13">
        <v>42705</v>
      </c>
      <c r="J16" s="14">
        <f t="shared" ca="1" si="0"/>
        <v>9</v>
      </c>
      <c r="K16" s="12"/>
      <c r="L16" s="12"/>
      <c r="M16" s="15" t="str">
        <f t="shared" si="1"/>
        <v>경영전략기획G5</v>
      </c>
      <c r="N16" s="12"/>
    </row>
    <row r="17" spans="1:14" x14ac:dyDescent="0.6">
      <c r="A17" s="12">
        <v>13</v>
      </c>
      <c r="B17" s="12" t="s">
        <v>188</v>
      </c>
      <c r="C17" s="12" t="s">
        <v>189</v>
      </c>
      <c r="D17" s="12" t="s">
        <v>158</v>
      </c>
      <c r="E17" s="12" t="s">
        <v>159</v>
      </c>
      <c r="F17" s="12" t="s">
        <v>160</v>
      </c>
      <c r="G17" s="12" t="s">
        <v>176</v>
      </c>
      <c r="H17" s="12" t="s">
        <v>110</v>
      </c>
      <c r="I17" s="13">
        <v>42743</v>
      </c>
      <c r="J17" s="14">
        <f t="shared" ca="1" si="0"/>
        <v>9</v>
      </c>
      <c r="K17" s="12"/>
      <c r="L17" s="12"/>
      <c r="M17" s="15" t="str">
        <f t="shared" si="1"/>
        <v>BIM컨설팅G5</v>
      </c>
      <c r="N17" s="12"/>
    </row>
    <row r="18" spans="1:14" x14ac:dyDescent="0.6">
      <c r="A18" s="12">
        <v>14</v>
      </c>
      <c r="B18" s="12" t="s">
        <v>190</v>
      </c>
      <c r="C18" s="12" t="s">
        <v>191</v>
      </c>
      <c r="D18" s="12" t="s">
        <v>158</v>
      </c>
      <c r="E18" s="12" t="s">
        <v>159</v>
      </c>
      <c r="F18" s="12" t="s">
        <v>160</v>
      </c>
      <c r="G18" s="12" t="s">
        <v>176</v>
      </c>
      <c r="H18" s="12" t="s">
        <v>110</v>
      </c>
      <c r="I18" s="13">
        <v>42781</v>
      </c>
      <c r="J18" s="14">
        <f t="shared" ca="1" si="0"/>
        <v>9</v>
      </c>
      <c r="K18" s="12"/>
      <c r="L18" s="12"/>
      <c r="M18" s="15" t="str">
        <f t="shared" si="1"/>
        <v>BIM컨설팅G5</v>
      </c>
      <c r="N18" s="12"/>
    </row>
    <row r="19" spans="1:14" x14ac:dyDescent="0.6">
      <c r="A19" s="12">
        <v>15</v>
      </c>
      <c r="B19" s="12" t="s">
        <v>192</v>
      </c>
      <c r="C19" s="12" t="s">
        <v>193</v>
      </c>
      <c r="D19" s="12" t="s">
        <v>158</v>
      </c>
      <c r="E19" s="12" t="s">
        <v>159</v>
      </c>
      <c r="F19" s="12" t="s">
        <v>160</v>
      </c>
      <c r="G19" s="12" t="s">
        <v>194</v>
      </c>
      <c r="H19" s="12" t="s">
        <v>110</v>
      </c>
      <c r="I19" s="13">
        <v>42816</v>
      </c>
      <c r="J19" s="14">
        <f t="shared" ca="1" si="0"/>
        <v>9</v>
      </c>
      <c r="K19" s="12"/>
      <c r="L19" s="12"/>
      <c r="M19" s="15" t="str">
        <f t="shared" si="1"/>
        <v>BIM컨설팅G5</v>
      </c>
      <c r="N19" s="12"/>
    </row>
    <row r="20" spans="1:14" x14ac:dyDescent="0.6">
      <c r="A20" s="12">
        <v>16</v>
      </c>
      <c r="B20" s="12" t="s">
        <v>195</v>
      </c>
      <c r="C20" s="12" t="s">
        <v>196</v>
      </c>
      <c r="D20" s="12" t="s">
        <v>158</v>
      </c>
      <c r="E20" s="12" t="s">
        <v>159</v>
      </c>
      <c r="F20" s="12" t="s">
        <v>160</v>
      </c>
      <c r="G20" s="12" t="s">
        <v>194</v>
      </c>
      <c r="H20" s="12" t="s">
        <v>110</v>
      </c>
      <c r="I20" s="13">
        <v>42826</v>
      </c>
      <c r="J20" s="14">
        <f t="shared" ca="1" si="0"/>
        <v>9</v>
      </c>
      <c r="K20" s="12"/>
      <c r="L20" s="12"/>
      <c r="M20" s="15" t="str">
        <f t="shared" si="1"/>
        <v>BIM컨설팅G5</v>
      </c>
      <c r="N20" s="12"/>
    </row>
    <row r="21" spans="1:14" x14ac:dyDescent="0.6">
      <c r="A21" s="12">
        <v>17</v>
      </c>
      <c r="B21" s="12" t="s">
        <v>197</v>
      </c>
      <c r="C21" s="12" t="s">
        <v>198</v>
      </c>
      <c r="D21" s="12" t="s">
        <v>173</v>
      </c>
      <c r="E21" s="12" t="s">
        <v>174</v>
      </c>
      <c r="F21" s="12" t="s">
        <v>175</v>
      </c>
      <c r="G21" s="12" t="s">
        <v>199</v>
      </c>
      <c r="H21" s="12" t="s">
        <v>111</v>
      </c>
      <c r="I21" s="13">
        <v>43228</v>
      </c>
      <c r="J21" s="14">
        <f t="shared" ca="1" si="0"/>
        <v>8</v>
      </c>
      <c r="K21" s="12"/>
      <c r="L21" s="12"/>
      <c r="M21" s="15" t="str">
        <f t="shared" si="1"/>
        <v>교육·기술지원G4</v>
      </c>
      <c r="N21" s="12"/>
    </row>
    <row r="22" spans="1:14" x14ac:dyDescent="0.6">
      <c r="A22" s="12">
        <v>18</v>
      </c>
      <c r="B22" s="12" t="s">
        <v>200</v>
      </c>
      <c r="C22" s="12" t="s">
        <v>201</v>
      </c>
      <c r="D22" s="12" t="s">
        <v>158</v>
      </c>
      <c r="E22" s="12" t="s">
        <v>159</v>
      </c>
      <c r="F22" s="12" t="s">
        <v>160</v>
      </c>
      <c r="G22" s="12" t="s">
        <v>199</v>
      </c>
      <c r="H22" s="12" t="s">
        <v>111</v>
      </c>
      <c r="I22" s="13">
        <v>43266</v>
      </c>
      <c r="J22" s="14">
        <f t="shared" ca="1" si="0"/>
        <v>7</v>
      </c>
      <c r="K22" s="12"/>
      <c r="L22" s="12"/>
      <c r="M22" s="15" t="str">
        <f t="shared" si="1"/>
        <v>BIM컨설팅G4</v>
      </c>
      <c r="N22" s="12"/>
    </row>
    <row r="23" spans="1:14" x14ac:dyDescent="0.6">
      <c r="A23" s="12">
        <v>19</v>
      </c>
      <c r="B23" s="12" t="s">
        <v>202</v>
      </c>
      <c r="C23" s="12" t="s">
        <v>203</v>
      </c>
      <c r="D23" s="12" t="s">
        <v>158</v>
      </c>
      <c r="E23" s="12" t="s">
        <v>159</v>
      </c>
      <c r="F23" s="12" t="s">
        <v>160</v>
      </c>
      <c r="G23" s="12" t="s">
        <v>199</v>
      </c>
      <c r="H23" s="12" t="s">
        <v>113</v>
      </c>
      <c r="I23" s="13">
        <v>43303</v>
      </c>
      <c r="J23" s="14">
        <f t="shared" ca="1" si="0"/>
        <v>7</v>
      </c>
      <c r="K23" s="12"/>
      <c r="L23" s="12"/>
      <c r="M23" s="15" t="str">
        <f t="shared" si="1"/>
        <v>BIM컨설팅G2</v>
      </c>
      <c r="N23" s="12"/>
    </row>
    <row r="24" spans="1:14" x14ac:dyDescent="0.6">
      <c r="A24" s="12">
        <v>20</v>
      </c>
      <c r="B24" s="12" t="s">
        <v>204</v>
      </c>
      <c r="C24" s="12" t="s">
        <v>205</v>
      </c>
      <c r="D24" s="12" t="s">
        <v>173</v>
      </c>
      <c r="E24" s="12" t="s">
        <v>174</v>
      </c>
      <c r="F24" s="12" t="s">
        <v>175</v>
      </c>
      <c r="G24" s="12" t="s">
        <v>206</v>
      </c>
      <c r="H24" s="12" t="s">
        <v>112</v>
      </c>
      <c r="I24" s="13">
        <v>43313</v>
      </c>
      <c r="J24" s="14">
        <f t="shared" ca="1" si="0"/>
        <v>7</v>
      </c>
      <c r="K24" s="12"/>
      <c r="L24" s="12"/>
      <c r="M24" s="15" t="str">
        <f t="shared" si="1"/>
        <v>교육·기술지원G3</v>
      </c>
      <c r="N24" s="12"/>
    </row>
    <row r="25" spans="1:14" x14ac:dyDescent="0.6">
      <c r="A25" s="12">
        <v>21</v>
      </c>
      <c r="B25" s="12" t="s">
        <v>207</v>
      </c>
      <c r="C25" s="12" t="s">
        <v>208</v>
      </c>
      <c r="D25" s="12" t="s">
        <v>158</v>
      </c>
      <c r="E25" s="12" t="s">
        <v>159</v>
      </c>
      <c r="F25" s="12" t="s">
        <v>160</v>
      </c>
      <c r="G25" s="12" t="s">
        <v>206</v>
      </c>
      <c r="H25" s="12" t="s">
        <v>113</v>
      </c>
      <c r="I25" s="13">
        <v>43716</v>
      </c>
      <c r="J25" s="14">
        <f t="shared" ca="1" si="0"/>
        <v>6</v>
      </c>
      <c r="K25" s="12"/>
      <c r="L25" s="12"/>
      <c r="M25" s="15" t="str">
        <f t="shared" si="1"/>
        <v>BIM컨설팅G2</v>
      </c>
      <c r="N25" s="12"/>
    </row>
    <row r="26" spans="1:14" x14ac:dyDescent="0.6">
      <c r="A26" s="12">
        <v>22</v>
      </c>
      <c r="B26" s="12" t="s">
        <v>209</v>
      </c>
      <c r="C26" s="12" t="s">
        <v>210</v>
      </c>
      <c r="D26" s="12" t="s">
        <v>158</v>
      </c>
      <c r="E26" s="12" t="s">
        <v>159</v>
      </c>
      <c r="F26" s="12" t="s">
        <v>160</v>
      </c>
      <c r="G26" s="12" t="s">
        <v>206</v>
      </c>
      <c r="H26" s="12" t="s">
        <v>113</v>
      </c>
      <c r="I26" s="13">
        <v>43753</v>
      </c>
      <c r="J26" s="14">
        <f t="shared" ca="1" si="0"/>
        <v>6</v>
      </c>
      <c r="K26" s="12"/>
      <c r="L26" s="12"/>
      <c r="M26" s="15" t="str">
        <f t="shared" si="1"/>
        <v>BIM컨설팅G2</v>
      </c>
      <c r="N26" s="12"/>
    </row>
    <row r="27" spans="1:14" x14ac:dyDescent="0.6">
      <c r="A27" s="12">
        <v>23</v>
      </c>
      <c r="B27" s="12" t="s">
        <v>211</v>
      </c>
      <c r="C27" s="12" t="s">
        <v>212</v>
      </c>
      <c r="D27" s="12" t="s">
        <v>158</v>
      </c>
      <c r="E27" s="12" t="s">
        <v>159</v>
      </c>
      <c r="F27" s="12" t="s">
        <v>160</v>
      </c>
      <c r="G27" s="12" t="s">
        <v>206</v>
      </c>
      <c r="H27" s="12" t="s">
        <v>113</v>
      </c>
      <c r="I27" s="13">
        <v>43791</v>
      </c>
      <c r="J27" s="14">
        <f t="shared" ca="1" si="0"/>
        <v>6</v>
      </c>
      <c r="K27" s="12"/>
      <c r="L27" s="12"/>
      <c r="M27" s="15" t="str">
        <f t="shared" si="1"/>
        <v>BIM컨설팅G2</v>
      </c>
      <c r="N27" s="12"/>
    </row>
    <row r="28" spans="1:14" x14ac:dyDescent="0.6">
      <c r="A28" s="12">
        <v>24</v>
      </c>
      <c r="B28" s="12" t="s">
        <v>213</v>
      </c>
      <c r="C28" s="12" t="s">
        <v>214</v>
      </c>
      <c r="D28" s="12" t="s">
        <v>158</v>
      </c>
      <c r="E28" s="12" t="s">
        <v>159</v>
      </c>
      <c r="F28" s="12" t="s">
        <v>160</v>
      </c>
      <c r="G28" s="12" t="s">
        <v>206</v>
      </c>
      <c r="H28" s="12" t="s">
        <v>113</v>
      </c>
      <c r="I28" s="13">
        <v>43800</v>
      </c>
      <c r="J28" s="14">
        <f t="shared" ca="1" si="0"/>
        <v>6</v>
      </c>
      <c r="K28" s="12"/>
      <c r="L28" s="12"/>
      <c r="M28" s="15" t="str">
        <f t="shared" si="1"/>
        <v>BIM컨설팅G2</v>
      </c>
      <c r="N28" s="12"/>
    </row>
    <row r="29" spans="1:14" x14ac:dyDescent="0.6">
      <c r="A29" s="12">
        <v>25</v>
      </c>
      <c r="B29" s="12" t="s">
        <v>215</v>
      </c>
      <c r="C29" s="12" t="s">
        <v>216</v>
      </c>
      <c r="D29" s="12" t="s">
        <v>152</v>
      </c>
      <c r="E29" s="12" t="s">
        <v>153</v>
      </c>
      <c r="F29" s="12" t="s">
        <v>160</v>
      </c>
      <c r="G29" s="12" t="s">
        <v>206</v>
      </c>
      <c r="H29" s="12" t="s">
        <v>113</v>
      </c>
      <c r="I29" s="13">
        <v>43838</v>
      </c>
      <c r="J29" s="14">
        <f t="shared" ca="1" si="0"/>
        <v>6</v>
      </c>
      <c r="K29" s="12"/>
      <c r="L29" s="12"/>
      <c r="M29" s="15" t="str">
        <f t="shared" si="1"/>
        <v>연구개발(R&amp;D)G2</v>
      </c>
      <c r="N29" s="12"/>
    </row>
    <row r="30" spans="1:14" x14ac:dyDescent="0.6">
      <c r="A30" s="12">
        <v>26</v>
      </c>
      <c r="B30" s="12" t="s">
        <v>217</v>
      </c>
      <c r="C30" s="12" t="s">
        <v>218</v>
      </c>
      <c r="D30" s="12" t="s">
        <v>163</v>
      </c>
      <c r="E30" s="12" t="s">
        <v>164</v>
      </c>
      <c r="F30" s="12" t="s">
        <v>187</v>
      </c>
      <c r="G30" s="12" t="s">
        <v>219</v>
      </c>
      <c r="H30" s="12" t="s">
        <v>114</v>
      </c>
      <c r="I30" s="13">
        <v>43876</v>
      </c>
      <c r="J30" s="14">
        <f t="shared" ca="1" si="0"/>
        <v>6</v>
      </c>
      <c r="K30" s="12"/>
      <c r="L30" s="12"/>
      <c r="M30" s="15" t="str">
        <f t="shared" si="1"/>
        <v>경영전략기획G1</v>
      </c>
      <c r="N30" s="12"/>
    </row>
    <row r="31" spans="1:14" x14ac:dyDescent="0.6">
      <c r="A31" s="12">
        <v>27</v>
      </c>
      <c r="B31" s="12" t="s">
        <v>220</v>
      </c>
      <c r="C31" s="12" t="s">
        <v>221</v>
      </c>
      <c r="D31" s="12" t="s">
        <v>173</v>
      </c>
      <c r="E31" s="12" t="s">
        <v>174</v>
      </c>
      <c r="F31" s="12" t="s">
        <v>175</v>
      </c>
      <c r="G31" s="12" t="s">
        <v>219</v>
      </c>
      <c r="H31" s="12" t="s">
        <v>113</v>
      </c>
      <c r="I31" s="13">
        <v>43912</v>
      </c>
      <c r="J31" s="14">
        <f t="shared" ca="1" si="0"/>
        <v>6</v>
      </c>
      <c r="K31" s="12"/>
      <c r="L31" s="12"/>
      <c r="M31" s="15" t="str">
        <f t="shared" si="1"/>
        <v>교육·기술지원G2</v>
      </c>
      <c r="N31" s="12"/>
    </row>
    <row r="32" spans="1:14" x14ac:dyDescent="0.6">
      <c r="A32" s="12">
        <v>28</v>
      </c>
      <c r="B32" s="12" t="s">
        <v>222</v>
      </c>
      <c r="C32" s="12" t="s">
        <v>223</v>
      </c>
      <c r="D32" s="12" t="s">
        <v>158</v>
      </c>
      <c r="E32" s="12" t="s">
        <v>159</v>
      </c>
      <c r="F32" s="12" t="s">
        <v>160</v>
      </c>
      <c r="G32" s="12" t="s">
        <v>219</v>
      </c>
      <c r="H32" s="12" t="s">
        <v>114</v>
      </c>
      <c r="I32" s="13">
        <v>43922</v>
      </c>
      <c r="J32" s="14">
        <f t="shared" ca="1" si="0"/>
        <v>6</v>
      </c>
      <c r="K32" s="12"/>
      <c r="L32" s="12"/>
      <c r="M32" s="15" t="str">
        <f t="shared" si="1"/>
        <v>BIM컨설팅G1</v>
      </c>
      <c r="N32" s="12"/>
    </row>
    <row r="33" spans="1:14" x14ac:dyDescent="0.6">
      <c r="A33" s="12">
        <v>29</v>
      </c>
      <c r="B33" s="12" t="s">
        <v>224</v>
      </c>
      <c r="C33" s="12" t="s">
        <v>225</v>
      </c>
      <c r="D33" s="12" t="s">
        <v>158</v>
      </c>
      <c r="E33" s="12" t="s">
        <v>159</v>
      </c>
      <c r="F33" s="12" t="s">
        <v>160</v>
      </c>
      <c r="G33" s="12" t="s">
        <v>219</v>
      </c>
      <c r="H33" s="12" t="s">
        <v>114</v>
      </c>
      <c r="I33" s="13">
        <v>44324</v>
      </c>
      <c r="J33" s="14">
        <f t="shared" ca="1" si="0"/>
        <v>5</v>
      </c>
      <c r="K33" s="12"/>
      <c r="L33" s="12"/>
      <c r="M33" s="15" t="str">
        <f t="shared" si="1"/>
        <v>BIM컨설팅G1</v>
      </c>
      <c r="N33" s="12"/>
    </row>
    <row r="34" spans="1:14" x14ac:dyDescent="0.6">
      <c r="A34" s="12">
        <v>30</v>
      </c>
      <c r="B34" s="12" t="s">
        <v>226</v>
      </c>
      <c r="C34" s="12" t="s">
        <v>227</v>
      </c>
      <c r="D34" s="12" t="s">
        <v>158</v>
      </c>
      <c r="E34" s="12" t="s">
        <v>159</v>
      </c>
      <c r="F34" s="12" t="s">
        <v>160</v>
      </c>
      <c r="G34" s="12" t="s">
        <v>219</v>
      </c>
      <c r="H34" s="12" t="s">
        <v>114</v>
      </c>
      <c r="I34" s="13">
        <v>44362</v>
      </c>
      <c r="J34" s="14">
        <f t="shared" ca="1" si="0"/>
        <v>4</v>
      </c>
      <c r="K34" s="12"/>
      <c r="L34" s="12"/>
      <c r="M34" s="15" t="str">
        <f t="shared" si="1"/>
        <v>BIM컨설팅G1</v>
      </c>
      <c r="N34" s="12"/>
    </row>
    <row r="35" spans="1:14" x14ac:dyDescent="0.6">
      <c r="A35" s="12">
        <v>31</v>
      </c>
      <c r="B35" s="12" t="s">
        <v>228</v>
      </c>
      <c r="C35" s="12" t="s">
        <v>229</v>
      </c>
      <c r="D35" s="12" t="s">
        <v>158</v>
      </c>
      <c r="E35" s="12" t="s">
        <v>159</v>
      </c>
      <c r="F35" s="12" t="s">
        <v>160</v>
      </c>
      <c r="G35" s="12" t="s">
        <v>219</v>
      </c>
      <c r="H35" s="12" t="s">
        <v>114</v>
      </c>
      <c r="I35" s="13">
        <v>44399</v>
      </c>
      <c r="J35" s="14">
        <f t="shared" ca="1" si="0"/>
        <v>4</v>
      </c>
      <c r="K35" s="12"/>
      <c r="L35" s="12"/>
      <c r="M35" s="15" t="str">
        <f t="shared" si="1"/>
        <v>BIM컨설팅G1</v>
      </c>
      <c r="N35" s="12"/>
    </row>
    <row r="36" spans="1:14" x14ac:dyDescent="0.6">
      <c r="A36" s="12">
        <v>32</v>
      </c>
      <c r="B36" s="12" t="s">
        <v>230</v>
      </c>
      <c r="C36" s="12" t="s">
        <v>231</v>
      </c>
      <c r="D36" s="12" t="s">
        <v>158</v>
      </c>
      <c r="E36" s="12" t="s">
        <v>159</v>
      </c>
      <c r="F36" s="12" t="s">
        <v>160</v>
      </c>
      <c r="G36" s="12" t="s">
        <v>232</v>
      </c>
      <c r="H36" s="12" t="s">
        <v>114</v>
      </c>
      <c r="I36" s="13">
        <v>44409</v>
      </c>
      <c r="J36" s="14">
        <f t="shared" ca="1" si="0"/>
        <v>4</v>
      </c>
      <c r="K36" s="12"/>
      <c r="L36" s="12"/>
      <c r="M36" s="15" t="str">
        <f t="shared" si="1"/>
        <v>BIM컨설팅G1</v>
      </c>
      <c r="N36" s="12"/>
    </row>
    <row r="37" spans="1:14" x14ac:dyDescent="0.6">
      <c r="A37" s="12">
        <v>33</v>
      </c>
      <c r="B37" s="12" t="s">
        <v>233</v>
      </c>
      <c r="C37" s="12" t="s">
        <v>234</v>
      </c>
      <c r="D37" s="12" t="s">
        <v>158</v>
      </c>
      <c r="E37" s="12" t="s">
        <v>159</v>
      </c>
      <c r="F37" s="12" t="s">
        <v>160</v>
      </c>
      <c r="G37" s="12" t="s">
        <v>232</v>
      </c>
      <c r="H37" s="12" t="s">
        <v>114</v>
      </c>
      <c r="I37" s="13">
        <v>44812</v>
      </c>
      <c r="J37" s="14">
        <f t="shared" ca="1" si="0"/>
        <v>3</v>
      </c>
      <c r="K37" s="12"/>
      <c r="L37" s="12"/>
      <c r="M37" s="15" t="str">
        <f t="shared" si="1"/>
        <v>BIM컨설팅G1</v>
      </c>
      <c r="N37" s="12"/>
    </row>
    <row r="38" spans="1:14" x14ac:dyDescent="0.6">
      <c r="A38" s="12">
        <v>34</v>
      </c>
      <c r="B38" s="12" t="s">
        <v>235</v>
      </c>
      <c r="C38" s="12" t="s">
        <v>236</v>
      </c>
      <c r="D38" s="12" t="s">
        <v>158</v>
      </c>
      <c r="E38" s="12" t="s">
        <v>159</v>
      </c>
      <c r="F38" s="12" t="s">
        <v>160</v>
      </c>
      <c r="G38" s="12" t="s">
        <v>232</v>
      </c>
      <c r="H38" s="12" t="s">
        <v>114</v>
      </c>
      <c r="I38" s="13">
        <v>44849</v>
      </c>
      <c r="J38" s="14">
        <f t="shared" ca="1" si="0"/>
        <v>3</v>
      </c>
      <c r="K38" s="12"/>
      <c r="L38" s="12"/>
      <c r="M38" s="15" t="str">
        <f t="shared" si="1"/>
        <v>BIM컨설팅G1</v>
      </c>
      <c r="N38" s="12"/>
    </row>
    <row r="41" spans="1:14" ht="22.05" customHeight="1" x14ac:dyDescent="0.6">
      <c r="A41" s="45" t="s">
        <v>237</v>
      </c>
      <c r="B41" s="43"/>
      <c r="C41" s="43"/>
      <c r="D41" s="43"/>
      <c r="E41" s="43"/>
      <c r="F41" s="43"/>
      <c r="G41" s="43"/>
      <c r="H41" s="43"/>
      <c r="I41" s="43"/>
      <c r="J41" s="43"/>
      <c r="K41" s="43"/>
      <c r="L41" s="43"/>
      <c r="M41" s="43"/>
      <c r="N41" s="43"/>
    </row>
    <row r="42" spans="1:14" ht="50.65" x14ac:dyDescent="0.6">
      <c r="A42" s="2" t="s">
        <v>238</v>
      </c>
      <c r="B42" s="2" t="s">
        <v>239</v>
      </c>
      <c r="D42" s="2" t="s">
        <v>240</v>
      </c>
      <c r="E42" s="2" t="s">
        <v>239</v>
      </c>
      <c r="G42" s="2" t="s">
        <v>241</v>
      </c>
      <c r="H42" s="2" t="s">
        <v>239</v>
      </c>
    </row>
    <row r="43" spans="1:14" ht="31.5" x14ac:dyDescent="0.6">
      <c r="A43" s="5" t="s">
        <v>109</v>
      </c>
      <c r="B43" s="15">
        <f>COUNTIF(H5:H38,"G6")</f>
        <v>6</v>
      </c>
      <c r="D43" s="3" t="s">
        <v>163</v>
      </c>
      <c r="E43" s="15">
        <f>COUNTIF(D5:D38,"경영관리")</f>
        <v>5</v>
      </c>
      <c r="G43" s="3" t="s">
        <v>148</v>
      </c>
      <c r="H43" s="15">
        <f>COUNTIF(F5:F38,"스마트사업부")</f>
        <v>1</v>
      </c>
    </row>
    <row r="44" spans="1:14" x14ac:dyDescent="0.6">
      <c r="A44" s="5" t="s">
        <v>110</v>
      </c>
      <c r="B44" s="15">
        <f>COUNTIF(H5:H38,"G5-M")+COUNTIF(H5:H38,"G5-S")+COUNTIF(H5:H38,"G5")</f>
        <v>10</v>
      </c>
      <c r="D44" s="3" t="s">
        <v>173</v>
      </c>
      <c r="E44" s="15">
        <f>COUNTIF(D5:D38,"교육 및 기술지원")</f>
        <v>5</v>
      </c>
      <c r="G44" s="3" t="s">
        <v>154</v>
      </c>
      <c r="H44" s="15">
        <f>COUNTIF(F5:F38,"R&amp;D 본부")</f>
        <v>1</v>
      </c>
    </row>
    <row r="45" spans="1:14" x14ac:dyDescent="0.6">
      <c r="A45" s="5" t="s">
        <v>111</v>
      </c>
      <c r="B45" s="15">
        <f>COUNTIF(H5:H38,"G4")</f>
        <v>2</v>
      </c>
      <c r="D45" s="3" t="s">
        <v>158</v>
      </c>
      <c r="E45" s="15">
        <f>COUNTIF(D5:D38,"설계")</f>
        <v>21</v>
      </c>
      <c r="G45" s="3" t="s">
        <v>160</v>
      </c>
      <c r="H45" s="15">
        <f>COUNTIF(F5:F38,"컨설팅본부")</f>
        <v>22</v>
      </c>
    </row>
    <row r="46" spans="1:14" x14ac:dyDescent="0.6">
      <c r="A46" s="5" t="s">
        <v>112</v>
      </c>
      <c r="B46" s="15">
        <f>COUNTIF(H5:H38,"G3")</f>
        <v>1</v>
      </c>
      <c r="D46" s="3" t="s">
        <v>152</v>
      </c>
      <c r="E46" s="15">
        <f>COUNTIF(D5:D38,"연구&amp;개발")</f>
        <v>2</v>
      </c>
      <c r="G46" s="3" t="s">
        <v>165</v>
      </c>
      <c r="H46" s="15">
        <f>COUNTIF(F5:F38,"경영전략실")</f>
        <v>3</v>
      </c>
    </row>
    <row r="47" spans="1:14" x14ac:dyDescent="0.6">
      <c r="A47" s="5" t="s">
        <v>113</v>
      </c>
      <c r="B47" s="15">
        <f>COUNTIF(H5:H38,"G2")</f>
        <v>7</v>
      </c>
      <c r="D47" s="3" t="s">
        <v>146</v>
      </c>
      <c r="E47" s="15">
        <f>COUNTIF(D5:D38,"영업")</f>
        <v>1</v>
      </c>
      <c r="G47" s="3" t="s">
        <v>175</v>
      </c>
      <c r="H47" s="15">
        <f>COUNTIF(F5:F38,"솔루션본부")</f>
        <v>5</v>
      </c>
    </row>
    <row r="48" spans="1:14" x14ac:dyDescent="0.6">
      <c r="A48" s="5" t="s">
        <v>114</v>
      </c>
      <c r="B48" s="15">
        <f>COUNTIF(H5:H38,"G1")</f>
        <v>8</v>
      </c>
      <c r="G48" s="3" t="s">
        <v>187</v>
      </c>
      <c r="H48" s="15">
        <f>COUNTIF(F5:F38,"마케팅팀")</f>
        <v>2</v>
      </c>
    </row>
  </sheetData>
  <mergeCells count="4">
    <mergeCell ref="A41:N41"/>
    <mergeCell ref="A3:N3"/>
    <mergeCell ref="A2:N2"/>
    <mergeCell ref="A1:N1"/>
  </mergeCells>
  <phoneticPr fontId="16" type="noConversion"/>
  <dataValidations count="4">
    <dataValidation type="list" allowBlank="1" sqref="D5:D88" xr:uid="{00000000-0002-0000-0100-000000000000}">
      <formula1>"경영관리,교육 및 기술지원,설계,연구&amp;개발,영업"</formula1>
    </dataValidation>
    <dataValidation type="list" allowBlank="1" sqref="E5:E88" xr:uid="{00000000-0002-0000-0100-000001000000}">
      <formula1>"BIM컨설팅,경영전략기획,교육·기술지원,연구개발(R&amp;D),프로젝트영업"</formula1>
    </dataValidation>
    <dataValidation type="list" allowBlank="1" sqref="F5:F88" xr:uid="{00000000-0002-0000-0100-000002000000}">
      <formula1>"스마트사업부,R&amp;D 본부,컨설팅본부,경영전략실,솔루션본부,마케팅팀"</formula1>
    </dataValidation>
    <dataValidation type="list" allowBlank="1" sqref="H5:H88" xr:uid="{00000000-0002-0000-0100-000003000000}">
      <formula1>"G1,G2,G3,G4,G5-S,G5-M,G6"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64"/>
  <sheetViews>
    <sheetView showGridLines="0" workbookViewId="0">
      <pane ySplit="3" topLeftCell="A37" activePane="bottomLeft" state="frozen"/>
      <selection pane="bottomLeft" activeCell="L18" sqref="L18"/>
    </sheetView>
  </sheetViews>
  <sheetFormatPr defaultRowHeight="16.899999999999999" x14ac:dyDescent="0.6"/>
  <cols>
    <col min="1" max="1" width="16" customWidth="1"/>
    <col min="2" max="2" width="10" customWidth="1"/>
    <col min="3" max="3" width="15" customWidth="1"/>
    <col min="4" max="9" width="10" customWidth="1"/>
    <col min="10" max="10" width="6" customWidth="1"/>
    <col min="11" max="11" width="18" customWidth="1"/>
    <col min="12" max="13" width="12" customWidth="1"/>
    <col min="14" max="16" width="16" customWidth="1"/>
  </cols>
  <sheetData>
    <row r="1" spans="1:16" ht="28.05" customHeight="1" x14ac:dyDescent="0.6">
      <c r="A1" s="51" t="s">
        <v>242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</row>
    <row r="2" spans="1:16" ht="18" customHeight="1" x14ac:dyDescent="0.6">
      <c r="A2" s="48" t="s">
        <v>243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</row>
    <row r="4" spans="1:16" ht="22.05" customHeight="1" x14ac:dyDescent="0.6">
      <c r="A4" s="45" t="s">
        <v>244</v>
      </c>
      <c r="B4" s="43"/>
      <c r="C4" s="43"/>
      <c r="D4" s="43"/>
      <c r="E4" s="43"/>
      <c r="F4" s="43"/>
      <c r="G4" s="43"/>
      <c r="H4" s="43"/>
      <c r="I4" s="43"/>
      <c r="K4" s="45" t="s">
        <v>245</v>
      </c>
      <c r="L4" s="43"/>
      <c r="M4" s="43"/>
      <c r="N4" s="43"/>
      <c r="O4" s="43"/>
      <c r="P4" s="43"/>
    </row>
    <row r="5" spans="1:16" x14ac:dyDescent="0.6">
      <c r="A5" s="1" t="s">
        <v>246</v>
      </c>
      <c r="B5" s="12" t="s">
        <v>247</v>
      </c>
      <c r="C5" s="37" t="s">
        <v>248</v>
      </c>
      <c r="D5" s="38"/>
      <c r="E5" s="38"/>
      <c r="F5" s="38"/>
      <c r="G5" s="38"/>
      <c r="H5" s="39"/>
      <c r="K5" s="58" t="s">
        <v>249</v>
      </c>
      <c r="L5" s="39"/>
      <c r="M5" s="58" t="s">
        <v>250</v>
      </c>
      <c r="N5" s="39"/>
      <c r="O5" s="58" t="s">
        <v>251</v>
      </c>
      <c r="P5" s="39"/>
    </row>
    <row r="6" spans="1:16" ht="26" customHeight="1" x14ac:dyDescent="0.6">
      <c r="A6" s="1" t="s">
        <v>252</v>
      </c>
      <c r="B6" s="12" t="s">
        <v>253</v>
      </c>
      <c r="C6" s="37" t="s">
        <v>254</v>
      </c>
      <c r="D6" s="38"/>
      <c r="E6" s="38"/>
      <c r="F6" s="38"/>
      <c r="G6" s="38"/>
      <c r="H6" s="39"/>
      <c r="K6" s="55">
        <f>COUNTA('01_인적정보'!C5:C38)</f>
        <v>34</v>
      </c>
      <c r="L6" s="39"/>
      <c r="M6" s="56">
        <f>SUM('09_보상연계'!F11:F44)</f>
        <v>3035970000</v>
      </c>
      <c r="N6" s="39"/>
      <c r="O6" s="56">
        <f>SUM('09_보상연계'!N11:N44)</f>
        <v>3096670000</v>
      </c>
      <c r="P6" s="39"/>
    </row>
    <row r="7" spans="1:16" x14ac:dyDescent="0.6">
      <c r="A7" s="1" t="s">
        <v>255</v>
      </c>
      <c r="B7" s="17">
        <v>0.5</v>
      </c>
    </row>
    <row r="8" spans="1:16" x14ac:dyDescent="0.6">
      <c r="A8" s="1" t="s">
        <v>256</v>
      </c>
      <c r="B8" s="18">
        <f>1-B7</f>
        <v>0.5</v>
      </c>
      <c r="K8" s="58" t="s">
        <v>257</v>
      </c>
      <c r="L8" s="39"/>
      <c r="M8" s="58" t="s">
        <v>258</v>
      </c>
      <c r="N8" s="39"/>
      <c r="O8" s="58" t="s">
        <v>259</v>
      </c>
      <c r="P8" s="39"/>
    </row>
    <row r="9" spans="1:16" ht="26" customHeight="1" x14ac:dyDescent="0.6">
      <c r="K9" s="56">
        <f>SUM('09_보상연계'!O11:O44)</f>
        <v>3096670000</v>
      </c>
      <c r="L9" s="39"/>
      <c r="M9" s="59">
        <f>IFERROR(AVERAGE('09_보상연계'!M11:M44),0)</f>
        <v>58413793.103448279</v>
      </c>
      <c r="N9" s="39"/>
      <c r="O9" s="56">
        <f>SUM('10_성과급관리'!J11:J44)</f>
        <v>0</v>
      </c>
      <c r="P9" s="39"/>
    </row>
    <row r="10" spans="1:16" x14ac:dyDescent="0.6">
      <c r="A10" s="4" t="s">
        <v>260</v>
      </c>
      <c r="B10" s="2" t="s">
        <v>261</v>
      </c>
      <c r="C10" s="2" t="s">
        <v>262</v>
      </c>
      <c r="D10" s="2" t="s">
        <v>263</v>
      </c>
      <c r="E10" s="2" t="s">
        <v>264</v>
      </c>
      <c r="F10" s="2" t="s">
        <v>265</v>
      </c>
    </row>
    <row r="11" spans="1:16" x14ac:dyDescent="0.6">
      <c r="B11" s="17">
        <v>0.1</v>
      </c>
      <c r="C11" s="17">
        <v>0.15</v>
      </c>
      <c r="D11" s="17">
        <v>0.5</v>
      </c>
      <c r="E11" s="17">
        <v>0.15</v>
      </c>
      <c r="F11" s="17">
        <v>0.1</v>
      </c>
      <c r="K11" s="58" t="s">
        <v>266</v>
      </c>
      <c r="L11" s="39"/>
      <c r="M11" s="58" t="s">
        <v>267</v>
      </c>
      <c r="N11" s="39"/>
      <c r="O11" s="58" t="s">
        <v>268</v>
      </c>
      <c r="P11" s="39"/>
    </row>
    <row r="12" spans="1:16" ht="26" customHeight="1" x14ac:dyDescent="0.6">
      <c r="K12" s="55">
        <f>COUNTIF('08_종합평가'!T15:T48,"S")</f>
        <v>0</v>
      </c>
      <c r="L12" s="39"/>
      <c r="M12" s="55">
        <f>COUNTIF('08_종합평가'!T15:T48,"A")</f>
        <v>0</v>
      </c>
      <c r="N12" s="39"/>
      <c r="O12" s="55">
        <f>COUNTIF('08_종합평가'!T15:T48,"B")</f>
        <v>0</v>
      </c>
      <c r="P12" s="39"/>
    </row>
    <row r="13" spans="1:16" ht="22.05" customHeight="1" x14ac:dyDescent="0.6">
      <c r="A13" s="45" t="s">
        <v>269</v>
      </c>
      <c r="B13" s="43"/>
      <c r="C13" s="43"/>
      <c r="D13" s="43"/>
      <c r="E13" s="43"/>
      <c r="F13" s="43"/>
      <c r="G13" s="43"/>
      <c r="H13" s="43"/>
      <c r="I13" s="43"/>
    </row>
    <row r="14" spans="1:16" ht="33.75" x14ac:dyDescent="0.6">
      <c r="A14" s="2" t="s">
        <v>105</v>
      </c>
      <c r="B14" s="2" t="s">
        <v>270</v>
      </c>
      <c r="C14" s="2" t="s">
        <v>271</v>
      </c>
      <c r="D14" s="2" t="s">
        <v>272</v>
      </c>
      <c r="E14" s="2" t="s">
        <v>108</v>
      </c>
      <c r="F14" s="2" t="s">
        <v>273</v>
      </c>
      <c r="G14" s="42" t="s">
        <v>274</v>
      </c>
      <c r="H14" s="38"/>
      <c r="I14" s="39"/>
      <c r="K14" s="58" t="s">
        <v>275</v>
      </c>
      <c r="L14" s="39"/>
      <c r="M14" s="58" t="s">
        <v>276</v>
      </c>
      <c r="N14" s="39"/>
      <c r="O14" s="58" t="s">
        <v>277</v>
      </c>
      <c r="P14" s="39"/>
    </row>
    <row r="15" spans="1:16" ht="26" customHeight="1" x14ac:dyDescent="0.6">
      <c r="A15" s="5" t="s">
        <v>109</v>
      </c>
      <c r="B15" s="17">
        <v>0.4</v>
      </c>
      <c r="C15" s="17">
        <v>0.25</v>
      </c>
      <c r="D15" s="17">
        <v>0.35</v>
      </c>
      <c r="E15" s="18">
        <f t="shared" ref="E15:E20" si="0">B15+C15+D15</f>
        <v>1</v>
      </c>
      <c r="F15" s="15" t="str">
        <f t="shared" ref="F15:F20" si="1">IF(E15=1,"✓ OK","✗ ≠100%")</f>
        <v>✓ OK</v>
      </c>
      <c r="G15" s="37" t="s">
        <v>278</v>
      </c>
      <c r="H15" s="38"/>
      <c r="I15" s="39"/>
      <c r="K15" s="55">
        <f>COUNTIF('08_종합평가'!T15:T48,"C")+COUNTIF('08_종합평가'!T15:T48,"D")</f>
        <v>25</v>
      </c>
      <c r="L15" s="39"/>
      <c r="M15" s="61">
        <f>IFERROR(COUNTIF('11_페이밴드검증'!N15:N48,"적합")/COUNTA('11_페이밴드검증'!C15:C48),0)</f>
        <v>0</v>
      </c>
      <c r="N15" s="39"/>
      <c r="O15" s="60" t="e">
        <f>'03_전사업적평가'!#REF!</f>
        <v>#REF!</v>
      </c>
      <c r="P15" s="39"/>
    </row>
    <row r="16" spans="1:16" x14ac:dyDescent="0.6">
      <c r="A16" s="5" t="s">
        <v>110</v>
      </c>
      <c r="B16" s="17">
        <v>0.35</v>
      </c>
      <c r="C16" s="17">
        <v>0.3</v>
      </c>
      <c r="D16" s="17">
        <v>0.35</v>
      </c>
      <c r="E16" s="18">
        <f t="shared" si="0"/>
        <v>0.99999999999999989</v>
      </c>
      <c r="F16" s="15" t="str">
        <f t="shared" si="1"/>
        <v>✓ OK</v>
      </c>
      <c r="G16" s="37" t="s">
        <v>279</v>
      </c>
      <c r="H16" s="38"/>
      <c r="I16" s="39"/>
    </row>
    <row r="17" spans="1:13" x14ac:dyDescent="0.6">
      <c r="A17" s="5" t="s">
        <v>111</v>
      </c>
      <c r="B17" s="17">
        <v>0.3</v>
      </c>
      <c r="C17" s="17">
        <v>0.3</v>
      </c>
      <c r="D17" s="17">
        <v>0.4</v>
      </c>
      <c r="E17" s="18">
        <f t="shared" si="0"/>
        <v>1</v>
      </c>
      <c r="F17" s="15" t="str">
        <f t="shared" si="1"/>
        <v>✓ OK</v>
      </c>
      <c r="G17" s="37" t="s">
        <v>280</v>
      </c>
      <c r="H17" s="38"/>
      <c r="I17" s="39"/>
    </row>
    <row r="18" spans="1:13" x14ac:dyDescent="0.6">
      <c r="A18" s="5" t="s">
        <v>112</v>
      </c>
      <c r="B18" s="17">
        <v>0.25</v>
      </c>
      <c r="C18" s="17">
        <v>0.3</v>
      </c>
      <c r="D18" s="17">
        <v>0.45</v>
      </c>
      <c r="E18" s="18">
        <f t="shared" si="0"/>
        <v>1</v>
      </c>
      <c r="F18" s="15" t="str">
        <f t="shared" si="1"/>
        <v>✓ OK</v>
      </c>
      <c r="G18" s="37" t="s">
        <v>281</v>
      </c>
      <c r="H18" s="38"/>
      <c r="I18" s="39"/>
      <c r="K18" s="16" t="s">
        <v>282</v>
      </c>
      <c r="L18" s="16" t="s">
        <v>239</v>
      </c>
      <c r="M18" s="16" t="s">
        <v>283</v>
      </c>
    </row>
    <row r="19" spans="1:13" x14ac:dyDescent="0.6">
      <c r="A19" s="5" t="s">
        <v>113</v>
      </c>
      <c r="B19" s="17">
        <v>0.2</v>
      </c>
      <c r="C19" s="17">
        <v>0.35</v>
      </c>
      <c r="D19" s="17">
        <v>0.45</v>
      </c>
      <c r="E19" s="18">
        <f t="shared" si="0"/>
        <v>1</v>
      </c>
      <c r="F19" s="15" t="str">
        <f t="shared" si="1"/>
        <v>✓ OK</v>
      </c>
      <c r="G19" s="37" t="s">
        <v>284</v>
      </c>
      <c r="H19" s="38"/>
      <c r="I19" s="39"/>
      <c r="K19" s="6" t="s">
        <v>261</v>
      </c>
      <c r="L19" s="15">
        <f>COUNTIF('08_종합평가'!T15:T48,"S")</f>
        <v>0</v>
      </c>
      <c r="M19" s="19">
        <f>IFERROR(L19/SUM($L$19:$L$23),0)</f>
        <v>0</v>
      </c>
    </row>
    <row r="20" spans="1:13" x14ac:dyDescent="0.6">
      <c r="A20" s="5" t="s">
        <v>114</v>
      </c>
      <c r="B20" s="17">
        <v>0.15</v>
      </c>
      <c r="C20" s="17">
        <v>0.35</v>
      </c>
      <c r="D20" s="17">
        <v>0.5</v>
      </c>
      <c r="E20" s="18">
        <f t="shared" si="0"/>
        <v>1</v>
      </c>
      <c r="F20" s="15" t="str">
        <f t="shared" si="1"/>
        <v>✓ OK</v>
      </c>
      <c r="G20" s="37" t="s">
        <v>285</v>
      </c>
      <c r="H20" s="38"/>
      <c r="I20" s="39"/>
      <c r="K20" s="6" t="s">
        <v>262</v>
      </c>
      <c r="L20" s="15">
        <f>COUNTIF('08_종합평가'!T15:T48,"A")</f>
        <v>0</v>
      </c>
      <c r="M20" s="19">
        <f>IFERROR(L20/SUM($L$19:$L$23),0)</f>
        <v>0</v>
      </c>
    </row>
    <row r="21" spans="1:13" x14ac:dyDescent="0.6">
      <c r="K21" s="6" t="s">
        <v>263</v>
      </c>
      <c r="L21" s="15">
        <f>COUNTIF('08_종합평가'!T15:T48,"B")</f>
        <v>0</v>
      </c>
      <c r="M21" s="19">
        <f>IFERROR(L21/SUM($L$19:$L$23),0)</f>
        <v>0</v>
      </c>
    </row>
    <row r="22" spans="1:13" ht="22.05" customHeight="1" x14ac:dyDescent="0.6">
      <c r="A22" s="45" t="s">
        <v>286</v>
      </c>
      <c r="B22" s="43"/>
      <c r="C22" s="43"/>
      <c r="D22" s="43"/>
      <c r="E22" s="43"/>
      <c r="F22" s="43"/>
      <c r="G22" s="43"/>
      <c r="H22" s="43"/>
      <c r="I22" s="43"/>
      <c r="K22" s="6" t="s">
        <v>264</v>
      </c>
      <c r="L22" s="15">
        <f>COUNTIF('08_종합평가'!T15:T48,"C")</f>
        <v>0</v>
      </c>
      <c r="M22" s="19">
        <f>IFERROR(L22/SUM($L$19:$L$23),0)</f>
        <v>0</v>
      </c>
    </row>
    <row r="23" spans="1:13" x14ac:dyDescent="0.6">
      <c r="A23" s="6" t="s">
        <v>282</v>
      </c>
      <c r="B23" s="2" t="s">
        <v>261</v>
      </c>
      <c r="C23" s="2" t="s">
        <v>262</v>
      </c>
      <c r="D23" s="2" t="s">
        <v>263</v>
      </c>
      <c r="E23" s="2" t="s">
        <v>264</v>
      </c>
      <c r="F23" s="2" t="s">
        <v>265</v>
      </c>
      <c r="G23" s="37" t="s">
        <v>143</v>
      </c>
      <c r="H23" s="38"/>
      <c r="I23" s="39"/>
      <c r="K23" s="6" t="s">
        <v>265</v>
      </c>
      <c r="L23" s="15">
        <f>COUNTIF('08_종합평가'!T15:T48,"D")</f>
        <v>25</v>
      </c>
      <c r="M23" s="19">
        <f>IFERROR(L23/SUM($L$19:$L$23),0)</f>
        <v>1</v>
      </c>
    </row>
    <row r="24" spans="1:13" x14ac:dyDescent="0.6">
      <c r="A24" s="1" t="s">
        <v>287</v>
      </c>
      <c r="B24" s="20">
        <v>0.06</v>
      </c>
      <c r="C24" s="20">
        <v>0.05</v>
      </c>
      <c r="D24" s="20">
        <v>0.04</v>
      </c>
      <c r="E24" s="20">
        <v>0.03</v>
      </c>
      <c r="F24" s="20">
        <v>0.02</v>
      </c>
      <c r="G24" s="37" t="s">
        <v>288</v>
      </c>
      <c r="H24" s="38"/>
      <c r="I24" s="39"/>
    </row>
    <row r="25" spans="1:13" x14ac:dyDescent="0.6">
      <c r="A25" s="1" t="s">
        <v>289</v>
      </c>
      <c r="B25" s="17">
        <v>0.2</v>
      </c>
      <c r="C25" s="17">
        <v>0.15</v>
      </c>
      <c r="D25" s="17">
        <v>0.1</v>
      </c>
      <c r="E25" s="17">
        <v>0.05</v>
      </c>
      <c r="F25" s="17">
        <v>0</v>
      </c>
      <c r="G25" s="37" t="s">
        <v>290</v>
      </c>
      <c r="H25" s="38"/>
      <c r="I25" s="39"/>
    </row>
    <row r="26" spans="1:13" x14ac:dyDescent="0.6">
      <c r="A26" s="1" t="s">
        <v>291</v>
      </c>
      <c r="B26" s="20">
        <v>0.01</v>
      </c>
      <c r="C26" s="37" t="s">
        <v>292</v>
      </c>
      <c r="D26" s="38"/>
      <c r="E26" s="38"/>
      <c r="F26" s="39"/>
      <c r="G26" s="37" t="s">
        <v>293</v>
      </c>
      <c r="H26" s="38"/>
      <c r="I26" s="39"/>
    </row>
    <row r="28" spans="1:13" ht="22.05" customHeight="1" x14ac:dyDescent="0.6">
      <c r="A28" s="45" t="s">
        <v>294</v>
      </c>
      <c r="B28" s="43"/>
      <c r="C28" s="43"/>
      <c r="D28" s="43"/>
      <c r="E28" s="43"/>
      <c r="F28" s="43"/>
      <c r="G28" s="43"/>
      <c r="H28" s="43"/>
      <c r="I28" s="43"/>
    </row>
    <row r="29" spans="1:13" ht="33.75" x14ac:dyDescent="0.6">
      <c r="A29" s="2" t="s">
        <v>105</v>
      </c>
      <c r="B29" s="2" t="s">
        <v>295</v>
      </c>
      <c r="C29" s="2" t="s">
        <v>296</v>
      </c>
      <c r="D29" s="2" t="s">
        <v>297</v>
      </c>
      <c r="E29" s="2" t="s">
        <v>298</v>
      </c>
    </row>
    <row r="30" spans="1:13" x14ac:dyDescent="0.6">
      <c r="A30" s="5" t="s">
        <v>114</v>
      </c>
      <c r="B30" s="21">
        <v>33000000</v>
      </c>
      <c r="C30" s="21">
        <v>38500000</v>
      </c>
      <c r="D30" s="21">
        <v>44000000</v>
      </c>
      <c r="E30" s="18">
        <f t="shared" ref="E30:E35" si="2">(D30-B30)/B30</f>
        <v>0.33333333333333331</v>
      </c>
    </row>
    <row r="31" spans="1:13" x14ac:dyDescent="0.6">
      <c r="A31" s="5" t="s">
        <v>113</v>
      </c>
      <c r="B31" s="21">
        <v>36000000</v>
      </c>
      <c r="C31" s="21">
        <v>42500000</v>
      </c>
      <c r="D31" s="21">
        <v>49000000</v>
      </c>
      <c r="E31" s="18">
        <f t="shared" si="2"/>
        <v>0.3611111111111111</v>
      </c>
    </row>
    <row r="32" spans="1:13" x14ac:dyDescent="0.6">
      <c r="A32" s="5" t="s">
        <v>112</v>
      </c>
      <c r="B32" s="21">
        <v>42000000</v>
      </c>
      <c r="C32" s="21">
        <v>49500000</v>
      </c>
      <c r="D32" s="21">
        <v>57000000</v>
      </c>
      <c r="E32" s="18">
        <f t="shared" si="2"/>
        <v>0.35714285714285715</v>
      </c>
    </row>
    <row r="33" spans="1:9" x14ac:dyDescent="0.6">
      <c r="A33" s="5" t="s">
        <v>111</v>
      </c>
      <c r="B33" s="21">
        <v>49000000</v>
      </c>
      <c r="C33" s="21">
        <v>57500000</v>
      </c>
      <c r="D33" s="21">
        <v>66000000</v>
      </c>
      <c r="E33" s="18">
        <f t="shared" si="2"/>
        <v>0.34693877551020408</v>
      </c>
    </row>
    <row r="34" spans="1:9" x14ac:dyDescent="0.6">
      <c r="A34" s="5" t="s">
        <v>110</v>
      </c>
      <c r="B34" s="21">
        <v>53000000</v>
      </c>
      <c r="C34" s="21">
        <v>63000000</v>
      </c>
      <c r="D34" s="21">
        <v>73000000</v>
      </c>
      <c r="E34" s="18">
        <f t="shared" si="2"/>
        <v>0.37735849056603776</v>
      </c>
    </row>
    <row r="35" spans="1:9" x14ac:dyDescent="0.6">
      <c r="A35" s="5" t="s">
        <v>109</v>
      </c>
      <c r="B35" s="21">
        <v>58000000</v>
      </c>
      <c r="C35" s="21">
        <v>69000000</v>
      </c>
      <c r="D35" s="21">
        <v>80000000</v>
      </c>
      <c r="E35" s="18">
        <f t="shared" si="2"/>
        <v>0.37931034482758619</v>
      </c>
    </row>
    <row r="37" spans="1:9" ht="22.05" customHeight="1" x14ac:dyDescent="0.6">
      <c r="A37" s="45" t="s">
        <v>299</v>
      </c>
      <c r="B37" s="43"/>
      <c r="C37" s="43"/>
      <c r="D37" s="43"/>
      <c r="E37" s="43"/>
      <c r="F37" s="43"/>
      <c r="G37" s="43"/>
      <c r="H37" s="43"/>
      <c r="I37" s="43"/>
    </row>
    <row r="38" spans="1:9" x14ac:dyDescent="0.6">
      <c r="A38" s="2" t="s">
        <v>300</v>
      </c>
      <c r="B38" s="2" t="s">
        <v>301</v>
      </c>
      <c r="C38" s="2" t="s">
        <v>302</v>
      </c>
      <c r="D38" s="2" t="s">
        <v>303</v>
      </c>
      <c r="E38" s="2" t="s">
        <v>304</v>
      </c>
      <c r="F38" s="2" t="s">
        <v>305</v>
      </c>
      <c r="G38" s="2" t="s">
        <v>306</v>
      </c>
      <c r="H38" s="2" t="s">
        <v>307</v>
      </c>
      <c r="I38" s="2" t="s">
        <v>308</v>
      </c>
    </row>
    <row r="39" spans="1:9" ht="47.25" x14ac:dyDescent="0.6">
      <c r="A39" s="4" t="s">
        <v>309</v>
      </c>
      <c r="B39" s="1" t="s">
        <v>310</v>
      </c>
      <c r="C39" s="17">
        <v>0.4</v>
      </c>
      <c r="D39" s="20">
        <v>0.12</v>
      </c>
      <c r="E39" s="20">
        <v>0.15</v>
      </c>
      <c r="F39" s="20">
        <v>0.12</v>
      </c>
      <c r="G39" s="20">
        <v>0.1</v>
      </c>
      <c r="H39" s="20">
        <v>0.08</v>
      </c>
      <c r="I39" s="20">
        <v>0.06</v>
      </c>
    </row>
    <row r="40" spans="1:9" ht="78.75" x14ac:dyDescent="0.6">
      <c r="A40" s="4" t="s">
        <v>311</v>
      </c>
      <c r="B40" s="1" t="s">
        <v>312</v>
      </c>
      <c r="C40" s="17">
        <v>0.35</v>
      </c>
      <c r="D40" s="20">
        <v>7.0000000000000007E-2</v>
      </c>
      <c r="E40" s="20">
        <v>0.08</v>
      </c>
      <c r="F40" s="20">
        <v>7.0000000000000007E-2</v>
      </c>
      <c r="G40" s="20">
        <v>0.06</v>
      </c>
      <c r="H40" s="20">
        <v>0.05</v>
      </c>
      <c r="I40" s="20">
        <v>0.04</v>
      </c>
    </row>
    <row r="41" spans="1:9" ht="63" x14ac:dyDescent="0.6">
      <c r="A41" s="4" t="s">
        <v>313</v>
      </c>
      <c r="B41" s="1" t="s">
        <v>314</v>
      </c>
      <c r="C41" s="17">
        <v>0.25</v>
      </c>
      <c r="D41" s="20">
        <v>0.92</v>
      </c>
      <c r="E41" s="20">
        <v>0.93</v>
      </c>
      <c r="F41" s="20">
        <v>0.92</v>
      </c>
      <c r="G41" s="20">
        <v>0.91</v>
      </c>
      <c r="H41" s="20">
        <v>0.9</v>
      </c>
      <c r="I41" s="20">
        <v>0.89</v>
      </c>
    </row>
    <row r="51" spans="1:9" ht="22.05" customHeight="1" x14ac:dyDescent="0.6">
      <c r="A51" s="45" t="s">
        <v>315</v>
      </c>
      <c r="B51" s="43"/>
      <c r="C51" s="43"/>
      <c r="D51" s="43"/>
      <c r="E51" s="43"/>
      <c r="F51" s="43"/>
      <c r="G51" s="43"/>
      <c r="H51" s="43"/>
      <c r="I51" s="43"/>
    </row>
    <row r="52" spans="1:9" x14ac:dyDescent="0.6">
      <c r="A52" s="29" t="s">
        <v>131</v>
      </c>
      <c r="B52" s="29" t="s">
        <v>316</v>
      </c>
      <c r="C52" s="57" t="s">
        <v>317</v>
      </c>
      <c r="D52" s="39"/>
      <c r="E52" s="29" t="s">
        <v>302</v>
      </c>
      <c r="F52" s="57" t="s">
        <v>318</v>
      </c>
      <c r="G52" s="38"/>
      <c r="H52" s="38"/>
      <c r="I52" s="39"/>
    </row>
    <row r="53" spans="1:9" ht="24" customHeight="1" x14ac:dyDescent="0.6">
      <c r="A53" s="35">
        <v>1</v>
      </c>
      <c r="B53" s="36" t="s">
        <v>319</v>
      </c>
      <c r="C53" s="54" t="s">
        <v>320</v>
      </c>
      <c r="D53" s="39"/>
      <c r="E53" s="17">
        <v>0.15</v>
      </c>
      <c r="F53" s="53" t="s">
        <v>321</v>
      </c>
      <c r="G53" s="38"/>
      <c r="H53" s="38"/>
      <c r="I53" s="39"/>
    </row>
    <row r="54" spans="1:9" ht="24" customHeight="1" x14ac:dyDescent="0.6">
      <c r="A54" s="35">
        <v>2</v>
      </c>
      <c r="B54" s="36" t="s">
        <v>319</v>
      </c>
      <c r="C54" s="54" t="s">
        <v>322</v>
      </c>
      <c r="D54" s="39"/>
      <c r="E54" s="17">
        <v>0.1</v>
      </c>
      <c r="F54" s="53" t="s">
        <v>323</v>
      </c>
      <c r="G54" s="38"/>
      <c r="H54" s="38"/>
      <c r="I54" s="39"/>
    </row>
    <row r="55" spans="1:9" ht="24" customHeight="1" x14ac:dyDescent="0.6">
      <c r="A55" s="35">
        <v>3</v>
      </c>
      <c r="B55" s="36" t="s">
        <v>319</v>
      </c>
      <c r="C55" s="54" t="s">
        <v>324</v>
      </c>
      <c r="D55" s="39"/>
      <c r="E55" s="17">
        <v>0.1</v>
      </c>
      <c r="F55" s="53" t="s">
        <v>325</v>
      </c>
      <c r="G55" s="38"/>
      <c r="H55" s="38"/>
      <c r="I55" s="39"/>
    </row>
    <row r="56" spans="1:9" ht="24" customHeight="1" x14ac:dyDescent="0.6">
      <c r="A56" s="35">
        <v>4</v>
      </c>
      <c r="B56" s="36" t="s">
        <v>326</v>
      </c>
      <c r="C56" s="54" t="s">
        <v>327</v>
      </c>
      <c r="D56" s="39"/>
      <c r="E56" s="17">
        <v>0.1</v>
      </c>
      <c r="F56" s="53" t="s">
        <v>328</v>
      </c>
      <c r="G56" s="38"/>
      <c r="H56" s="38"/>
      <c r="I56" s="39"/>
    </row>
    <row r="57" spans="1:9" ht="24" customHeight="1" x14ac:dyDescent="0.6">
      <c r="A57" s="35">
        <v>5</v>
      </c>
      <c r="B57" s="36" t="s">
        <v>326</v>
      </c>
      <c r="C57" s="54" t="s">
        <v>329</v>
      </c>
      <c r="D57" s="39"/>
      <c r="E57" s="17">
        <v>0.1</v>
      </c>
      <c r="F57" s="53" t="s">
        <v>330</v>
      </c>
      <c r="G57" s="38"/>
      <c r="H57" s="38"/>
      <c r="I57" s="39"/>
    </row>
    <row r="58" spans="1:9" ht="24" customHeight="1" x14ac:dyDescent="0.6">
      <c r="A58" s="35">
        <v>6</v>
      </c>
      <c r="B58" s="36" t="s">
        <v>326</v>
      </c>
      <c r="C58" s="54" t="s">
        <v>331</v>
      </c>
      <c r="D58" s="39"/>
      <c r="E58" s="17">
        <v>0.1</v>
      </c>
      <c r="F58" s="53" t="s">
        <v>332</v>
      </c>
      <c r="G58" s="38"/>
      <c r="H58" s="38"/>
      <c r="I58" s="39"/>
    </row>
    <row r="59" spans="1:9" ht="24" customHeight="1" x14ac:dyDescent="0.6">
      <c r="A59" s="35">
        <v>7</v>
      </c>
      <c r="B59" s="36" t="s">
        <v>333</v>
      </c>
      <c r="C59" s="54" t="s">
        <v>334</v>
      </c>
      <c r="D59" s="39"/>
      <c r="E59" s="17">
        <v>0.1</v>
      </c>
      <c r="F59" s="53" t="s">
        <v>335</v>
      </c>
      <c r="G59" s="38"/>
      <c r="H59" s="38"/>
      <c r="I59" s="39"/>
    </row>
    <row r="60" spans="1:9" ht="24" customHeight="1" x14ac:dyDescent="0.6">
      <c r="A60" s="35">
        <v>8</v>
      </c>
      <c r="B60" s="36" t="s">
        <v>333</v>
      </c>
      <c r="C60" s="54" t="s">
        <v>336</v>
      </c>
      <c r="D60" s="39"/>
      <c r="E60" s="17">
        <v>0.1</v>
      </c>
      <c r="F60" s="53" t="s">
        <v>337</v>
      </c>
      <c r="G60" s="38"/>
      <c r="H60" s="38"/>
      <c r="I60" s="39"/>
    </row>
    <row r="61" spans="1:9" ht="24" customHeight="1" x14ac:dyDescent="0.6">
      <c r="A61" s="35">
        <v>9</v>
      </c>
      <c r="B61" s="36" t="s">
        <v>338</v>
      </c>
      <c r="C61" s="54" t="s">
        <v>339</v>
      </c>
      <c r="D61" s="39"/>
      <c r="E61" s="17">
        <v>0.05</v>
      </c>
      <c r="F61" s="53" t="s">
        <v>340</v>
      </c>
      <c r="G61" s="38"/>
      <c r="H61" s="38"/>
      <c r="I61" s="39"/>
    </row>
    <row r="62" spans="1:9" ht="24" customHeight="1" x14ac:dyDescent="0.6">
      <c r="A62" s="35">
        <v>10</v>
      </c>
      <c r="B62" s="36" t="s">
        <v>338</v>
      </c>
      <c r="C62" s="54" t="s">
        <v>341</v>
      </c>
      <c r="D62" s="39"/>
      <c r="E62" s="17">
        <v>0.05</v>
      </c>
      <c r="F62" s="53" t="s">
        <v>342</v>
      </c>
      <c r="G62" s="38"/>
      <c r="H62" s="38"/>
      <c r="I62" s="39"/>
    </row>
    <row r="63" spans="1:9" ht="24" customHeight="1" x14ac:dyDescent="0.6">
      <c r="A63" s="35">
        <v>11</v>
      </c>
      <c r="B63" s="36" t="s">
        <v>338</v>
      </c>
      <c r="C63" s="54" t="s">
        <v>343</v>
      </c>
      <c r="D63" s="39"/>
      <c r="E63" s="17">
        <v>0.05</v>
      </c>
      <c r="F63" s="53" t="s">
        <v>344</v>
      </c>
      <c r="G63" s="38"/>
      <c r="H63" s="38"/>
      <c r="I63" s="39"/>
    </row>
    <row r="64" spans="1:9" x14ac:dyDescent="0.6">
      <c r="A64" s="58" t="s">
        <v>345</v>
      </c>
      <c r="B64" s="38"/>
      <c r="C64" s="38"/>
      <c r="D64" s="39"/>
      <c r="E64" s="18">
        <f>SUM(E53:E63)</f>
        <v>1</v>
      </c>
      <c r="F64" s="58" t="s">
        <v>346</v>
      </c>
      <c r="G64" s="38"/>
      <c r="H64" s="38"/>
      <c r="I64" s="39"/>
    </row>
  </sheetData>
  <mergeCells count="73">
    <mergeCell ref="A2:P2"/>
    <mergeCell ref="A1:P1"/>
    <mergeCell ref="K8:L8"/>
    <mergeCell ref="A13:I13"/>
    <mergeCell ref="C26:F26"/>
    <mergeCell ref="K4:P4"/>
    <mergeCell ref="M12:N12"/>
    <mergeCell ref="K14:L14"/>
    <mergeCell ref="M8:N8"/>
    <mergeCell ref="O12:P12"/>
    <mergeCell ref="O8:P8"/>
    <mergeCell ref="C6:H6"/>
    <mergeCell ref="O11:P11"/>
    <mergeCell ref="C5:H5"/>
    <mergeCell ref="G23:I23"/>
    <mergeCell ref="M14:N14"/>
    <mergeCell ref="O14:P14"/>
    <mergeCell ref="A4:I4"/>
    <mergeCell ref="C56:D56"/>
    <mergeCell ref="G25:I25"/>
    <mergeCell ref="C59:D59"/>
    <mergeCell ref="G16:I16"/>
    <mergeCell ref="A28:I28"/>
    <mergeCell ref="F55:I55"/>
    <mergeCell ref="F59:I59"/>
    <mergeCell ref="C52:D52"/>
    <mergeCell ref="A51:I51"/>
    <mergeCell ref="C57:D57"/>
    <mergeCell ref="G17:I17"/>
    <mergeCell ref="C63:D63"/>
    <mergeCell ref="F64:I64"/>
    <mergeCell ref="C55:D55"/>
    <mergeCell ref="A64:D64"/>
    <mergeCell ref="C53:D53"/>
    <mergeCell ref="F54:I54"/>
    <mergeCell ref="F63:I63"/>
    <mergeCell ref="C60:D60"/>
    <mergeCell ref="C61:D61"/>
    <mergeCell ref="F62:I62"/>
    <mergeCell ref="K5:L5"/>
    <mergeCell ref="M9:N9"/>
    <mergeCell ref="M5:N5"/>
    <mergeCell ref="O9:P9"/>
    <mergeCell ref="O15:P15"/>
    <mergeCell ref="K11:L11"/>
    <mergeCell ref="M11:N11"/>
    <mergeCell ref="O5:P5"/>
    <mergeCell ref="M15:N15"/>
    <mergeCell ref="K12:L12"/>
    <mergeCell ref="M6:N6"/>
    <mergeCell ref="K6:L6"/>
    <mergeCell ref="K15:L15"/>
    <mergeCell ref="O6:P6"/>
    <mergeCell ref="F52:I52"/>
    <mergeCell ref="K9:L9"/>
    <mergeCell ref="C58:D58"/>
    <mergeCell ref="G18:I18"/>
    <mergeCell ref="G15:I15"/>
    <mergeCell ref="G24:I24"/>
    <mergeCell ref="G14:I14"/>
    <mergeCell ref="C54:D54"/>
    <mergeCell ref="F53:I53"/>
    <mergeCell ref="F57:I57"/>
    <mergeCell ref="G20:I20"/>
    <mergeCell ref="G26:I26"/>
    <mergeCell ref="A22:I22"/>
    <mergeCell ref="F56:I56"/>
    <mergeCell ref="C62:D62"/>
    <mergeCell ref="G19:I19"/>
    <mergeCell ref="A37:I37"/>
    <mergeCell ref="F61:I61"/>
    <mergeCell ref="F58:I58"/>
    <mergeCell ref="F60:I60"/>
  </mergeCells>
  <phoneticPr fontId="16" type="noConversion"/>
  <conditionalFormatting sqref="E64">
    <cfRule type="cellIs" dxfId="81" priority="2" operator="notEqual">
      <formula>1</formula>
    </cfRule>
  </conditionalFormatting>
  <conditionalFormatting sqref="F15:F20">
    <cfRule type="cellIs" dxfId="80" priority="1" operator="notEqual">
      <formula>"✓ OK"</formula>
    </cfRule>
  </conditionalFormatting>
  <dataValidations count="2">
    <dataValidation type="list" sqref="B5" xr:uid="{00000000-0002-0000-0200-000000000000}">
      <formula1>"5점,100점"</formula1>
    </dataValidation>
    <dataValidation type="list" sqref="B6" xr:uid="{00000000-0002-0000-0200-000001000000}">
      <formula1>"절대평가,상대평가(강제분포)"</formula1>
    </dataValidation>
  </dataValidation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9"/>
  <sheetViews>
    <sheetView showGridLines="0" workbookViewId="0">
      <pane ySplit="3" topLeftCell="A4" activePane="bottomLeft" state="frozen"/>
      <selection pane="bottomLeft" activeCell="D23" sqref="D23"/>
    </sheetView>
  </sheetViews>
  <sheetFormatPr defaultRowHeight="16.899999999999999" x14ac:dyDescent="0.6"/>
  <cols>
    <col min="1" max="1" width="4.8125" bestFit="1" customWidth="1"/>
    <col min="2" max="2" width="22" customWidth="1"/>
    <col min="3" max="3" width="37.75" customWidth="1"/>
    <col min="4" max="4" width="9" customWidth="1"/>
    <col min="5" max="6" width="10" customWidth="1"/>
    <col min="7" max="11" width="9" customWidth="1"/>
    <col min="12" max="12" width="11" customWidth="1"/>
  </cols>
  <sheetData>
    <row r="1" spans="1:12" ht="28.05" customHeight="1" x14ac:dyDescent="0.6">
      <c r="A1" s="51" t="s">
        <v>347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</row>
    <row r="2" spans="1:12" ht="18" customHeight="1" x14ac:dyDescent="0.6">
      <c r="A2" s="48" t="s">
        <v>348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</row>
    <row r="4" spans="1:12" ht="22.05" customHeight="1" x14ac:dyDescent="0.6">
      <c r="A4" s="45" t="s">
        <v>349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</row>
    <row r="5" spans="1:12" x14ac:dyDescent="0.6">
      <c r="A5" s="2" t="s">
        <v>131</v>
      </c>
      <c r="B5" s="2" t="s">
        <v>300</v>
      </c>
      <c r="C5" s="2" t="s">
        <v>301</v>
      </c>
      <c r="D5" s="2" t="s">
        <v>302</v>
      </c>
      <c r="E5" s="2" t="s">
        <v>303</v>
      </c>
      <c r="F5" s="2" t="s">
        <v>350</v>
      </c>
      <c r="G5" s="2" t="s">
        <v>304</v>
      </c>
      <c r="H5" s="2" t="s">
        <v>305</v>
      </c>
      <c r="I5" s="2" t="s">
        <v>306</v>
      </c>
      <c r="J5" s="2" t="s">
        <v>307</v>
      </c>
      <c r="K5" s="2" t="s">
        <v>308</v>
      </c>
      <c r="L5" s="2" t="s">
        <v>351</v>
      </c>
    </row>
    <row r="6" spans="1:12" x14ac:dyDescent="0.6">
      <c r="A6" s="6">
        <v>1</v>
      </c>
      <c r="B6" s="22" t="str">
        <f>'02_의사결정·종합결과'!A39</f>
        <v>영업이익률</v>
      </c>
      <c r="C6" s="22" t="str">
        <f>'02_의사결정·종합결과'!B39</f>
        <v>영업이익 ÷ 매출액 × 100</v>
      </c>
      <c r="D6" s="18">
        <f>'02_의사결정·종합결과'!C39</f>
        <v>0.4</v>
      </c>
      <c r="E6" s="23">
        <f>'02_의사결정·종합결과'!D39</f>
        <v>0.12</v>
      </c>
      <c r="F6" s="20"/>
      <c r="G6" s="23">
        <f>'02_의사결정·종합결과'!E39</f>
        <v>0.15</v>
      </c>
      <c r="H6" s="23">
        <f>'02_의사결정·종합결과'!F39</f>
        <v>0.12</v>
      </c>
      <c r="I6" s="23">
        <f>'02_의사결정·종합결과'!G39</f>
        <v>0.1</v>
      </c>
      <c r="J6" s="23">
        <f>'02_의사결정·종합결과'!H39</f>
        <v>0.08</v>
      </c>
      <c r="K6" s="23">
        <f>'02_의사결정·종합결과'!I39</f>
        <v>0.06</v>
      </c>
      <c r="L6" s="15" t="str">
        <f>IF(F6="","",IF(F6&gt;=G6,"S",IF(F6&gt;=H6,"A",IF(F6&gt;=I6,"B",IF(F6&gt;=J6,"C","D")))))</f>
        <v/>
      </c>
    </row>
    <row r="7" spans="1:12" x14ac:dyDescent="0.6">
      <c r="A7" s="6">
        <v>2</v>
      </c>
      <c r="B7" s="22" t="str">
        <f>'02_의사결정·종합결과'!A40</f>
        <v>매출 성장률</v>
      </c>
      <c r="C7" s="22" t="str">
        <f>'02_의사결정·종합결과'!B40</f>
        <v>(금년도매출-전년도매출) ÷ 전년도매출 × 100</v>
      </c>
      <c r="D7" s="18">
        <f>'02_의사결정·종합결과'!C40</f>
        <v>0.35</v>
      </c>
      <c r="E7" s="23">
        <f>'02_의사결정·종합결과'!D40</f>
        <v>7.0000000000000007E-2</v>
      </c>
      <c r="F7" s="20"/>
      <c r="G7" s="23">
        <f>'02_의사결정·종합결과'!E40</f>
        <v>0.08</v>
      </c>
      <c r="H7" s="23">
        <f>'02_의사결정·종합결과'!F40</f>
        <v>7.0000000000000007E-2</v>
      </c>
      <c r="I7" s="23">
        <f>'02_의사결정·종합결과'!G40</f>
        <v>0.06</v>
      </c>
      <c r="J7" s="23">
        <f>'02_의사결정·종합결과'!H40</f>
        <v>0.05</v>
      </c>
      <c r="K7" s="23">
        <f>'02_의사결정·종합결과'!I40</f>
        <v>0.04</v>
      </c>
      <c r="L7" s="15" t="str">
        <f>IF(F7="","",IF(F7&gt;=G7,"S",IF(F7&gt;=H7,"A",IF(F7&gt;=I7,"B",IF(F7&gt;=J7,"C","D")))))</f>
        <v/>
      </c>
    </row>
    <row r="8" spans="1:12" x14ac:dyDescent="0.6">
      <c r="A8" s="6">
        <v>3</v>
      </c>
      <c r="B8" s="22" t="str">
        <f>'02_의사결정·종합결과'!A41</f>
        <v>프로젝트 납기·품질 준수율</v>
      </c>
      <c r="C8" s="22" t="str">
        <f>'02_의사결정·종합결과'!B41</f>
        <v>납기·품질 충족 프로젝트 ÷ 총 프로젝트 × 100</v>
      </c>
      <c r="D8" s="18">
        <f>'02_의사결정·종합결과'!C41</f>
        <v>0.25</v>
      </c>
      <c r="E8" s="23">
        <f>'02_의사결정·종합결과'!D41</f>
        <v>0.92</v>
      </c>
      <c r="F8" s="20"/>
      <c r="G8" s="23">
        <f>'02_의사결정·종합결과'!E41</f>
        <v>0.93</v>
      </c>
      <c r="H8" s="23">
        <f>'02_의사결정·종합결과'!F41</f>
        <v>0.92</v>
      </c>
      <c r="I8" s="23">
        <f>'02_의사결정·종합결과'!G41</f>
        <v>0.91</v>
      </c>
      <c r="J8" s="23">
        <f>'02_의사결정·종합결과'!H41</f>
        <v>0.9</v>
      </c>
      <c r="K8" s="23">
        <f>'02_의사결정·종합결과'!I41</f>
        <v>0.89</v>
      </c>
      <c r="L8" s="15" t="str">
        <f>IF(F8="","",IF(F8&gt;=G8,"S",IF(F8&gt;=H8,"A",IF(F8&gt;=I8,"B",IF(F8&gt;=J8,"C","D")))))</f>
        <v/>
      </c>
    </row>
    <row r="9" spans="1:12" x14ac:dyDescent="0.6">
      <c r="A9" s="58" t="s">
        <v>352</v>
      </c>
      <c r="B9" s="38"/>
      <c r="C9" s="38"/>
      <c r="D9" s="38"/>
      <c r="E9" s="39"/>
      <c r="F9" s="16" t="s">
        <v>353</v>
      </c>
      <c r="G9" s="24" t="str">
        <f>IF(COUNTBLANK(L6:L8)&gt;0,"",D6*(IF(L6="S",5,IF(L6="A",4,IF(L6="B",3,IF(L6="C",2,IF(L6="D",1,0))))))+D7*(IF(L7="S",5,IF(L7="A",4,IF(L7="B",3,IF(L7="C",2,IF(L7="D",1,0))))))+D8*(IF(L8="S",5,IF(L8="A",4,IF(L8="B",3,IF(L8="C",2,IF(L8="D",1,0)))))))</f>
        <v/>
      </c>
      <c r="H9" s="16" t="s">
        <v>354</v>
      </c>
      <c r="I9" s="15" t="str">
        <f>IF(G9="","",IF(G9&gt;=4.5,"S",IF(G9&gt;=3.5,"A",IF(G9&gt;=2.5,"B",IF(G9&gt;=1.5,"C","D")))))</f>
        <v/>
      </c>
    </row>
    <row r="11" spans="1:12" ht="22.05" customHeight="1" x14ac:dyDescent="0.6">
      <c r="A11" s="45" t="s">
        <v>355</v>
      </c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3"/>
    </row>
    <row r="12" spans="1:12" x14ac:dyDescent="0.6">
      <c r="A12" s="2" t="s">
        <v>131</v>
      </c>
      <c r="B12" s="2" t="s">
        <v>300</v>
      </c>
      <c r="C12" s="2" t="s">
        <v>301</v>
      </c>
      <c r="D12" s="2" t="s">
        <v>302</v>
      </c>
      <c r="E12" s="2" t="s">
        <v>303</v>
      </c>
      <c r="F12" s="2" t="s">
        <v>350</v>
      </c>
      <c r="G12" s="2" t="s">
        <v>304</v>
      </c>
      <c r="H12" s="2" t="s">
        <v>305</v>
      </c>
      <c r="I12" s="2" t="s">
        <v>306</v>
      </c>
      <c r="J12" s="2" t="s">
        <v>307</v>
      </c>
      <c r="K12" s="2" t="s">
        <v>308</v>
      </c>
      <c r="L12" s="2" t="s">
        <v>351</v>
      </c>
    </row>
    <row r="13" spans="1:12" x14ac:dyDescent="0.6">
      <c r="A13" s="6">
        <v>1</v>
      </c>
      <c r="B13" s="22" t="str">
        <f>'02_의사결정·종합결과'!A39</f>
        <v>영업이익률</v>
      </c>
      <c r="C13" s="22" t="str">
        <f>'02_의사결정·종합결과'!B39</f>
        <v>영업이익 ÷ 매출액 × 100</v>
      </c>
      <c r="D13" s="18">
        <f>'02_의사결정·종합결과'!C39</f>
        <v>0.4</v>
      </c>
      <c r="E13" s="23">
        <f>'02_의사결정·종합결과'!D39</f>
        <v>0.12</v>
      </c>
      <c r="F13" s="20"/>
      <c r="G13" s="23">
        <f>'02_의사결정·종합결과'!E39</f>
        <v>0.15</v>
      </c>
      <c r="H13" s="23">
        <f>'02_의사결정·종합결과'!F39</f>
        <v>0.12</v>
      </c>
      <c r="I13" s="23">
        <f>'02_의사결정·종합결과'!G39</f>
        <v>0.1</v>
      </c>
      <c r="J13" s="23">
        <f>'02_의사결정·종합결과'!H39</f>
        <v>0.08</v>
      </c>
      <c r="K13" s="23">
        <f>'02_의사결정·종합결과'!I39</f>
        <v>0.06</v>
      </c>
      <c r="L13" s="15" t="str">
        <f>IF(F13="","",IF(F13&gt;=G13,"S",IF(F13&gt;=H13,"A",IF(F13&gt;=I13,"B",IF(F13&gt;=J13,"C","D")))))</f>
        <v/>
      </c>
    </row>
    <row r="14" spans="1:12" x14ac:dyDescent="0.6">
      <c r="A14" s="6">
        <v>2</v>
      </c>
      <c r="B14" s="22" t="str">
        <f>'02_의사결정·종합결과'!A40</f>
        <v>매출 성장률</v>
      </c>
      <c r="C14" s="22" t="str">
        <f>'02_의사결정·종합결과'!B40</f>
        <v>(금년도매출-전년도매출) ÷ 전년도매출 × 100</v>
      </c>
      <c r="D14" s="18">
        <f>'02_의사결정·종합결과'!C40</f>
        <v>0.35</v>
      </c>
      <c r="E14" s="23">
        <f>'02_의사결정·종합결과'!D40</f>
        <v>7.0000000000000007E-2</v>
      </c>
      <c r="F14" s="20"/>
      <c r="G14" s="23">
        <f>'02_의사결정·종합결과'!E40</f>
        <v>0.08</v>
      </c>
      <c r="H14" s="23">
        <f>'02_의사결정·종합결과'!F40</f>
        <v>7.0000000000000007E-2</v>
      </c>
      <c r="I14" s="23">
        <f>'02_의사결정·종합결과'!G40</f>
        <v>0.06</v>
      </c>
      <c r="J14" s="23">
        <f>'02_의사결정·종합결과'!H40</f>
        <v>0.05</v>
      </c>
      <c r="K14" s="23">
        <f>'02_의사결정·종합결과'!I40</f>
        <v>0.04</v>
      </c>
      <c r="L14" s="15" t="str">
        <f>IF(F14="","",IF(F14&gt;=G14,"S",IF(F14&gt;=H14,"A",IF(F14&gt;=I14,"B",IF(F14&gt;=J14,"C","D")))))</f>
        <v/>
      </c>
    </row>
    <row r="15" spans="1:12" x14ac:dyDescent="0.6">
      <c r="A15" s="6">
        <v>3</v>
      </c>
      <c r="B15" s="22" t="str">
        <f>'02_의사결정·종합결과'!A41</f>
        <v>프로젝트 납기·품질 준수율</v>
      </c>
      <c r="C15" s="22" t="str">
        <f>'02_의사결정·종합결과'!B41</f>
        <v>납기·품질 충족 프로젝트 ÷ 총 프로젝트 × 100</v>
      </c>
      <c r="D15" s="18">
        <f>'02_의사결정·종합결과'!C41</f>
        <v>0.25</v>
      </c>
      <c r="E15" s="23">
        <f>'02_의사결정·종합결과'!D41</f>
        <v>0.92</v>
      </c>
      <c r="F15" s="20"/>
      <c r="G15" s="23">
        <f>'02_의사결정·종합결과'!E41</f>
        <v>0.93</v>
      </c>
      <c r="H15" s="23">
        <f>'02_의사결정·종합결과'!F41</f>
        <v>0.92</v>
      </c>
      <c r="I15" s="23">
        <f>'02_의사결정·종합결과'!G41</f>
        <v>0.91</v>
      </c>
      <c r="J15" s="23">
        <f>'02_의사결정·종합결과'!H41</f>
        <v>0.9</v>
      </c>
      <c r="K15" s="23">
        <f>'02_의사결정·종합결과'!I41</f>
        <v>0.89</v>
      </c>
      <c r="L15" s="15" t="str">
        <f>IF(F15="","",IF(F15&gt;=G15,"S",IF(F15&gt;=H15,"A",IF(F15&gt;=I15,"B",IF(F15&gt;=J15,"C","D")))))</f>
        <v/>
      </c>
    </row>
    <row r="16" spans="1:12" x14ac:dyDescent="0.6">
      <c r="A16" s="58" t="s">
        <v>356</v>
      </c>
      <c r="B16" s="38"/>
      <c r="C16" s="38"/>
      <c r="D16" s="38"/>
      <c r="E16" s="39"/>
      <c r="F16" s="16" t="s">
        <v>353</v>
      </c>
      <c r="G16" s="24" t="str">
        <f>IF(COUNTBLANK(L13:L15)&gt;0,"",D13*(IF(L13="S",5,IF(L13="A",4,IF(L13="B",3,IF(L13="C",2,IF(L13="D",1,0))))))+D14*(IF(L14="S",5,IF(L14="A",4,IF(L14="B",3,IF(L14="C",2,IF(L14="D",1,0))))))+D15*(IF(L15="S",5,IF(L15="A",4,IF(L15="B",3,IF(L15="C",2,IF(L15="D",1,0)))))))</f>
        <v/>
      </c>
      <c r="H16" s="16" t="s">
        <v>354</v>
      </c>
      <c r="I16" s="15" t="str">
        <f>IF(G16="","",IF(G16&gt;=4.5,"S",IF(G16&gt;=3.5,"A",IF(G16&gt;=2.5,"B",IF(G16&gt;=1.5,"C","D")))))</f>
        <v/>
      </c>
    </row>
    <row r="18" spans="1:12" ht="22.05" customHeight="1" x14ac:dyDescent="0.6">
      <c r="A18" s="45" t="s">
        <v>357</v>
      </c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</row>
    <row r="19" spans="1:12" ht="31.5" x14ac:dyDescent="0.6">
      <c r="B19" s="16" t="s">
        <v>255</v>
      </c>
      <c r="C19" s="17">
        <v>0.5</v>
      </c>
      <c r="D19" s="16" t="s">
        <v>256</v>
      </c>
      <c r="E19" s="18">
        <f>1-C19</f>
        <v>0.5</v>
      </c>
      <c r="F19" s="16" t="s">
        <v>358</v>
      </c>
      <c r="G19" s="24" t="str">
        <f>IF(OR(G9="",G16=""),"",G9*C19+G16*E19)</f>
        <v/>
      </c>
      <c r="H19" s="16" t="s">
        <v>359</v>
      </c>
      <c r="I19" s="15" t="str">
        <f>IF(G19="","",IF(G19&gt;=4.5,"S",IF(G19&gt;=3.5,"A",IF(G19&gt;=2.5,"B",IF(G19&gt;=1.5,"C","D")))))</f>
        <v/>
      </c>
    </row>
  </sheetData>
  <mergeCells count="7">
    <mergeCell ref="A2:L2"/>
    <mergeCell ref="A16:E16"/>
    <mergeCell ref="A11:L11"/>
    <mergeCell ref="A1:L1"/>
    <mergeCell ref="A18:L18"/>
    <mergeCell ref="A9:E9"/>
    <mergeCell ref="A4:L4"/>
  </mergeCells>
  <phoneticPr fontId="16" type="noConversion"/>
  <conditionalFormatting sqref="I6:I19">
    <cfRule type="cellIs" dxfId="79" priority="5" operator="equal">
      <formula>"S"</formula>
    </cfRule>
    <cfRule type="cellIs" dxfId="78" priority="6" operator="equal">
      <formula>"A"</formula>
    </cfRule>
    <cfRule type="cellIs" dxfId="77" priority="7" operator="equal">
      <formula>"C"</formula>
    </cfRule>
    <cfRule type="cellIs" dxfId="76" priority="8" operator="equal">
      <formula>"D"</formula>
    </cfRule>
  </conditionalFormatting>
  <conditionalFormatting sqref="L6:L19">
    <cfRule type="cellIs" dxfId="75" priority="1" operator="equal">
      <formula>"S"</formula>
    </cfRule>
    <cfRule type="cellIs" dxfId="74" priority="2" operator="equal">
      <formula>"A"</formula>
    </cfRule>
    <cfRule type="cellIs" dxfId="73" priority="3" operator="equal">
      <formula>"C"</formula>
    </cfRule>
    <cfRule type="cellIs" dxfId="72" priority="4" operator="equal">
      <formula>"D"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84"/>
  <sheetViews>
    <sheetView showGridLines="0" workbookViewId="0">
      <pane xSplit="3" ySplit="12" topLeftCell="D13" activePane="bottomRight" state="frozen"/>
      <selection pane="topRight"/>
      <selection pane="bottomLeft"/>
      <selection pane="bottomRight" activeCell="G12" sqref="G12"/>
    </sheetView>
  </sheetViews>
  <sheetFormatPr defaultRowHeight="16.899999999999999" x14ac:dyDescent="0.6"/>
  <cols>
    <col min="1" max="1" width="8.6875" customWidth="1"/>
    <col min="2" max="3" width="11" customWidth="1"/>
    <col min="4" max="4" width="14" customWidth="1"/>
    <col min="5" max="5" width="10" customWidth="1"/>
    <col min="6" max="6" width="14" customWidth="1"/>
    <col min="7" max="7" width="32" customWidth="1"/>
    <col min="8" max="12" width="9" customWidth="1"/>
    <col min="13" max="14" width="10" customWidth="1"/>
    <col min="15" max="16" width="9" customWidth="1"/>
    <col min="17" max="17" width="16" customWidth="1"/>
    <col min="18" max="19" width="14" customWidth="1"/>
  </cols>
  <sheetData>
    <row r="1" spans="1:19" ht="28.05" customHeight="1" x14ac:dyDescent="0.6">
      <c r="A1" s="51" t="s">
        <v>360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</row>
    <row r="2" spans="1:19" ht="18" customHeight="1" x14ac:dyDescent="0.6">
      <c r="A2" s="48" t="s">
        <v>361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</row>
    <row r="4" spans="1:19" ht="22.05" customHeight="1" x14ac:dyDescent="0.6">
      <c r="A4" s="45" t="s">
        <v>362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</row>
    <row r="5" spans="1:19" ht="31.5" x14ac:dyDescent="0.6">
      <c r="A5" s="6" t="s">
        <v>363</v>
      </c>
      <c r="B5" s="37" t="s">
        <v>364</v>
      </c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9"/>
    </row>
    <row r="6" spans="1:19" ht="31.5" x14ac:dyDescent="0.6">
      <c r="A6" s="6" t="s">
        <v>365</v>
      </c>
      <c r="B6" s="37" t="s">
        <v>366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9"/>
    </row>
    <row r="7" spans="1:19" ht="31.5" x14ac:dyDescent="0.6">
      <c r="A7" s="6" t="s">
        <v>367</v>
      </c>
      <c r="B7" s="37" t="s">
        <v>368</v>
      </c>
      <c r="C7" s="38"/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9"/>
    </row>
    <row r="8" spans="1:19" ht="31.5" x14ac:dyDescent="0.6">
      <c r="A8" s="6" t="s">
        <v>369</v>
      </c>
      <c r="B8" s="37" t="s">
        <v>370</v>
      </c>
      <c r="C8" s="38"/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9"/>
    </row>
    <row r="9" spans="1:19" ht="31.5" x14ac:dyDescent="0.6">
      <c r="A9" s="6" t="s">
        <v>371</v>
      </c>
      <c r="B9" s="37" t="s">
        <v>372</v>
      </c>
      <c r="C9" s="38"/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9"/>
    </row>
    <row r="11" spans="1:19" ht="22.05" customHeight="1" x14ac:dyDescent="0.6">
      <c r="A11" s="45" t="s">
        <v>373</v>
      </c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</row>
    <row r="12" spans="1:19" ht="33.75" x14ac:dyDescent="0.6">
      <c r="A12" s="2" t="s">
        <v>131</v>
      </c>
      <c r="B12" s="2" t="s">
        <v>132</v>
      </c>
      <c r="C12" s="2" t="s">
        <v>133</v>
      </c>
      <c r="D12" s="2" t="s">
        <v>135</v>
      </c>
      <c r="E12" s="2" t="s">
        <v>105</v>
      </c>
      <c r="F12" s="2" t="s">
        <v>374</v>
      </c>
      <c r="G12" s="2" t="s">
        <v>375</v>
      </c>
      <c r="H12" s="2" t="s">
        <v>376</v>
      </c>
      <c r="I12" s="2" t="s">
        <v>377</v>
      </c>
      <c r="J12" s="2" t="s">
        <v>378</v>
      </c>
      <c r="K12" s="2" t="s">
        <v>379</v>
      </c>
      <c r="L12" s="2" t="s">
        <v>380</v>
      </c>
      <c r="M12" s="2" t="s">
        <v>381</v>
      </c>
      <c r="N12" s="2" t="s">
        <v>382</v>
      </c>
      <c r="O12" s="2" t="s">
        <v>383</v>
      </c>
      <c r="P12" s="2" t="s">
        <v>384</v>
      </c>
      <c r="Q12" s="42" t="s">
        <v>385</v>
      </c>
      <c r="R12" s="38"/>
      <c r="S12" s="39"/>
    </row>
    <row r="13" spans="1:19" ht="28.05" customHeight="1" x14ac:dyDescent="0.6">
      <c r="A13" s="15">
        <f>'01_인적정보'!A5</f>
        <v>1</v>
      </c>
      <c r="B13" s="15" t="str">
        <f>'01_인적정보'!B5</f>
        <v>BSS-001</v>
      </c>
      <c r="C13" s="15" t="str">
        <f>'01_인적정보'!C5</f>
        <v>이화형</v>
      </c>
      <c r="D13" s="15" t="str">
        <f>'01_인적정보'!E5</f>
        <v>프로젝트영업</v>
      </c>
      <c r="E13" s="15" t="str">
        <f>'01_인적정보'!H5</f>
        <v>G6</v>
      </c>
      <c r="F13" s="15" t="str">
        <f>IFERROR(VLOOKUP('01_인적정보'!M5,'13_직무역할DB'!$A$5:$L$70,4,FALSE),"")</f>
        <v>사업·조직 관리</v>
      </c>
      <c r="G13" s="15" t="str">
        <f>IFERROR(VLOOKUP('01_인적정보'!M5,'13_직무역할DB'!$A$5:$L$70,5,FALSE),"")</f>
        <v>회사의 영업전략 수립과 목표 달성을 총괄하며, 주요 고객·파트너십 관리 및 사업 기회를 확대하는 역할.</v>
      </c>
      <c r="H13" s="15">
        <f>'07_결과취합'!G6</f>
        <v>0</v>
      </c>
      <c r="I13" s="15">
        <f>'07_결과취합'!H6</f>
        <v>0</v>
      </c>
      <c r="J13" s="15">
        <f>'07_결과취합'!I6</f>
        <v>0</v>
      </c>
      <c r="K13" s="15">
        <f>'07_결과취합'!J6</f>
        <v>0</v>
      </c>
      <c r="L13" s="15">
        <f>'07_결과취합'!K6</f>
        <v>0</v>
      </c>
      <c r="M13" s="15">
        <f>'07_결과취합'!L6</f>
        <v>0</v>
      </c>
      <c r="N13" s="15">
        <f>'07_결과취합'!M6</f>
        <v>0</v>
      </c>
      <c r="O13" s="15">
        <f t="shared" ref="O13:O46" si="0">IF(N13&lt;&gt;"",N13,M13)</f>
        <v>0</v>
      </c>
      <c r="P13" s="24">
        <f t="shared" ref="P13:P46" si="1">IF(O13="","",IF(O13="S",5,IF(O13="A",4,IF(O13="B",3,IF(O13="C",2,IF(O13="D",1,0))))))</f>
        <v>0</v>
      </c>
      <c r="Q13" s="62"/>
      <c r="R13" s="38"/>
      <c r="S13" s="39"/>
    </row>
    <row r="14" spans="1:19" ht="28.05" customHeight="1" x14ac:dyDescent="0.6">
      <c r="A14" s="15">
        <f>'01_인적정보'!A6</f>
        <v>2</v>
      </c>
      <c r="B14" s="15" t="str">
        <f>'01_인적정보'!B6</f>
        <v>BSS-002</v>
      </c>
      <c r="C14" s="15" t="str">
        <f>'01_인적정보'!C6</f>
        <v>강전용</v>
      </c>
      <c r="D14" s="15" t="str">
        <f>'01_인적정보'!E6</f>
        <v>연구개발(R&amp;D)</v>
      </c>
      <c r="E14" s="15" t="str">
        <f>'01_인적정보'!H6</f>
        <v>G6</v>
      </c>
      <c r="F14" s="15" t="str">
        <f>IFERROR(VLOOKUP('01_인적정보'!M6,'13_직무역할DB'!$A$5:$L$70,4,FALSE),"")</f>
        <v>사업·조직 관리</v>
      </c>
      <c r="G14" s="15" t="str">
        <f>IFERROR(VLOOKUP('01_인적정보'!M6,'13_직무역할DB'!$A$5:$L$70,5,FALSE),"")</f>
        <v>전사 기술 로드맵과 제품 포트폴리오 전략을 총괄하며 핵심 기술 투자·외부 협력·IP 전략을 통해 사업 경쟁력을 창출하는 역할.</v>
      </c>
      <c r="H14" s="15">
        <f>'07_결과취합'!G7</f>
        <v>0</v>
      </c>
      <c r="I14" s="15">
        <f>'07_결과취합'!H7</f>
        <v>0</v>
      </c>
      <c r="J14" s="15">
        <f>'07_결과취합'!I7</f>
        <v>0</v>
      </c>
      <c r="K14" s="15">
        <f>'07_결과취합'!J7</f>
        <v>0</v>
      </c>
      <c r="L14" s="15">
        <f>'07_결과취합'!K7</f>
        <v>0</v>
      </c>
      <c r="M14" s="15">
        <f>'07_결과취합'!L7</f>
        <v>0</v>
      </c>
      <c r="N14" s="15">
        <f>'07_결과취합'!M7</f>
        <v>0</v>
      </c>
      <c r="O14" s="15">
        <f t="shared" si="0"/>
        <v>0</v>
      </c>
      <c r="P14" s="24">
        <f t="shared" si="1"/>
        <v>0</v>
      </c>
      <c r="Q14" s="62"/>
      <c r="R14" s="38"/>
      <c r="S14" s="39"/>
    </row>
    <row r="15" spans="1:19" ht="28.05" customHeight="1" x14ac:dyDescent="0.6">
      <c r="A15" s="15">
        <f>'01_인적정보'!A7</f>
        <v>3</v>
      </c>
      <c r="B15" s="15" t="str">
        <f>'01_인적정보'!B7</f>
        <v>BSS-003</v>
      </c>
      <c r="C15" s="15" t="str">
        <f>'01_인적정보'!C7</f>
        <v>김현민</v>
      </c>
      <c r="D15" s="15" t="str">
        <f>'01_인적정보'!E7</f>
        <v>BIM컨설팅</v>
      </c>
      <c r="E15" s="15" t="str">
        <f>'01_인적정보'!H7</f>
        <v>G6</v>
      </c>
      <c r="F15" s="15" t="str">
        <f>IFERROR(VLOOKUP('01_인적정보'!M7,'13_직무역할DB'!$A$5:$L$70,4,FALSE),"")</f>
        <v>사업·조직 관리</v>
      </c>
      <c r="G15" s="15" t="str">
        <f>IFERROR(VLOOKUP('01_인적정보'!M7,'13_직무역할DB'!$A$5:$L$70,5,FALSE),"")</f>
        <v>BIM 컨설팅 전략과 서비스 체계를 총괄하며 대외 협력과 사업 확장을 책임지는 역할.</v>
      </c>
      <c r="H15" s="15">
        <f>'07_결과취합'!G8</f>
        <v>0</v>
      </c>
      <c r="I15" s="15">
        <f>'07_결과취합'!H8</f>
        <v>0</v>
      </c>
      <c r="J15" s="15">
        <f>'07_결과취합'!I8</f>
        <v>0</v>
      </c>
      <c r="K15" s="15">
        <f>'07_결과취합'!J8</f>
        <v>0</v>
      </c>
      <c r="L15" s="15">
        <f>'07_결과취합'!K8</f>
        <v>0</v>
      </c>
      <c r="M15" s="15">
        <f>'07_결과취합'!L8</f>
        <v>0</v>
      </c>
      <c r="N15" s="15">
        <f>'07_결과취합'!M8</f>
        <v>0</v>
      </c>
      <c r="O15" s="15">
        <f t="shared" si="0"/>
        <v>0</v>
      </c>
      <c r="P15" s="24">
        <f t="shared" si="1"/>
        <v>0</v>
      </c>
      <c r="Q15" s="62"/>
      <c r="R15" s="38"/>
      <c r="S15" s="39"/>
    </row>
    <row r="16" spans="1:19" ht="28.05" customHeight="1" x14ac:dyDescent="0.6">
      <c r="A16" s="15">
        <f>'01_인적정보'!A8</f>
        <v>4</v>
      </c>
      <c r="B16" s="15" t="str">
        <f>'01_인적정보'!B8</f>
        <v>BSS-004</v>
      </c>
      <c r="C16" s="15" t="str">
        <f>'01_인적정보'!C8</f>
        <v>이일곤</v>
      </c>
      <c r="D16" s="15" t="str">
        <f>'01_인적정보'!E8</f>
        <v>경영전략기획</v>
      </c>
      <c r="E16" s="15" t="str">
        <f>'01_인적정보'!H8</f>
        <v>G6</v>
      </c>
      <c r="F16" s="15" t="str">
        <f>IFERROR(VLOOKUP('01_인적정보'!M8,'13_직무역할DB'!$A$5:$L$70,4,FALSE),"")</f>
        <v>사업·조직 관리</v>
      </c>
      <c r="G16" s="15" t="str">
        <f>IFERROR(VLOOKUP('01_인적정보'!M8,'13_직무역할DB'!$A$5:$L$70,5,FALSE),"")</f>
        <v>회사의 비전과 중장기 전략을 총괄하며, 경영·인사·재무·마케팅 등 핵심 기능을 통합 관리하고, 전사 의사결정·대외 협력·리스크 관리를 주도함.</v>
      </c>
      <c r="H16" s="15">
        <f>'07_결과취합'!G9</f>
        <v>0</v>
      </c>
      <c r="I16" s="15">
        <f>'07_결과취합'!H9</f>
        <v>0</v>
      </c>
      <c r="J16" s="15">
        <f>'07_결과취합'!I9</f>
        <v>0</v>
      </c>
      <c r="K16" s="15">
        <f>'07_결과취합'!J9</f>
        <v>0</v>
      </c>
      <c r="L16" s="15">
        <f>'07_결과취합'!K9</f>
        <v>0</v>
      </c>
      <c r="M16" s="15">
        <f>'07_결과취합'!L9</f>
        <v>0</v>
      </c>
      <c r="N16" s="15">
        <f>'07_결과취합'!M9</f>
        <v>0</v>
      </c>
      <c r="O16" s="15">
        <f t="shared" si="0"/>
        <v>0</v>
      </c>
      <c r="P16" s="24">
        <f t="shared" si="1"/>
        <v>0</v>
      </c>
      <c r="Q16" s="62"/>
      <c r="R16" s="38"/>
      <c r="S16" s="39"/>
    </row>
    <row r="17" spans="1:19" ht="28.05" customHeight="1" x14ac:dyDescent="0.6">
      <c r="A17" s="15">
        <f>'01_인적정보'!A9</f>
        <v>5</v>
      </c>
      <c r="B17" s="15" t="str">
        <f>'01_인적정보'!B9</f>
        <v>BSS-005</v>
      </c>
      <c r="C17" s="15" t="str">
        <f>'01_인적정보'!C9</f>
        <v>송헌영</v>
      </c>
      <c r="D17" s="15" t="str">
        <f>'01_인적정보'!E9</f>
        <v>경영전략기획</v>
      </c>
      <c r="E17" s="15" t="str">
        <f>'01_인적정보'!H9</f>
        <v>G6</v>
      </c>
      <c r="F17" s="15" t="str">
        <f>IFERROR(VLOOKUP('01_인적정보'!M9,'13_직무역할DB'!$A$5:$L$70,4,FALSE),"")</f>
        <v>사업·조직 관리</v>
      </c>
      <c r="G17" s="15" t="str">
        <f>IFERROR(VLOOKUP('01_인적정보'!M9,'13_직무역할DB'!$A$5:$L$70,5,FALSE),"")</f>
        <v>회사의 비전과 중장기 전략을 총괄하며, 경영·인사·재무·마케팅 등 핵심 기능을 통합 관리하고, 전사 의사결정·대외 협력·리스크 관리를 주도함.</v>
      </c>
      <c r="H17" s="15">
        <f>'07_결과취합'!G10</f>
        <v>0</v>
      </c>
      <c r="I17" s="15">
        <f>'07_결과취합'!H10</f>
        <v>0</v>
      </c>
      <c r="J17" s="15">
        <f>'07_결과취합'!I10</f>
        <v>0</v>
      </c>
      <c r="K17" s="15">
        <f>'07_결과취합'!J10</f>
        <v>0</v>
      </c>
      <c r="L17" s="15">
        <f>'07_결과취합'!K10</f>
        <v>0</v>
      </c>
      <c r="M17" s="15">
        <f>'07_결과취합'!L10</f>
        <v>0</v>
      </c>
      <c r="N17" s="15">
        <f>'07_결과취합'!M10</f>
        <v>0</v>
      </c>
      <c r="O17" s="15">
        <f t="shared" si="0"/>
        <v>0</v>
      </c>
      <c r="P17" s="24">
        <f t="shared" si="1"/>
        <v>0</v>
      </c>
      <c r="Q17" s="62"/>
      <c r="R17" s="38"/>
      <c r="S17" s="39"/>
    </row>
    <row r="18" spans="1:19" ht="28.05" customHeight="1" x14ac:dyDescent="0.6">
      <c r="A18" s="15">
        <f>'01_인적정보'!A10</f>
        <v>6</v>
      </c>
      <c r="B18" s="15" t="str">
        <f>'01_인적정보'!B10</f>
        <v>BSS-006</v>
      </c>
      <c r="C18" s="15" t="str">
        <f>'01_인적정보'!C10</f>
        <v>이재용</v>
      </c>
      <c r="D18" s="15" t="str">
        <f>'01_인적정보'!E10</f>
        <v>경영전략기획</v>
      </c>
      <c r="E18" s="15" t="str">
        <f>'01_인적정보'!H10</f>
        <v>G6</v>
      </c>
      <c r="F18" s="15" t="str">
        <f>IFERROR(VLOOKUP('01_인적정보'!M10,'13_직무역할DB'!$A$5:$L$70,4,FALSE),"")</f>
        <v>사업·조직 관리</v>
      </c>
      <c r="G18" s="15" t="str">
        <f>IFERROR(VLOOKUP('01_인적정보'!M10,'13_직무역할DB'!$A$5:$L$70,5,FALSE),"")</f>
        <v>회사의 비전과 중장기 전략을 총괄하며, 경영·인사·재무·마케팅 등 핵심 기능을 통합 관리하고, 전사 의사결정·대외 협력·리스크 관리를 주도함.</v>
      </c>
      <c r="H18" s="15">
        <f>'07_결과취합'!G11</f>
        <v>0</v>
      </c>
      <c r="I18" s="15">
        <f>'07_결과취합'!H11</f>
        <v>0</v>
      </c>
      <c r="J18" s="15">
        <f>'07_결과취합'!I11</f>
        <v>0</v>
      </c>
      <c r="K18" s="15">
        <f>'07_결과취합'!J11</f>
        <v>0</v>
      </c>
      <c r="L18" s="15">
        <f>'07_결과취합'!K11</f>
        <v>0</v>
      </c>
      <c r="M18" s="15">
        <f>'07_결과취합'!L11</f>
        <v>0</v>
      </c>
      <c r="N18" s="15">
        <f>'07_결과취합'!M11</f>
        <v>0</v>
      </c>
      <c r="O18" s="15">
        <f t="shared" si="0"/>
        <v>0</v>
      </c>
      <c r="P18" s="24">
        <f t="shared" si="1"/>
        <v>0</v>
      </c>
      <c r="Q18" s="62"/>
      <c r="R18" s="38"/>
      <c r="S18" s="39"/>
    </row>
    <row r="19" spans="1:19" ht="28.05" customHeight="1" x14ac:dyDescent="0.6">
      <c r="A19" s="15">
        <f>'01_인적정보'!A11</f>
        <v>7</v>
      </c>
      <c r="B19" s="15" t="str">
        <f>'01_인적정보'!B11</f>
        <v>BSS-007</v>
      </c>
      <c r="C19" s="15" t="str">
        <f>'01_인적정보'!C11</f>
        <v>이진행</v>
      </c>
      <c r="D19" s="15" t="str">
        <f>'01_인적정보'!E11</f>
        <v>교육·기술지원</v>
      </c>
      <c r="E19" s="15" t="str">
        <f>'01_인적정보'!H11</f>
        <v>G5</v>
      </c>
      <c r="F19" s="15" t="str">
        <f>IFERROR(VLOOKUP('01_인적정보'!M11,'13_직무역할DB'!$A$5:$L$70,4,FALSE),"")</f>
        <v>직무 관리(부서장)</v>
      </c>
      <c r="G19" s="15" t="str">
        <f>IFERROR(VLOOKUP('01_인적정보'!M11,'13_직무역할DB'!$A$5:$L$70,5,FALSE),"")</f>
        <v>교육 조직의 목표·예산·인력을 관리하고 과정 기획·운영 품질을 총괄하며 대외 인증·평가 대응을 주도하는 역할.</v>
      </c>
      <c r="H19" s="15">
        <f>'07_결과취합'!G12</f>
        <v>0</v>
      </c>
      <c r="I19" s="15">
        <f>'07_결과취합'!H12</f>
        <v>0</v>
      </c>
      <c r="J19" s="15">
        <f>'07_결과취합'!I12</f>
        <v>0</v>
      </c>
      <c r="K19" s="15">
        <f>'07_결과취합'!J12</f>
        <v>0</v>
      </c>
      <c r="L19" s="15">
        <f>'07_결과취합'!K12</f>
        <v>0</v>
      </c>
      <c r="M19" s="15">
        <f>'07_결과취합'!L12</f>
        <v>0</v>
      </c>
      <c r="N19" s="15">
        <f>'07_결과취합'!M12</f>
        <v>0</v>
      </c>
      <c r="O19" s="15">
        <f t="shared" si="0"/>
        <v>0</v>
      </c>
      <c r="P19" s="24">
        <f t="shared" si="1"/>
        <v>0</v>
      </c>
      <c r="Q19" s="62"/>
      <c r="R19" s="38"/>
      <c r="S19" s="39"/>
    </row>
    <row r="20" spans="1:19" ht="28.05" customHeight="1" x14ac:dyDescent="0.6">
      <c r="A20" s="15">
        <f>'01_인적정보'!A12</f>
        <v>8</v>
      </c>
      <c r="B20" s="15" t="str">
        <f>'01_인적정보'!B12</f>
        <v>BSS-008</v>
      </c>
      <c r="C20" s="15" t="str">
        <f>'01_인적정보'!C12</f>
        <v>김민수</v>
      </c>
      <c r="D20" s="15" t="str">
        <f>'01_인적정보'!E12</f>
        <v>교육·기술지원</v>
      </c>
      <c r="E20" s="15" t="str">
        <f>'01_인적정보'!H12</f>
        <v>G5</v>
      </c>
      <c r="F20" s="15" t="str">
        <f>IFERROR(VLOOKUP('01_인적정보'!M12,'13_직무역할DB'!$A$5:$L$70,4,FALSE),"")</f>
        <v>직무 관리(부서장)</v>
      </c>
      <c r="G20" s="15" t="str">
        <f>IFERROR(VLOOKUP('01_인적정보'!M12,'13_직무역할DB'!$A$5:$L$70,5,FALSE),"")</f>
        <v>교육 조직의 목표·예산·인력을 관리하고 과정 기획·운영 품질을 총괄하며 대외 인증·평가 대응을 주도하는 역할.</v>
      </c>
      <c r="H20" s="15">
        <f>'07_결과취합'!G13</f>
        <v>0</v>
      </c>
      <c r="I20" s="15">
        <f>'07_결과취합'!H13</f>
        <v>0</v>
      </c>
      <c r="J20" s="15">
        <f>'07_결과취합'!I13</f>
        <v>0</v>
      </c>
      <c r="K20" s="15">
        <f>'07_결과취합'!J13</f>
        <v>0</v>
      </c>
      <c r="L20" s="15">
        <f>'07_결과취합'!K13</f>
        <v>0</v>
      </c>
      <c r="M20" s="15">
        <f>'07_결과취합'!L13</f>
        <v>0</v>
      </c>
      <c r="N20" s="15">
        <f>'07_결과취합'!M13</f>
        <v>0</v>
      </c>
      <c r="O20" s="15">
        <f t="shared" si="0"/>
        <v>0</v>
      </c>
      <c r="P20" s="24">
        <f t="shared" si="1"/>
        <v>0</v>
      </c>
      <c r="Q20" s="62"/>
      <c r="R20" s="38"/>
      <c r="S20" s="39"/>
    </row>
    <row r="21" spans="1:19" ht="28.05" customHeight="1" x14ac:dyDescent="0.6">
      <c r="A21" s="15">
        <f>'01_인적정보'!A13</f>
        <v>9</v>
      </c>
      <c r="B21" s="15" t="str">
        <f>'01_인적정보'!B13</f>
        <v>BSS-009</v>
      </c>
      <c r="C21" s="15" t="str">
        <f>'01_인적정보'!C13</f>
        <v>박남식</v>
      </c>
      <c r="D21" s="15" t="str">
        <f>'01_인적정보'!E13</f>
        <v>BIM컨설팅</v>
      </c>
      <c r="E21" s="15" t="str">
        <f>'01_인적정보'!H13</f>
        <v>G5</v>
      </c>
      <c r="F21" s="15" t="str">
        <f>IFERROR(VLOOKUP('01_인적정보'!M13,'13_직무역할DB'!$A$5:$L$70,4,FALSE),"")</f>
        <v>직무 관리(부서장)</v>
      </c>
      <c r="G21" s="15" t="str">
        <f>IFERROR(VLOOKUP('01_인적정보'!M13,'13_직무역할DB'!$A$5:$L$70,5,FALSE),"")</f>
        <v>BIM 컨설팅 조직의 목표와 방향을 설정·관리하고 프로젝트 포트폴리오 운영 및 성과 달성을 총괄하는 역할.</v>
      </c>
      <c r="H21" s="15">
        <f>'07_결과취합'!G14</f>
        <v>0</v>
      </c>
      <c r="I21" s="15">
        <f>'07_결과취합'!H14</f>
        <v>0</v>
      </c>
      <c r="J21" s="15">
        <f>'07_결과취합'!I14</f>
        <v>0</v>
      </c>
      <c r="K21" s="15">
        <f>'07_결과취합'!J14</f>
        <v>0</v>
      </c>
      <c r="L21" s="15">
        <f>'07_결과취합'!K14</f>
        <v>0</v>
      </c>
      <c r="M21" s="15">
        <f>'07_결과취합'!L14</f>
        <v>0</v>
      </c>
      <c r="N21" s="15">
        <f>'07_결과취합'!M14</f>
        <v>0</v>
      </c>
      <c r="O21" s="15">
        <f t="shared" si="0"/>
        <v>0</v>
      </c>
      <c r="P21" s="24">
        <f t="shared" si="1"/>
        <v>0</v>
      </c>
      <c r="Q21" s="62"/>
      <c r="R21" s="38"/>
      <c r="S21" s="39"/>
    </row>
    <row r="22" spans="1:19" ht="28.05" customHeight="1" x14ac:dyDescent="0.6">
      <c r="A22" s="15">
        <f>'01_인적정보'!A14</f>
        <v>10</v>
      </c>
      <c r="B22" s="15" t="str">
        <f>'01_인적정보'!B14</f>
        <v>BSS-010</v>
      </c>
      <c r="C22" s="15" t="str">
        <f>'01_인적정보'!C14</f>
        <v>신재민</v>
      </c>
      <c r="D22" s="15" t="str">
        <f>'01_인적정보'!E14</f>
        <v>BIM컨설팅</v>
      </c>
      <c r="E22" s="15" t="str">
        <f>'01_인적정보'!H14</f>
        <v>G5</v>
      </c>
      <c r="F22" s="15" t="str">
        <f>IFERROR(VLOOKUP('01_인적정보'!M14,'13_직무역할DB'!$A$5:$L$70,4,FALSE),"")</f>
        <v>직무 관리(부서장)</v>
      </c>
      <c r="G22" s="15" t="str">
        <f>IFERROR(VLOOKUP('01_인적정보'!M14,'13_직무역할DB'!$A$5:$L$70,5,FALSE),"")</f>
        <v>BIM 컨설팅 조직의 목표와 방향을 설정·관리하고 프로젝트 포트폴리오 운영 및 성과 달성을 총괄하는 역할.</v>
      </c>
      <c r="H22" s="15">
        <f>'07_결과취합'!G15</f>
        <v>0</v>
      </c>
      <c r="I22" s="15">
        <f>'07_결과취합'!H15</f>
        <v>0</v>
      </c>
      <c r="J22" s="15">
        <f>'07_결과취합'!I15</f>
        <v>0</v>
      </c>
      <c r="K22" s="15">
        <f>'07_결과취합'!J15</f>
        <v>0</v>
      </c>
      <c r="L22" s="15">
        <f>'07_결과취합'!K15</f>
        <v>0</v>
      </c>
      <c r="M22" s="15">
        <f>'07_결과취합'!L15</f>
        <v>0</v>
      </c>
      <c r="N22" s="15">
        <f>'07_결과취합'!M15</f>
        <v>0</v>
      </c>
      <c r="O22" s="15">
        <f t="shared" si="0"/>
        <v>0</v>
      </c>
      <c r="P22" s="24">
        <f t="shared" si="1"/>
        <v>0</v>
      </c>
      <c r="Q22" s="62"/>
      <c r="R22" s="38"/>
      <c r="S22" s="39"/>
    </row>
    <row r="23" spans="1:19" ht="28.05" customHeight="1" x14ac:dyDescent="0.6">
      <c r="A23" s="15">
        <f>'01_인적정보'!A15</f>
        <v>11</v>
      </c>
      <c r="B23" s="15" t="str">
        <f>'01_인적정보'!B15</f>
        <v>BSS-011</v>
      </c>
      <c r="C23" s="15" t="str">
        <f>'01_인적정보'!C15</f>
        <v>마장엽</v>
      </c>
      <c r="D23" s="15" t="str">
        <f>'01_인적정보'!E15</f>
        <v>BIM컨설팅</v>
      </c>
      <c r="E23" s="15" t="str">
        <f>'01_인적정보'!H15</f>
        <v>G5</v>
      </c>
      <c r="F23" s="15" t="str">
        <f>IFERROR(VLOOKUP('01_인적정보'!M15,'13_직무역할DB'!$A$5:$L$70,4,FALSE),"")</f>
        <v>직무 관리(부서장)</v>
      </c>
      <c r="G23" s="15" t="str">
        <f>IFERROR(VLOOKUP('01_인적정보'!M15,'13_직무역할DB'!$A$5:$L$70,5,FALSE),"")</f>
        <v>BIM 컨설팅 조직의 목표와 방향을 설정·관리하고 프로젝트 포트폴리오 운영 및 성과 달성을 총괄하는 역할.</v>
      </c>
      <c r="H23" s="15">
        <f>'07_결과취합'!G16</f>
        <v>0</v>
      </c>
      <c r="I23" s="15">
        <f>'07_결과취합'!H16</f>
        <v>0</v>
      </c>
      <c r="J23" s="15">
        <f>'07_결과취합'!I16</f>
        <v>0</v>
      </c>
      <c r="K23" s="15">
        <f>'07_결과취합'!J16</f>
        <v>0</v>
      </c>
      <c r="L23" s="15">
        <f>'07_결과취합'!K16</f>
        <v>0</v>
      </c>
      <c r="M23" s="15">
        <f>'07_결과취합'!L16</f>
        <v>0</v>
      </c>
      <c r="N23" s="15">
        <f>'07_결과취합'!M16</f>
        <v>0</v>
      </c>
      <c r="O23" s="15">
        <f t="shared" si="0"/>
        <v>0</v>
      </c>
      <c r="P23" s="24">
        <f t="shared" si="1"/>
        <v>0</v>
      </c>
      <c r="Q23" s="62"/>
      <c r="R23" s="38"/>
      <c r="S23" s="39"/>
    </row>
    <row r="24" spans="1:19" ht="28.05" customHeight="1" x14ac:dyDescent="0.6">
      <c r="A24" s="15">
        <f>'01_인적정보'!A16</f>
        <v>12</v>
      </c>
      <c r="B24" s="15" t="str">
        <f>'01_인적정보'!B16</f>
        <v>BSS-012</v>
      </c>
      <c r="C24" s="15" t="str">
        <f>'01_인적정보'!C16</f>
        <v>하은주</v>
      </c>
      <c r="D24" s="15" t="str">
        <f>'01_인적정보'!E16</f>
        <v>경영전략기획</v>
      </c>
      <c r="E24" s="15" t="str">
        <f>'01_인적정보'!H16</f>
        <v>G5</v>
      </c>
      <c r="F24" s="15" t="str">
        <f>IFERROR(VLOOKUP('01_인적정보'!M16,'13_직무역할DB'!$A$5:$L$70,4,FALSE),"")</f>
        <v>직무 관리(부서장)</v>
      </c>
      <c r="G24" s="15" t="str">
        <f>IFERROR(VLOOKUP('01_인적정보'!M16,'13_직무역할DB'!$A$5:$L$70,5,FALSE),"")</f>
        <v>부서 전략 및 목표를 수립하고, 자원 배분·예산 관리·성과 관리를 통해 조직 성과 달성을 책임지고, 부서 내 의사결정을 주도함.</v>
      </c>
      <c r="H24" s="15">
        <f>'07_결과취합'!G17</f>
        <v>0</v>
      </c>
      <c r="I24" s="15">
        <f>'07_결과취합'!H17</f>
        <v>0</v>
      </c>
      <c r="J24" s="15">
        <f>'07_결과취합'!I17</f>
        <v>0</v>
      </c>
      <c r="K24" s="15">
        <f>'07_결과취합'!J17</f>
        <v>0</v>
      </c>
      <c r="L24" s="15">
        <f>'07_결과취합'!K17</f>
        <v>0</v>
      </c>
      <c r="M24" s="15">
        <f>'07_결과취합'!L17</f>
        <v>0</v>
      </c>
      <c r="N24" s="15">
        <f>'07_결과취합'!M17</f>
        <v>0</v>
      </c>
      <c r="O24" s="15">
        <f t="shared" si="0"/>
        <v>0</v>
      </c>
      <c r="P24" s="24">
        <f t="shared" si="1"/>
        <v>0</v>
      </c>
      <c r="Q24" s="62"/>
      <c r="R24" s="38"/>
      <c r="S24" s="39"/>
    </row>
    <row r="25" spans="1:19" ht="28.05" customHeight="1" x14ac:dyDescent="0.6">
      <c r="A25" s="15">
        <f>'01_인적정보'!A17</f>
        <v>13</v>
      </c>
      <c r="B25" s="15" t="str">
        <f>'01_인적정보'!B17</f>
        <v>BSS-013</v>
      </c>
      <c r="C25" s="15" t="str">
        <f>'01_인적정보'!C17</f>
        <v>홍사훈</v>
      </c>
      <c r="D25" s="15" t="str">
        <f>'01_인적정보'!E17</f>
        <v>BIM컨설팅</v>
      </c>
      <c r="E25" s="15" t="str">
        <f>'01_인적정보'!H17</f>
        <v>G5</v>
      </c>
      <c r="F25" s="15" t="str">
        <f>IFERROR(VLOOKUP('01_인적정보'!M17,'13_직무역할DB'!$A$5:$L$70,4,FALSE),"")</f>
        <v>직무 관리(부서장)</v>
      </c>
      <c r="G25" s="15" t="str">
        <f>IFERROR(VLOOKUP('01_인적정보'!M17,'13_직무역할DB'!$A$5:$L$70,5,FALSE),"")</f>
        <v>BIM 컨설팅 조직의 목표와 방향을 설정·관리하고 프로젝트 포트폴리오 운영 및 성과 달성을 총괄하는 역할.</v>
      </c>
      <c r="H25" s="15">
        <f>'07_결과취합'!G18</f>
        <v>0</v>
      </c>
      <c r="I25" s="15">
        <f>'07_결과취합'!H18</f>
        <v>0</v>
      </c>
      <c r="J25" s="15">
        <f>'07_결과취합'!I18</f>
        <v>0</v>
      </c>
      <c r="K25" s="15">
        <f>'07_결과취합'!J18</f>
        <v>0</v>
      </c>
      <c r="L25" s="15">
        <f>'07_결과취합'!K18</f>
        <v>0</v>
      </c>
      <c r="M25" s="15">
        <f>'07_결과취합'!L18</f>
        <v>0</v>
      </c>
      <c r="N25" s="15">
        <f>'07_결과취합'!M18</f>
        <v>0</v>
      </c>
      <c r="O25" s="15">
        <f t="shared" si="0"/>
        <v>0</v>
      </c>
      <c r="P25" s="24">
        <f t="shared" si="1"/>
        <v>0</v>
      </c>
      <c r="Q25" s="62"/>
      <c r="R25" s="38"/>
      <c r="S25" s="39"/>
    </row>
    <row r="26" spans="1:19" ht="28.05" customHeight="1" x14ac:dyDescent="0.6">
      <c r="A26" s="15">
        <f>'01_인적정보'!A18</f>
        <v>14</v>
      </c>
      <c r="B26" s="15" t="str">
        <f>'01_인적정보'!B18</f>
        <v>BSS-014</v>
      </c>
      <c r="C26" s="15" t="str">
        <f>'01_인적정보'!C18</f>
        <v>유자영</v>
      </c>
      <c r="D26" s="15" t="str">
        <f>'01_인적정보'!E18</f>
        <v>BIM컨설팅</v>
      </c>
      <c r="E26" s="15" t="str">
        <f>'01_인적정보'!H18</f>
        <v>G5</v>
      </c>
      <c r="F26" s="15" t="str">
        <f>IFERROR(VLOOKUP('01_인적정보'!M18,'13_직무역할DB'!$A$5:$L$70,4,FALSE),"")</f>
        <v>직무 관리(부서장)</v>
      </c>
      <c r="G26" s="15" t="str">
        <f>IFERROR(VLOOKUP('01_인적정보'!M18,'13_직무역할DB'!$A$5:$L$70,5,FALSE),"")</f>
        <v>BIM 컨설팅 조직의 목표와 방향을 설정·관리하고 프로젝트 포트폴리오 운영 및 성과 달성을 총괄하는 역할.</v>
      </c>
      <c r="H26" s="15">
        <f>'07_결과취합'!G19</f>
        <v>0</v>
      </c>
      <c r="I26" s="15">
        <f>'07_결과취합'!H19</f>
        <v>0</v>
      </c>
      <c r="J26" s="15">
        <f>'07_결과취합'!I19</f>
        <v>0</v>
      </c>
      <c r="K26" s="15">
        <f>'07_결과취합'!J19</f>
        <v>0</v>
      </c>
      <c r="L26" s="15">
        <f>'07_결과취합'!K19</f>
        <v>0</v>
      </c>
      <c r="M26" s="15">
        <f>'07_결과취합'!L19</f>
        <v>0</v>
      </c>
      <c r="N26" s="15">
        <f>'07_결과취합'!M19</f>
        <v>0</v>
      </c>
      <c r="O26" s="15">
        <f t="shared" si="0"/>
        <v>0</v>
      </c>
      <c r="P26" s="24">
        <f t="shared" si="1"/>
        <v>0</v>
      </c>
      <c r="Q26" s="62"/>
      <c r="R26" s="38"/>
      <c r="S26" s="39"/>
    </row>
    <row r="27" spans="1:19" ht="28.05" customHeight="1" x14ac:dyDescent="0.6">
      <c r="A27" s="15">
        <f>'01_인적정보'!A19</f>
        <v>15</v>
      </c>
      <c r="B27" s="15" t="str">
        <f>'01_인적정보'!B19</f>
        <v>BSS-015</v>
      </c>
      <c r="C27" s="15" t="str">
        <f>'01_인적정보'!C19</f>
        <v>민지선</v>
      </c>
      <c r="D27" s="15" t="str">
        <f>'01_인적정보'!E19</f>
        <v>BIM컨설팅</v>
      </c>
      <c r="E27" s="15" t="str">
        <f>'01_인적정보'!H19</f>
        <v>G5</v>
      </c>
      <c r="F27" s="15" t="str">
        <f>IFERROR(VLOOKUP('01_인적정보'!M19,'13_직무역할DB'!$A$5:$L$70,4,FALSE),"")</f>
        <v>직무 관리(부서장)</v>
      </c>
      <c r="G27" s="15" t="str">
        <f>IFERROR(VLOOKUP('01_인적정보'!M19,'13_직무역할DB'!$A$5:$L$70,5,FALSE),"")</f>
        <v>BIM 컨설팅 조직의 목표와 방향을 설정·관리하고 프로젝트 포트폴리오 운영 및 성과 달성을 총괄하는 역할.</v>
      </c>
      <c r="H27" s="15">
        <f>'07_결과취합'!G20</f>
        <v>0</v>
      </c>
      <c r="I27" s="15">
        <f>'07_결과취합'!H20</f>
        <v>0</v>
      </c>
      <c r="J27" s="15">
        <f>'07_결과취합'!I20</f>
        <v>0</v>
      </c>
      <c r="K27" s="15">
        <f>'07_결과취합'!J20</f>
        <v>0</v>
      </c>
      <c r="L27" s="15">
        <f>'07_결과취합'!K20</f>
        <v>0</v>
      </c>
      <c r="M27" s="15">
        <f>'07_결과취합'!L20</f>
        <v>0</v>
      </c>
      <c r="N27" s="15">
        <f>'07_결과취합'!M20</f>
        <v>0</v>
      </c>
      <c r="O27" s="15">
        <f t="shared" si="0"/>
        <v>0</v>
      </c>
      <c r="P27" s="24">
        <f t="shared" si="1"/>
        <v>0</v>
      </c>
      <c r="Q27" s="62"/>
      <c r="R27" s="38"/>
      <c r="S27" s="39"/>
    </row>
    <row r="28" spans="1:19" ht="28.05" customHeight="1" x14ac:dyDescent="0.6">
      <c r="A28" s="15">
        <f>'01_인적정보'!A20</f>
        <v>16</v>
      </c>
      <c r="B28" s="15" t="str">
        <f>'01_인적정보'!B20</f>
        <v>BSS-016</v>
      </c>
      <c r="C28" s="15" t="str">
        <f>'01_인적정보'!C20</f>
        <v>장훈</v>
      </c>
      <c r="D28" s="15" t="str">
        <f>'01_인적정보'!E20</f>
        <v>BIM컨설팅</v>
      </c>
      <c r="E28" s="15" t="str">
        <f>'01_인적정보'!H20</f>
        <v>G5</v>
      </c>
      <c r="F28" s="15" t="str">
        <f>IFERROR(VLOOKUP('01_인적정보'!M20,'13_직무역할DB'!$A$5:$L$70,4,FALSE),"")</f>
        <v>직무 관리(부서장)</v>
      </c>
      <c r="G28" s="15" t="str">
        <f>IFERROR(VLOOKUP('01_인적정보'!M20,'13_직무역할DB'!$A$5:$L$70,5,FALSE),"")</f>
        <v>BIM 컨설팅 조직의 목표와 방향을 설정·관리하고 프로젝트 포트폴리오 운영 및 성과 달성을 총괄하는 역할.</v>
      </c>
      <c r="H28" s="15">
        <f>'07_결과취합'!G21</f>
        <v>0</v>
      </c>
      <c r="I28" s="15">
        <f>'07_결과취합'!H21</f>
        <v>0</v>
      </c>
      <c r="J28" s="15">
        <f>'07_결과취합'!I21</f>
        <v>0</v>
      </c>
      <c r="K28" s="15">
        <f>'07_결과취합'!J21</f>
        <v>0</v>
      </c>
      <c r="L28" s="15">
        <f>'07_결과취합'!K21</f>
        <v>0</v>
      </c>
      <c r="M28" s="15">
        <f>'07_결과취합'!L21</f>
        <v>0</v>
      </c>
      <c r="N28" s="15">
        <f>'07_결과취합'!M21</f>
        <v>0</v>
      </c>
      <c r="O28" s="15">
        <f t="shared" si="0"/>
        <v>0</v>
      </c>
      <c r="P28" s="24">
        <f t="shared" si="1"/>
        <v>0</v>
      </c>
      <c r="Q28" s="62"/>
      <c r="R28" s="38"/>
      <c r="S28" s="39"/>
    </row>
    <row r="29" spans="1:19" ht="28.05" customHeight="1" x14ac:dyDescent="0.6">
      <c r="A29" s="15">
        <f>'01_인적정보'!A21</f>
        <v>17</v>
      </c>
      <c r="B29" s="15" t="str">
        <f>'01_인적정보'!B21</f>
        <v>BSS-017</v>
      </c>
      <c r="C29" s="15" t="str">
        <f>'01_인적정보'!C21</f>
        <v>김우람</v>
      </c>
      <c r="D29" s="15" t="str">
        <f>'01_인적정보'!E21</f>
        <v>교육·기술지원</v>
      </c>
      <c r="E29" s="15" t="str">
        <f>'01_인적정보'!H21</f>
        <v>G4</v>
      </c>
      <c r="F29" s="15" t="str">
        <f>IFERROR(VLOOKUP('01_인적정보'!M21,'13_직무역할DB'!$A$5:$L$70,4,FALSE),"")</f>
        <v>실무 책임(PM)</v>
      </c>
      <c r="G29" s="15" t="str">
        <f>IFERROR(VLOOKUP('01_인적정보'!M21,'13_직무역할DB'!$A$5:$L$70,5,FALSE),"")</f>
        <v>핵심 교육과정의 운영 총괄과 강의 품질·수강생 성과·NPS를 관리하며 프로젝트형 교육과 기업 맞춤 과제를 리드하는 역할.</v>
      </c>
      <c r="H29" s="15">
        <f>'07_결과취합'!G22</f>
        <v>0</v>
      </c>
      <c r="I29" s="15">
        <f>'07_결과취합'!H22</f>
        <v>0</v>
      </c>
      <c r="J29" s="15">
        <f>'07_결과취합'!I22</f>
        <v>0</v>
      </c>
      <c r="K29" s="15">
        <f>'07_결과취합'!J22</f>
        <v>0</v>
      </c>
      <c r="L29" s="15">
        <f>'07_결과취합'!K22</f>
        <v>0</v>
      </c>
      <c r="M29" s="15">
        <f>'07_결과취합'!L22</f>
        <v>0</v>
      </c>
      <c r="N29" s="15">
        <f>'07_결과취합'!M22</f>
        <v>0</v>
      </c>
      <c r="O29" s="15">
        <f t="shared" si="0"/>
        <v>0</v>
      </c>
      <c r="P29" s="24">
        <f t="shared" si="1"/>
        <v>0</v>
      </c>
      <c r="Q29" s="62"/>
      <c r="R29" s="38"/>
      <c r="S29" s="39"/>
    </row>
    <row r="30" spans="1:19" ht="28.05" customHeight="1" x14ac:dyDescent="0.6">
      <c r="A30" s="15">
        <f>'01_인적정보'!A22</f>
        <v>18</v>
      </c>
      <c r="B30" s="15" t="str">
        <f>'01_인적정보'!B22</f>
        <v>BSS-018</v>
      </c>
      <c r="C30" s="15" t="str">
        <f>'01_인적정보'!C22</f>
        <v>조성준</v>
      </c>
      <c r="D30" s="15" t="str">
        <f>'01_인적정보'!E22</f>
        <v>BIM컨설팅</v>
      </c>
      <c r="E30" s="15" t="str">
        <f>'01_인적정보'!H22</f>
        <v>G4</v>
      </c>
      <c r="F30" s="15" t="str">
        <f>IFERROR(VLOOKUP('01_인적정보'!M22,'13_직무역할DB'!$A$5:$L$70,4,FALSE),"")</f>
        <v>실무 책임(PM)</v>
      </c>
      <c r="G30" s="15" t="str">
        <f>IFERROR(VLOOKUP('01_인적정보'!M22,'13_직무역할DB'!$A$5:$L$70,5,FALSE),"")</f>
        <v>BIM 프로젝트를 기획·운영하며 일정·품질·비용 관리와 산출물 보고를 책임지는 역할.</v>
      </c>
      <c r="H30" s="15">
        <f>'07_결과취합'!G23</f>
        <v>0</v>
      </c>
      <c r="I30" s="15">
        <f>'07_결과취합'!H23</f>
        <v>0</v>
      </c>
      <c r="J30" s="15">
        <f>'07_결과취합'!I23</f>
        <v>0</v>
      </c>
      <c r="K30" s="15">
        <f>'07_결과취합'!J23</f>
        <v>0</v>
      </c>
      <c r="L30" s="15">
        <f>'07_결과취합'!K23</f>
        <v>0</v>
      </c>
      <c r="M30" s="15">
        <f>'07_결과취합'!L23</f>
        <v>0</v>
      </c>
      <c r="N30" s="15">
        <f>'07_결과취합'!M23</f>
        <v>0</v>
      </c>
      <c r="O30" s="15">
        <f t="shared" si="0"/>
        <v>0</v>
      </c>
      <c r="P30" s="24">
        <f t="shared" si="1"/>
        <v>0</v>
      </c>
      <c r="Q30" s="62"/>
      <c r="R30" s="38"/>
      <c r="S30" s="39"/>
    </row>
    <row r="31" spans="1:19" ht="28.05" customHeight="1" x14ac:dyDescent="0.6">
      <c r="A31" s="15">
        <f>'01_인적정보'!A23</f>
        <v>19</v>
      </c>
      <c r="B31" s="15" t="str">
        <f>'01_인적정보'!B23</f>
        <v>BSS-019</v>
      </c>
      <c r="C31" s="15" t="str">
        <f>'01_인적정보'!C23</f>
        <v>구서현</v>
      </c>
      <c r="D31" s="15" t="str">
        <f>'01_인적정보'!E23</f>
        <v>BIM컨설팅</v>
      </c>
      <c r="E31" s="15" t="str">
        <f>'01_인적정보'!H23</f>
        <v>G2</v>
      </c>
      <c r="F31" s="15" t="str">
        <f>IFERROR(VLOOKUP('01_인적정보'!M23,'13_직무역할DB'!$A$5:$L$70,4,FALSE),"")</f>
        <v>실무</v>
      </c>
      <c r="G31" s="15" t="str">
        <f>IFERROR(VLOOKUP('01_인적정보'!M23,'13_직무역할DB'!$A$5:$L$70,5,FALSE),"")</f>
        <v>BIM 모델링과 도면 작성 등 세부 실무를 독립적으로 수행하며 프로젝트 품질 확보를 지원하는 역할.</v>
      </c>
      <c r="H31" s="15">
        <f>'07_결과취합'!G24</f>
        <v>0</v>
      </c>
      <c r="I31" s="15">
        <f>'07_결과취합'!H24</f>
        <v>0</v>
      </c>
      <c r="J31" s="15">
        <f>'07_결과취합'!I24</f>
        <v>0</v>
      </c>
      <c r="K31" s="15">
        <f>'07_결과취합'!J24</f>
        <v>0</v>
      </c>
      <c r="L31" s="15">
        <f>'07_결과취합'!K24</f>
        <v>0</v>
      </c>
      <c r="M31" s="15">
        <f>'07_결과취합'!L24</f>
        <v>0</v>
      </c>
      <c r="N31" s="15">
        <f>'07_결과취합'!M24</f>
        <v>0</v>
      </c>
      <c r="O31" s="15">
        <f t="shared" si="0"/>
        <v>0</v>
      </c>
      <c r="P31" s="24">
        <f t="shared" si="1"/>
        <v>0</v>
      </c>
      <c r="Q31" s="62"/>
      <c r="R31" s="38"/>
      <c r="S31" s="39"/>
    </row>
    <row r="32" spans="1:19" ht="28.05" customHeight="1" x14ac:dyDescent="0.6">
      <c r="A32" s="15">
        <f>'01_인적정보'!A24</f>
        <v>20</v>
      </c>
      <c r="B32" s="15" t="str">
        <f>'01_인적정보'!B24</f>
        <v>BSS-020</v>
      </c>
      <c r="C32" s="15" t="str">
        <f>'01_인적정보'!C24</f>
        <v>박진용</v>
      </c>
      <c r="D32" s="15" t="str">
        <f>'01_인적정보'!E24</f>
        <v>교육·기술지원</v>
      </c>
      <c r="E32" s="15" t="str">
        <f>'01_인적정보'!H24</f>
        <v>G3</v>
      </c>
      <c r="F32" s="15" t="str">
        <f>IFERROR(VLOOKUP('01_인적정보'!M24,'13_직무역할DB'!$A$5:$L$70,4,FALSE),"")</f>
        <v>핵심 실무</v>
      </c>
      <c r="G32" s="15" t="str">
        <f>IFERROR(VLOOKUP('01_인적정보'!M24,'13_직무역할DB'!$A$5:$L$70,5,FALSE),"")</f>
        <v>주력 과정을 독립적으로 강의·실습 운영하고 교안 개선·평가 채점·학습 성과 피드백을 통해 품질과 만족도를 확보하는 역할.</v>
      </c>
      <c r="H32" s="15">
        <f>'07_결과취합'!G25</f>
        <v>0</v>
      </c>
      <c r="I32" s="15">
        <f>'07_결과취합'!H25</f>
        <v>0</v>
      </c>
      <c r="J32" s="15">
        <f>'07_결과취합'!I25</f>
        <v>0</v>
      </c>
      <c r="K32" s="15">
        <f>'07_결과취합'!J25</f>
        <v>0</v>
      </c>
      <c r="L32" s="15">
        <f>'07_결과취합'!K25</f>
        <v>0</v>
      </c>
      <c r="M32" s="15">
        <f>'07_결과취합'!L25</f>
        <v>0</v>
      </c>
      <c r="N32" s="15">
        <f>'07_결과취합'!M25</f>
        <v>0</v>
      </c>
      <c r="O32" s="15">
        <f t="shared" si="0"/>
        <v>0</v>
      </c>
      <c r="P32" s="24">
        <f t="shared" si="1"/>
        <v>0</v>
      </c>
      <c r="Q32" s="62"/>
      <c r="R32" s="38"/>
      <c r="S32" s="39"/>
    </row>
    <row r="33" spans="1:19" ht="28.05" customHeight="1" x14ac:dyDescent="0.6">
      <c r="A33" s="15">
        <f>'01_인적정보'!A25</f>
        <v>21</v>
      </c>
      <c r="B33" s="15" t="str">
        <f>'01_인적정보'!B25</f>
        <v>BSS-021</v>
      </c>
      <c r="C33" s="15" t="str">
        <f>'01_인적정보'!C25</f>
        <v>김가연</v>
      </c>
      <c r="D33" s="15" t="str">
        <f>'01_인적정보'!E25</f>
        <v>BIM컨설팅</v>
      </c>
      <c r="E33" s="15" t="str">
        <f>'01_인적정보'!H25</f>
        <v>G2</v>
      </c>
      <c r="F33" s="15" t="str">
        <f>IFERROR(VLOOKUP('01_인적정보'!M25,'13_직무역할DB'!$A$5:$L$70,4,FALSE),"")</f>
        <v>실무</v>
      </c>
      <c r="G33" s="15" t="str">
        <f>IFERROR(VLOOKUP('01_인적정보'!M25,'13_직무역할DB'!$A$5:$L$70,5,FALSE),"")</f>
        <v>BIM 모델링과 도면 작성 등 세부 실무를 독립적으로 수행하며 프로젝트 품질 확보를 지원하는 역할.</v>
      </c>
      <c r="H33" s="15">
        <f>'07_결과취합'!G26</f>
        <v>0</v>
      </c>
      <c r="I33" s="15">
        <f>'07_결과취합'!H26</f>
        <v>0</v>
      </c>
      <c r="J33" s="15">
        <f>'07_결과취합'!I26</f>
        <v>0</v>
      </c>
      <c r="K33" s="15">
        <f>'07_결과취합'!J26</f>
        <v>0</v>
      </c>
      <c r="L33" s="15">
        <f>'07_결과취합'!K26</f>
        <v>0</v>
      </c>
      <c r="M33" s="15">
        <f>'07_결과취합'!L26</f>
        <v>0</v>
      </c>
      <c r="N33" s="15">
        <f>'07_결과취합'!M26</f>
        <v>0</v>
      </c>
      <c r="O33" s="15">
        <f t="shared" si="0"/>
        <v>0</v>
      </c>
      <c r="P33" s="24">
        <f t="shared" si="1"/>
        <v>0</v>
      </c>
      <c r="Q33" s="62"/>
      <c r="R33" s="38"/>
      <c r="S33" s="39"/>
    </row>
    <row r="34" spans="1:19" ht="28.05" customHeight="1" x14ac:dyDescent="0.6">
      <c r="A34" s="15">
        <f>'01_인적정보'!A26</f>
        <v>22</v>
      </c>
      <c r="B34" s="15" t="str">
        <f>'01_인적정보'!B26</f>
        <v>BSS-022</v>
      </c>
      <c r="C34" s="15" t="str">
        <f>'01_인적정보'!C26</f>
        <v>한근수</v>
      </c>
      <c r="D34" s="15" t="str">
        <f>'01_인적정보'!E26</f>
        <v>BIM컨설팅</v>
      </c>
      <c r="E34" s="15" t="str">
        <f>'01_인적정보'!H26</f>
        <v>G2</v>
      </c>
      <c r="F34" s="15" t="str">
        <f>IFERROR(VLOOKUP('01_인적정보'!M26,'13_직무역할DB'!$A$5:$L$70,4,FALSE),"")</f>
        <v>실무</v>
      </c>
      <c r="G34" s="15" t="str">
        <f>IFERROR(VLOOKUP('01_인적정보'!M26,'13_직무역할DB'!$A$5:$L$70,5,FALSE),"")</f>
        <v>BIM 모델링과 도면 작성 등 세부 실무를 독립적으로 수행하며 프로젝트 품질 확보를 지원하는 역할.</v>
      </c>
      <c r="H34" s="15">
        <f>'07_결과취합'!G27</f>
        <v>0</v>
      </c>
      <c r="I34" s="15">
        <f>'07_결과취합'!H27</f>
        <v>0</v>
      </c>
      <c r="J34" s="15">
        <f>'07_결과취합'!I27</f>
        <v>0</v>
      </c>
      <c r="K34" s="15">
        <f>'07_결과취합'!J27</f>
        <v>0</v>
      </c>
      <c r="L34" s="15">
        <f>'07_결과취합'!K27</f>
        <v>0</v>
      </c>
      <c r="M34" s="15">
        <f>'07_결과취합'!L27</f>
        <v>0</v>
      </c>
      <c r="N34" s="15">
        <f>'07_결과취합'!M27</f>
        <v>0</v>
      </c>
      <c r="O34" s="15">
        <f t="shared" si="0"/>
        <v>0</v>
      </c>
      <c r="P34" s="24">
        <f t="shared" si="1"/>
        <v>0</v>
      </c>
      <c r="Q34" s="62"/>
      <c r="R34" s="38"/>
      <c r="S34" s="39"/>
    </row>
    <row r="35" spans="1:19" ht="28.05" customHeight="1" x14ac:dyDescent="0.6">
      <c r="A35" s="15">
        <f>'01_인적정보'!A27</f>
        <v>23</v>
      </c>
      <c r="B35" s="15" t="str">
        <f>'01_인적정보'!B27</f>
        <v>BSS-023</v>
      </c>
      <c r="C35" s="15" t="str">
        <f>'01_인적정보'!C27</f>
        <v>김성민</v>
      </c>
      <c r="D35" s="15" t="str">
        <f>'01_인적정보'!E27</f>
        <v>BIM컨설팅</v>
      </c>
      <c r="E35" s="15" t="str">
        <f>'01_인적정보'!H27</f>
        <v>G2</v>
      </c>
      <c r="F35" s="15" t="str">
        <f>IFERROR(VLOOKUP('01_인적정보'!M27,'13_직무역할DB'!$A$5:$L$70,4,FALSE),"")</f>
        <v>실무</v>
      </c>
      <c r="G35" s="15" t="str">
        <f>IFERROR(VLOOKUP('01_인적정보'!M27,'13_직무역할DB'!$A$5:$L$70,5,FALSE),"")</f>
        <v>BIM 모델링과 도면 작성 등 세부 실무를 독립적으로 수행하며 프로젝트 품질 확보를 지원하는 역할.</v>
      </c>
      <c r="H35" s="15">
        <f>'07_결과취합'!G28</f>
        <v>0</v>
      </c>
      <c r="I35" s="15">
        <f>'07_결과취합'!H28</f>
        <v>0</v>
      </c>
      <c r="J35" s="15">
        <f>'07_결과취합'!I28</f>
        <v>0</v>
      </c>
      <c r="K35" s="15">
        <f>'07_결과취합'!J28</f>
        <v>0</v>
      </c>
      <c r="L35" s="15">
        <f>'07_결과취합'!K28</f>
        <v>0</v>
      </c>
      <c r="M35" s="15">
        <f>'07_결과취합'!L28</f>
        <v>0</v>
      </c>
      <c r="N35" s="15">
        <f>'07_결과취합'!M28</f>
        <v>0</v>
      </c>
      <c r="O35" s="15">
        <f t="shared" si="0"/>
        <v>0</v>
      </c>
      <c r="P35" s="24">
        <f t="shared" si="1"/>
        <v>0</v>
      </c>
      <c r="Q35" s="62"/>
      <c r="R35" s="38"/>
      <c r="S35" s="39"/>
    </row>
    <row r="36" spans="1:19" ht="28.05" customHeight="1" x14ac:dyDescent="0.6">
      <c r="A36" s="15">
        <f>'01_인적정보'!A28</f>
        <v>24</v>
      </c>
      <c r="B36" s="15" t="str">
        <f>'01_인적정보'!B28</f>
        <v>BSS-024</v>
      </c>
      <c r="C36" s="15" t="str">
        <f>'01_인적정보'!C28</f>
        <v>고광우</v>
      </c>
      <c r="D36" s="15" t="str">
        <f>'01_인적정보'!E28</f>
        <v>BIM컨설팅</v>
      </c>
      <c r="E36" s="15" t="str">
        <f>'01_인적정보'!H28</f>
        <v>G2</v>
      </c>
      <c r="F36" s="15" t="str">
        <f>IFERROR(VLOOKUP('01_인적정보'!M28,'13_직무역할DB'!$A$5:$L$70,4,FALSE),"")</f>
        <v>실무</v>
      </c>
      <c r="G36" s="15" t="str">
        <f>IFERROR(VLOOKUP('01_인적정보'!M28,'13_직무역할DB'!$A$5:$L$70,5,FALSE),"")</f>
        <v>BIM 모델링과 도면 작성 등 세부 실무를 독립적으로 수행하며 프로젝트 품질 확보를 지원하는 역할.</v>
      </c>
      <c r="H36" s="15">
        <f>'07_결과취합'!G29</f>
        <v>0</v>
      </c>
      <c r="I36" s="15">
        <f>'07_결과취합'!H29</f>
        <v>0</v>
      </c>
      <c r="J36" s="15">
        <f>'07_결과취합'!I29</f>
        <v>0</v>
      </c>
      <c r="K36" s="15">
        <f>'07_결과취합'!J29</f>
        <v>0</v>
      </c>
      <c r="L36" s="15">
        <f>'07_결과취합'!K29</f>
        <v>0</v>
      </c>
      <c r="M36" s="15">
        <f>'07_결과취합'!L29</f>
        <v>0</v>
      </c>
      <c r="N36" s="15">
        <f>'07_결과취합'!M29</f>
        <v>0</v>
      </c>
      <c r="O36" s="15">
        <f t="shared" si="0"/>
        <v>0</v>
      </c>
      <c r="P36" s="24">
        <f t="shared" si="1"/>
        <v>0</v>
      </c>
      <c r="Q36" s="62"/>
      <c r="R36" s="38"/>
      <c r="S36" s="39"/>
    </row>
    <row r="37" spans="1:19" ht="28.05" customHeight="1" x14ac:dyDescent="0.6">
      <c r="A37" s="15">
        <f>'01_인적정보'!A29</f>
        <v>25</v>
      </c>
      <c r="B37" s="15" t="str">
        <f>'01_인적정보'!B29</f>
        <v>BSS-025</v>
      </c>
      <c r="C37" s="15" t="str">
        <f>'01_인적정보'!C29</f>
        <v>김성수</v>
      </c>
      <c r="D37" s="15" t="str">
        <f>'01_인적정보'!E29</f>
        <v>연구개발(R&amp;D)</v>
      </c>
      <c r="E37" s="15" t="str">
        <f>'01_인적정보'!H29</f>
        <v>G2</v>
      </c>
      <c r="F37" s="15" t="str">
        <f>IFERROR(VLOOKUP('01_인적정보'!M29,'13_직무역할DB'!$A$5:$L$70,4,FALSE),"")</f>
        <v>실무</v>
      </c>
      <c r="G37" s="15" t="str">
        <f>IFERROR(VLOOKUP('01_인적정보'!M29,'13_직무역할DB'!$A$5:$L$70,5,FALSE),"")</f>
        <v>명세에 따라 기능 개발·버그 수정·리팩터링·테스트 보조를 수행하고 코드 품질 기준과 CI/CD 절차를 준수하는 역할.</v>
      </c>
      <c r="H37" s="15">
        <f>'07_결과취합'!G30</f>
        <v>0</v>
      </c>
      <c r="I37" s="15">
        <f>'07_결과취합'!H30</f>
        <v>0</v>
      </c>
      <c r="J37" s="15">
        <f>'07_결과취합'!I30</f>
        <v>0</v>
      </c>
      <c r="K37" s="15">
        <f>'07_결과취합'!J30</f>
        <v>0</v>
      </c>
      <c r="L37" s="15">
        <f>'07_결과취합'!K30</f>
        <v>0</v>
      </c>
      <c r="M37" s="15">
        <f>'07_결과취합'!L30</f>
        <v>0</v>
      </c>
      <c r="N37" s="15">
        <f>'07_결과취합'!M30</f>
        <v>0</v>
      </c>
      <c r="O37" s="15">
        <f t="shared" si="0"/>
        <v>0</v>
      </c>
      <c r="P37" s="24">
        <f t="shared" si="1"/>
        <v>0</v>
      </c>
      <c r="Q37" s="62"/>
      <c r="R37" s="38"/>
      <c r="S37" s="39"/>
    </row>
    <row r="38" spans="1:19" ht="28.05" customHeight="1" x14ac:dyDescent="0.6">
      <c r="A38" s="15">
        <f>'01_인적정보'!A30</f>
        <v>26</v>
      </c>
      <c r="B38" s="15" t="str">
        <f>'01_인적정보'!B30</f>
        <v>BSS-026</v>
      </c>
      <c r="C38" s="15" t="str">
        <f>'01_인적정보'!C30</f>
        <v>박진희</v>
      </c>
      <c r="D38" s="15" t="str">
        <f>'01_인적정보'!E30</f>
        <v>경영전략기획</v>
      </c>
      <c r="E38" s="15" t="str">
        <f>'01_인적정보'!H30</f>
        <v>G1</v>
      </c>
      <c r="F38" s="15" t="str">
        <f>IFERROR(VLOOKUP('01_인적정보'!M30,'13_직무역할DB'!$A$5:$L$70,4,FALSE),"")</f>
        <v>실무 보조</v>
      </c>
      <c r="G38" s="15" t="str">
        <f>IFERROR(VLOOKUP('01_인적정보'!M30,'13_직무역할DB'!$A$5:$L$70,5,FALSE),"")</f>
        <v>실무 수행에 필요한 기초 지식·기술 습득 및 단순 과업 수행.</v>
      </c>
      <c r="H38" s="15">
        <f>'07_결과취합'!G31</f>
        <v>0</v>
      </c>
      <c r="I38" s="15">
        <f>'07_결과취합'!H31</f>
        <v>0</v>
      </c>
      <c r="J38" s="15">
        <f>'07_결과취합'!I31</f>
        <v>0</v>
      </c>
      <c r="K38" s="15">
        <f>'07_결과취합'!J31</f>
        <v>0</v>
      </c>
      <c r="L38" s="15">
        <f>'07_결과취합'!K31</f>
        <v>0</v>
      </c>
      <c r="M38" s="15">
        <f>'07_결과취합'!L31</f>
        <v>0</v>
      </c>
      <c r="N38" s="15">
        <f>'07_결과취합'!M31</f>
        <v>0</v>
      </c>
      <c r="O38" s="15">
        <f t="shared" si="0"/>
        <v>0</v>
      </c>
      <c r="P38" s="24">
        <f t="shared" si="1"/>
        <v>0</v>
      </c>
      <c r="Q38" s="62"/>
      <c r="R38" s="38"/>
      <c r="S38" s="39"/>
    </row>
    <row r="39" spans="1:19" ht="28.05" customHeight="1" x14ac:dyDescent="0.6">
      <c r="A39" s="15">
        <f>'01_인적정보'!A31</f>
        <v>27</v>
      </c>
      <c r="B39" s="15" t="str">
        <f>'01_인적정보'!B31</f>
        <v>BSS-027</v>
      </c>
      <c r="C39" s="15" t="str">
        <f>'01_인적정보'!C31</f>
        <v>장은한</v>
      </c>
      <c r="D39" s="15" t="str">
        <f>'01_인적정보'!E31</f>
        <v>교육·기술지원</v>
      </c>
      <c r="E39" s="15" t="str">
        <f>'01_인적정보'!H31</f>
        <v>G2</v>
      </c>
      <c r="F39" s="15" t="str">
        <f>IFERROR(VLOOKUP('01_인적정보'!M31,'13_직무역할DB'!$A$5:$L$70,4,FALSE),"")</f>
        <v>실무</v>
      </c>
      <c r="G39" s="15" t="str">
        <f>IFERROR(VLOOKUP('01_인적정보'!M31,'13_직무역할DB'!$A$5:$L$70,5,FALSE),"")</f>
        <v>표준 과정을 보조 또는 공동 진행하며 실습 관리·수강생 질의응답·교재 업데이트 등 운영 지원을 수행하는 역할.</v>
      </c>
      <c r="H39" s="15">
        <f>'07_결과취합'!G32</f>
        <v>0</v>
      </c>
      <c r="I39" s="15">
        <f>'07_결과취합'!H32</f>
        <v>0</v>
      </c>
      <c r="J39" s="15">
        <f>'07_결과취합'!I32</f>
        <v>0</v>
      </c>
      <c r="K39" s="15">
        <f>'07_결과취합'!J32</f>
        <v>0</v>
      </c>
      <c r="L39" s="15">
        <f>'07_결과취합'!K32</f>
        <v>0</v>
      </c>
      <c r="M39" s="15">
        <f>'07_결과취합'!L32</f>
        <v>0</v>
      </c>
      <c r="N39" s="15">
        <f>'07_결과취합'!M32</f>
        <v>0</v>
      </c>
      <c r="O39" s="15">
        <f t="shared" si="0"/>
        <v>0</v>
      </c>
      <c r="P39" s="24">
        <f t="shared" si="1"/>
        <v>0</v>
      </c>
      <c r="Q39" s="62"/>
      <c r="R39" s="38"/>
      <c r="S39" s="39"/>
    </row>
    <row r="40" spans="1:19" ht="28.05" customHeight="1" x14ac:dyDescent="0.6">
      <c r="A40" s="15">
        <f>'01_인적정보'!A32</f>
        <v>28</v>
      </c>
      <c r="B40" s="15" t="str">
        <f>'01_인적정보'!B32</f>
        <v>BSS-028</v>
      </c>
      <c r="C40" s="15" t="str">
        <f>'01_인적정보'!C32</f>
        <v>김현수</v>
      </c>
      <c r="D40" s="15" t="str">
        <f>'01_인적정보'!E32</f>
        <v>BIM컨설팅</v>
      </c>
      <c r="E40" s="15" t="str">
        <f>'01_인적정보'!H32</f>
        <v>G1</v>
      </c>
      <c r="F40" s="15" t="str">
        <f>IFERROR(VLOOKUP('01_인적정보'!M32,'13_직무역할DB'!$A$5:$L$70,4,FALSE),"")</f>
        <v>실무 보조</v>
      </c>
      <c r="G40" s="15" t="str">
        <f>IFERROR(VLOOKUP('01_인적정보'!M32,'13_직무역할DB'!$A$5:$L$70,5,FALSE),"")</f>
        <v>BIM 모델링 기초 작업과 자료 정리를 담당하며 실무 진행을 보조하는 역할.</v>
      </c>
      <c r="H40" s="15">
        <f>'07_결과취합'!G33</f>
        <v>0</v>
      </c>
      <c r="I40" s="15">
        <f>'07_결과취합'!H33</f>
        <v>0</v>
      </c>
      <c r="J40" s="15">
        <f>'07_결과취합'!I33</f>
        <v>0</v>
      </c>
      <c r="K40" s="15">
        <f>'07_결과취합'!J33</f>
        <v>0</v>
      </c>
      <c r="L40" s="15">
        <f>'07_결과취합'!K33</f>
        <v>0</v>
      </c>
      <c r="M40" s="15">
        <f>'07_결과취합'!L33</f>
        <v>0</v>
      </c>
      <c r="N40" s="15">
        <f>'07_결과취합'!M33</f>
        <v>0</v>
      </c>
      <c r="O40" s="15">
        <f t="shared" si="0"/>
        <v>0</v>
      </c>
      <c r="P40" s="24">
        <f t="shared" si="1"/>
        <v>0</v>
      </c>
      <c r="Q40" s="62"/>
      <c r="R40" s="38"/>
      <c r="S40" s="39"/>
    </row>
    <row r="41" spans="1:19" ht="28.05" customHeight="1" x14ac:dyDescent="0.6">
      <c r="A41" s="15">
        <f>'01_인적정보'!A33</f>
        <v>29</v>
      </c>
      <c r="B41" s="15" t="str">
        <f>'01_인적정보'!B33</f>
        <v>BSS-029</v>
      </c>
      <c r="C41" s="15" t="str">
        <f>'01_인적정보'!C33</f>
        <v>콜셍홍</v>
      </c>
      <c r="D41" s="15" t="str">
        <f>'01_인적정보'!E33</f>
        <v>BIM컨설팅</v>
      </c>
      <c r="E41" s="15" t="str">
        <f>'01_인적정보'!H33</f>
        <v>G1</v>
      </c>
      <c r="F41" s="15" t="str">
        <f>IFERROR(VLOOKUP('01_인적정보'!M33,'13_직무역할DB'!$A$5:$L$70,4,FALSE),"")</f>
        <v>실무 보조</v>
      </c>
      <c r="G41" s="15" t="str">
        <f>IFERROR(VLOOKUP('01_인적정보'!M33,'13_직무역할DB'!$A$5:$L$70,5,FALSE),"")</f>
        <v>BIM 모델링 기초 작업과 자료 정리를 담당하며 실무 진행을 보조하는 역할.</v>
      </c>
      <c r="H41" s="15">
        <f>'07_결과취합'!G34</f>
        <v>0</v>
      </c>
      <c r="I41" s="15">
        <f>'07_결과취합'!H34</f>
        <v>0</v>
      </c>
      <c r="J41" s="15">
        <f>'07_결과취합'!I34</f>
        <v>0</v>
      </c>
      <c r="K41" s="15">
        <f>'07_결과취합'!J34</f>
        <v>0</v>
      </c>
      <c r="L41" s="15">
        <f>'07_결과취합'!K34</f>
        <v>0</v>
      </c>
      <c r="M41" s="15">
        <f>'07_결과취합'!L34</f>
        <v>0</v>
      </c>
      <c r="N41" s="15">
        <f>'07_결과취합'!M34</f>
        <v>0</v>
      </c>
      <c r="O41" s="15">
        <f t="shared" si="0"/>
        <v>0</v>
      </c>
      <c r="P41" s="24">
        <f t="shared" si="1"/>
        <v>0</v>
      </c>
      <c r="Q41" s="62"/>
      <c r="R41" s="38"/>
      <c r="S41" s="39"/>
    </row>
    <row r="42" spans="1:19" ht="28.05" customHeight="1" x14ac:dyDescent="0.6">
      <c r="A42" s="15">
        <f>'01_인적정보'!A34</f>
        <v>30</v>
      </c>
      <c r="B42" s="15" t="str">
        <f>'01_인적정보'!B34</f>
        <v>BSS-030</v>
      </c>
      <c r="C42" s="15" t="str">
        <f>'01_인적정보'!C34</f>
        <v>안성진</v>
      </c>
      <c r="D42" s="15" t="str">
        <f>'01_인적정보'!E34</f>
        <v>BIM컨설팅</v>
      </c>
      <c r="E42" s="15" t="str">
        <f>'01_인적정보'!H34</f>
        <v>G1</v>
      </c>
      <c r="F42" s="15" t="str">
        <f>IFERROR(VLOOKUP('01_인적정보'!M34,'13_직무역할DB'!$A$5:$L$70,4,FALSE),"")</f>
        <v>실무 보조</v>
      </c>
      <c r="G42" s="15" t="str">
        <f>IFERROR(VLOOKUP('01_인적정보'!M34,'13_직무역할DB'!$A$5:$L$70,5,FALSE),"")</f>
        <v>BIM 모델링 기초 작업과 자료 정리를 담당하며 실무 진행을 보조하는 역할.</v>
      </c>
      <c r="H42" s="15">
        <f>'07_결과취합'!G35</f>
        <v>0</v>
      </c>
      <c r="I42" s="15">
        <f>'07_결과취합'!H35</f>
        <v>0</v>
      </c>
      <c r="J42" s="15">
        <f>'07_결과취합'!I35</f>
        <v>0</v>
      </c>
      <c r="K42" s="15">
        <f>'07_결과취합'!J35</f>
        <v>0</v>
      </c>
      <c r="L42" s="15">
        <f>'07_결과취합'!K35</f>
        <v>0</v>
      </c>
      <c r="M42" s="15">
        <f>'07_결과취합'!L35</f>
        <v>0</v>
      </c>
      <c r="N42" s="15">
        <f>'07_결과취합'!M35</f>
        <v>0</v>
      </c>
      <c r="O42" s="15">
        <f t="shared" si="0"/>
        <v>0</v>
      </c>
      <c r="P42" s="24">
        <f t="shared" si="1"/>
        <v>0</v>
      </c>
      <c r="Q42" s="62"/>
      <c r="R42" s="38"/>
      <c r="S42" s="39"/>
    </row>
    <row r="43" spans="1:19" ht="28.05" customHeight="1" x14ac:dyDescent="0.6">
      <c r="A43" s="15">
        <f>'01_인적정보'!A35</f>
        <v>31</v>
      </c>
      <c r="B43" s="15" t="str">
        <f>'01_인적정보'!B35</f>
        <v>BSS-031</v>
      </c>
      <c r="C43" s="15" t="str">
        <f>'01_인적정보'!C35</f>
        <v>이정일</v>
      </c>
      <c r="D43" s="15" t="str">
        <f>'01_인적정보'!E35</f>
        <v>BIM컨설팅</v>
      </c>
      <c r="E43" s="15" t="str">
        <f>'01_인적정보'!H35</f>
        <v>G1</v>
      </c>
      <c r="F43" s="15" t="str">
        <f>IFERROR(VLOOKUP('01_인적정보'!M35,'13_직무역할DB'!$A$5:$L$70,4,FALSE),"")</f>
        <v>실무 보조</v>
      </c>
      <c r="G43" s="15" t="str">
        <f>IFERROR(VLOOKUP('01_인적정보'!M35,'13_직무역할DB'!$A$5:$L$70,5,FALSE),"")</f>
        <v>BIM 모델링 기초 작업과 자료 정리를 담당하며 실무 진행을 보조하는 역할.</v>
      </c>
      <c r="H43" s="15">
        <f>'07_결과취합'!G36</f>
        <v>0</v>
      </c>
      <c r="I43" s="15">
        <f>'07_결과취합'!H36</f>
        <v>0</v>
      </c>
      <c r="J43" s="15">
        <f>'07_결과취합'!I36</f>
        <v>0</v>
      </c>
      <c r="K43" s="15">
        <f>'07_결과취합'!J36</f>
        <v>0</v>
      </c>
      <c r="L43" s="15">
        <f>'07_결과취합'!K36</f>
        <v>0</v>
      </c>
      <c r="M43" s="15">
        <f>'07_결과취합'!L36</f>
        <v>0</v>
      </c>
      <c r="N43" s="15">
        <f>'07_결과취합'!M36</f>
        <v>0</v>
      </c>
      <c r="O43" s="15">
        <f t="shared" si="0"/>
        <v>0</v>
      </c>
      <c r="P43" s="24">
        <f t="shared" si="1"/>
        <v>0</v>
      </c>
      <c r="Q43" s="62"/>
      <c r="R43" s="38"/>
      <c r="S43" s="39"/>
    </row>
    <row r="44" spans="1:19" ht="28.05" customHeight="1" x14ac:dyDescent="0.6">
      <c r="A44" s="15">
        <f>'01_인적정보'!A36</f>
        <v>32</v>
      </c>
      <c r="B44" s="15" t="str">
        <f>'01_인적정보'!B36</f>
        <v>BSS-032</v>
      </c>
      <c r="C44" s="15" t="str">
        <f>'01_인적정보'!C36</f>
        <v>안재성</v>
      </c>
      <c r="D44" s="15" t="str">
        <f>'01_인적정보'!E36</f>
        <v>BIM컨설팅</v>
      </c>
      <c r="E44" s="15" t="str">
        <f>'01_인적정보'!H36</f>
        <v>G1</v>
      </c>
      <c r="F44" s="15" t="str">
        <f>IFERROR(VLOOKUP('01_인적정보'!M36,'13_직무역할DB'!$A$5:$L$70,4,FALSE),"")</f>
        <v>실무 보조</v>
      </c>
      <c r="G44" s="15" t="str">
        <f>IFERROR(VLOOKUP('01_인적정보'!M36,'13_직무역할DB'!$A$5:$L$70,5,FALSE),"")</f>
        <v>BIM 모델링 기초 작업과 자료 정리를 담당하며 실무 진행을 보조하는 역할.</v>
      </c>
      <c r="H44" s="15">
        <f>'07_결과취합'!G37</f>
        <v>0</v>
      </c>
      <c r="I44" s="15">
        <f>'07_결과취합'!H37</f>
        <v>0</v>
      </c>
      <c r="J44" s="15">
        <f>'07_결과취합'!I37</f>
        <v>0</v>
      </c>
      <c r="K44" s="15">
        <f>'07_결과취합'!J37</f>
        <v>0</v>
      </c>
      <c r="L44" s="15">
        <f>'07_결과취합'!K37</f>
        <v>0</v>
      </c>
      <c r="M44" s="15">
        <f>'07_결과취합'!L37</f>
        <v>0</v>
      </c>
      <c r="N44" s="15">
        <f>'07_결과취합'!M37</f>
        <v>0</v>
      </c>
      <c r="O44" s="15">
        <f t="shared" si="0"/>
        <v>0</v>
      </c>
      <c r="P44" s="24">
        <f t="shared" si="1"/>
        <v>0</v>
      </c>
      <c r="Q44" s="62"/>
      <c r="R44" s="38"/>
      <c r="S44" s="39"/>
    </row>
    <row r="45" spans="1:19" ht="28.05" customHeight="1" x14ac:dyDescent="0.6">
      <c r="A45" s="15">
        <f>'01_인적정보'!A37</f>
        <v>33</v>
      </c>
      <c r="B45" s="15" t="str">
        <f>'01_인적정보'!B37</f>
        <v>BSS-033</v>
      </c>
      <c r="C45" s="15" t="str">
        <f>'01_인적정보'!C37</f>
        <v>유태석</v>
      </c>
      <c r="D45" s="15" t="str">
        <f>'01_인적정보'!E37</f>
        <v>BIM컨설팅</v>
      </c>
      <c r="E45" s="15" t="str">
        <f>'01_인적정보'!H37</f>
        <v>G1</v>
      </c>
      <c r="F45" s="15" t="str">
        <f>IFERROR(VLOOKUP('01_인적정보'!M37,'13_직무역할DB'!$A$5:$L$70,4,FALSE),"")</f>
        <v>실무 보조</v>
      </c>
      <c r="G45" s="15" t="str">
        <f>IFERROR(VLOOKUP('01_인적정보'!M37,'13_직무역할DB'!$A$5:$L$70,5,FALSE),"")</f>
        <v>BIM 모델링 기초 작업과 자료 정리를 담당하며 실무 진행을 보조하는 역할.</v>
      </c>
      <c r="H45" s="15">
        <f>'07_결과취합'!G38</f>
        <v>0</v>
      </c>
      <c r="I45" s="15">
        <f>'07_결과취합'!H38</f>
        <v>0</v>
      </c>
      <c r="J45" s="15">
        <f>'07_결과취합'!I38</f>
        <v>0</v>
      </c>
      <c r="K45" s="15">
        <f>'07_결과취합'!J38</f>
        <v>0</v>
      </c>
      <c r="L45" s="15">
        <f>'07_결과취합'!K38</f>
        <v>0</v>
      </c>
      <c r="M45" s="15">
        <f>'07_결과취합'!L38</f>
        <v>0</v>
      </c>
      <c r="N45" s="15">
        <f>'07_결과취합'!M38</f>
        <v>0</v>
      </c>
      <c r="O45" s="15">
        <f t="shared" si="0"/>
        <v>0</v>
      </c>
      <c r="P45" s="24">
        <f t="shared" si="1"/>
        <v>0</v>
      </c>
      <c r="Q45" s="62"/>
      <c r="R45" s="38"/>
      <c r="S45" s="39"/>
    </row>
    <row r="46" spans="1:19" ht="28.05" customHeight="1" x14ac:dyDescent="0.6">
      <c r="A46" s="15">
        <f>'01_인적정보'!A38</f>
        <v>34</v>
      </c>
      <c r="B46" s="15" t="str">
        <f>'01_인적정보'!B38</f>
        <v>BSS-034</v>
      </c>
      <c r="C46" s="15" t="str">
        <f>'01_인적정보'!C38</f>
        <v>엄보근</v>
      </c>
      <c r="D46" s="15" t="str">
        <f>'01_인적정보'!E38</f>
        <v>BIM컨설팅</v>
      </c>
      <c r="E46" s="15" t="str">
        <f>'01_인적정보'!H38</f>
        <v>G1</v>
      </c>
      <c r="F46" s="15" t="str">
        <f>IFERROR(VLOOKUP('01_인적정보'!M38,'13_직무역할DB'!$A$5:$L$70,4,FALSE),"")</f>
        <v>실무 보조</v>
      </c>
      <c r="G46" s="15" t="str">
        <f>IFERROR(VLOOKUP('01_인적정보'!M38,'13_직무역할DB'!$A$5:$L$70,5,FALSE),"")</f>
        <v>BIM 모델링 기초 작업과 자료 정리를 담당하며 실무 진행을 보조하는 역할.</v>
      </c>
      <c r="H46" s="15">
        <f>'07_결과취합'!G39</f>
        <v>0</v>
      </c>
      <c r="I46" s="15">
        <f>'07_결과취합'!H39</f>
        <v>0</v>
      </c>
      <c r="J46" s="15">
        <f>'07_결과취합'!I39</f>
        <v>0</v>
      </c>
      <c r="K46" s="15">
        <f>'07_결과취합'!J39</f>
        <v>0</v>
      </c>
      <c r="L46" s="15">
        <f>'07_결과취합'!K39</f>
        <v>0</v>
      </c>
      <c r="M46" s="15">
        <f>'07_결과취합'!L39</f>
        <v>0</v>
      </c>
      <c r="N46" s="15">
        <f>'07_결과취합'!M39</f>
        <v>0</v>
      </c>
      <c r="O46" s="15">
        <f t="shared" si="0"/>
        <v>0</v>
      </c>
      <c r="P46" s="24">
        <f t="shared" si="1"/>
        <v>0</v>
      </c>
      <c r="Q46" s="62"/>
      <c r="R46" s="38"/>
      <c r="S46" s="39"/>
    </row>
    <row r="49" spans="1:19" ht="22.05" customHeight="1" x14ac:dyDescent="0.6">
      <c r="A49" s="45" t="s">
        <v>386</v>
      </c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</row>
    <row r="50" spans="1:19" ht="33.75" x14ac:dyDescent="0.6">
      <c r="A50" s="2" t="s">
        <v>131</v>
      </c>
      <c r="B50" s="2" t="s">
        <v>132</v>
      </c>
      <c r="C50" s="2" t="s">
        <v>133</v>
      </c>
      <c r="D50" s="2" t="s">
        <v>135</v>
      </c>
      <c r="E50" s="2" t="s">
        <v>105</v>
      </c>
      <c r="F50" s="2" t="s">
        <v>374</v>
      </c>
      <c r="G50" s="2" t="s">
        <v>375</v>
      </c>
      <c r="H50" s="2" t="s">
        <v>376</v>
      </c>
      <c r="I50" s="2" t="s">
        <v>377</v>
      </c>
      <c r="J50" s="2" t="s">
        <v>378</v>
      </c>
      <c r="K50" s="2" t="s">
        <v>379</v>
      </c>
      <c r="L50" s="2" t="s">
        <v>380</v>
      </c>
      <c r="M50" s="2" t="s">
        <v>381</v>
      </c>
      <c r="N50" s="2" t="s">
        <v>382</v>
      </c>
      <c r="O50" s="2" t="s">
        <v>383</v>
      </c>
      <c r="P50" s="2" t="s">
        <v>384</v>
      </c>
      <c r="Q50" s="42" t="s">
        <v>385</v>
      </c>
      <c r="R50" s="38"/>
      <c r="S50" s="39"/>
    </row>
    <row r="51" spans="1:19" ht="28.05" customHeight="1" x14ac:dyDescent="0.6">
      <c r="A51" s="15">
        <f>'01_인적정보'!A5</f>
        <v>1</v>
      </c>
      <c r="B51" s="15" t="str">
        <f>'01_인적정보'!B5</f>
        <v>BSS-001</v>
      </c>
      <c r="C51" s="15" t="str">
        <f>'01_인적정보'!C5</f>
        <v>이화형</v>
      </c>
      <c r="D51" s="15" t="str">
        <f>'01_인적정보'!E5</f>
        <v>프로젝트영업</v>
      </c>
      <c r="E51" s="15" t="str">
        <f>'01_인적정보'!H5</f>
        <v>G6</v>
      </c>
      <c r="F51" s="15" t="str">
        <f>IFERROR(VLOOKUP('01_인적정보'!M5,'13_직무역할DB'!$A$5:$L$70,4,FALSE),"")</f>
        <v>사업·조직 관리</v>
      </c>
      <c r="G51" s="15" t="str">
        <f>IFERROR(VLOOKUP('01_인적정보'!M5,'13_직무역할DB'!$A$5:$L$70,5,FALSE),"")</f>
        <v>회사의 영업전략 수립과 목표 달성을 총괄하며, 주요 고객·파트너십 관리 및 사업 기회를 확대하는 역할.</v>
      </c>
      <c r="H51" s="15">
        <f>'07_결과취합'!G44</f>
        <v>0</v>
      </c>
      <c r="I51" s="15">
        <f>'07_결과취합'!H44</f>
        <v>0</v>
      </c>
      <c r="J51" s="15">
        <f>'07_결과취합'!I44</f>
        <v>0</v>
      </c>
      <c r="K51" s="15">
        <f>'07_결과취합'!J44</f>
        <v>0</v>
      </c>
      <c r="L51" s="15">
        <f>'07_결과취합'!K44</f>
        <v>0</v>
      </c>
      <c r="M51" s="15">
        <f>'07_결과취합'!L44</f>
        <v>0</v>
      </c>
      <c r="N51" s="15">
        <f>'07_결과취합'!M44</f>
        <v>0</v>
      </c>
      <c r="O51" s="15">
        <f t="shared" ref="O51:O84" si="2">IF(N51&lt;&gt;"",N51,M51)</f>
        <v>0</v>
      </c>
      <c r="P51" s="24">
        <f t="shared" ref="P51:P84" si="3">IF(O51="","",IF(O51="S",5,IF(O51="A",4,IF(O51="B",3,IF(O51="C",2,IF(O51="D",1,0))))))</f>
        <v>0</v>
      </c>
      <c r="Q51" s="62"/>
      <c r="R51" s="38"/>
      <c r="S51" s="39"/>
    </row>
    <row r="52" spans="1:19" ht="28.05" customHeight="1" x14ac:dyDescent="0.6">
      <c r="A52" s="15">
        <f>'01_인적정보'!A6</f>
        <v>2</v>
      </c>
      <c r="B52" s="15" t="str">
        <f>'01_인적정보'!B6</f>
        <v>BSS-002</v>
      </c>
      <c r="C52" s="15" t="str">
        <f>'01_인적정보'!C6</f>
        <v>강전용</v>
      </c>
      <c r="D52" s="15" t="str">
        <f>'01_인적정보'!E6</f>
        <v>연구개발(R&amp;D)</v>
      </c>
      <c r="E52" s="15" t="str">
        <f>'01_인적정보'!H6</f>
        <v>G6</v>
      </c>
      <c r="F52" s="15" t="str">
        <f>IFERROR(VLOOKUP('01_인적정보'!M6,'13_직무역할DB'!$A$5:$L$70,4,FALSE),"")</f>
        <v>사업·조직 관리</v>
      </c>
      <c r="G52" s="15" t="str">
        <f>IFERROR(VLOOKUP('01_인적정보'!M6,'13_직무역할DB'!$A$5:$L$70,5,FALSE),"")</f>
        <v>전사 기술 로드맵과 제품 포트폴리오 전략을 총괄하며 핵심 기술 투자·외부 협력·IP 전략을 통해 사업 경쟁력을 창출하는 역할.</v>
      </c>
      <c r="H52" s="15">
        <f>'07_결과취합'!G45</f>
        <v>0</v>
      </c>
      <c r="I52" s="15">
        <f>'07_결과취합'!H45</f>
        <v>0</v>
      </c>
      <c r="J52" s="15">
        <f>'07_결과취합'!I45</f>
        <v>0</v>
      </c>
      <c r="K52" s="15">
        <f>'07_결과취합'!J45</f>
        <v>0</v>
      </c>
      <c r="L52" s="15">
        <f>'07_결과취합'!K45</f>
        <v>0</v>
      </c>
      <c r="M52" s="15">
        <f>'07_결과취합'!L45</f>
        <v>0</v>
      </c>
      <c r="N52" s="15">
        <f>'07_결과취합'!M45</f>
        <v>0</v>
      </c>
      <c r="O52" s="15">
        <f t="shared" si="2"/>
        <v>0</v>
      </c>
      <c r="P52" s="24">
        <f t="shared" si="3"/>
        <v>0</v>
      </c>
      <c r="Q52" s="62"/>
      <c r="R52" s="38"/>
      <c r="S52" s="39"/>
    </row>
    <row r="53" spans="1:19" ht="28.05" customHeight="1" x14ac:dyDescent="0.6">
      <c r="A53" s="15">
        <f>'01_인적정보'!A7</f>
        <v>3</v>
      </c>
      <c r="B53" s="15" t="str">
        <f>'01_인적정보'!B7</f>
        <v>BSS-003</v>
      </c>
      <c r="C53" s="15" t="str">
        <f>'01_인적정보'!C7</f>
        <v>김현민</v>
      </c>
      <c r="D53" s="15" t="str">
        <f>'01_인적정보'!E7</f>
        <v>BIM컨설팅</v>
      </c>
      <c r="E53" s="15" t="str">
        <f>'01_인적정보'!H7</f>
        <v>G6</v>
      </c>
      <c r="F53" s="15" t="str">
        <f>IFERROR(VLOOKUP('01_인적정보'!M7,'13_직무역할DB'!$A$5:$L$70,4,FALSE),"")</f>
        <v>사업·조직 관리</v>
      </c>
      <c r="G53" s="15" t="str">
        <f>IFERROR(VLOOKUP('01_인적정보'!M7,'13_직무역할DB'!$A$5:$L$70,5,FALSE),"")</f>
        <v>BIM 컨설팅 전략과 서비스 체계를 총괄하며 대외 협력과 사업 확장을 책임지는 역할.</v>
      </c>
      <c r="H53" s="15">
        <f>'07_결과취합'!G46</f>
        <v>0</v>
      </c>
      <c r="I53" s="15">
        <f>'07_결과취합'!H46</f>
        <v>0</v>
      </c>
      <c r="J53" s="15">
        <f>'07_결과취합'!I46</f>
        <v>0</v>
      </c>
      <c r="K53" s="15">
        <f>'07_결과취합'!J46</f>
        <v>0</v>
      </c>
      <c r="L53" s="15">
        <f>'07_결과취합'!K46</f>
        <v>0</v>
      </c>
      <c r="M53" s="15">
        <f>'07_결과취합'!L46</f>
        <v>0</v>
      </c>
      <c r="N53" s="15">
        <f>'07_결과취합'!M46</f>
        <v>0</v>
      </c>
      <c r="O53" s="15">
        <f t="shared" si="2"/>
        <v>0</v>
      </c>
      <c r="P53" s="24">
        <f t="shared" si="3"/>
        <v>0</v>
      </c>
      <c r="Q53" s="62"/>
      <c r="R53" s="38"/>
      <c r="S53" s="39"/>
    </row>
    <row r="54" spans="1:19" ht="28.05" customHeight="1" x14ac:dyDescent="0.6">
      <c r="A54" s="15">
        <f>'01_인적정보'!A8</f>
        <v>4</v>
      </c>
      <c r="B54" s="15" t="str">
        <f>'01_인적정보'!B8</f>
        <v>BSS-004</v>
      </c>
      <c r="C54" s="15" t="str">
        <f>'01_인적정보'!C8</f>
        <v>이일곤</v>
      </c>
      <c r="D54" s="15" t="str">
        <f>'01_인적정보'!E8</f>
        <v>경영전략기획</v>
      </c>
      <c r="E54" s="15" t="str">
        <f>'01_인적정보'!H8</f>
        <v>G6</v>
      </c>
      <c r="F54" s="15" t="str">
        <f>IFERROR(VLOOKUP('01_인적정보'!M8,'13_직무역할DB'!$A$5:$L$70,4,FALSE),"")</f>
        <v>사업·조직 관리</v>
      </c>
      <c r="G54" s="15" t="str">
        <f>IFERROR(VLOOKUP('01_인적정보'!M8,'13_직무역할DB'!$A$5:$L$70,5,FALSE),"")</f>
        <v>회사의 비전과 중장기 전략을 총괄하며, 경영·인사·재무·마케팅 등 핵심 기능을 통합 관리하고, 전사 의사결정·대외 협력·리스크 관리를 주도함.</v>
      </c>
      <c r="H54" s="15">
        <f>'07_결과취합'!G47</f>
        <v>0</v>
      </c>
      <c r="I54" s="15">
        <f>'07_결과취합'!H47</f>
        <v>0</v>
      </c>
      <c r="J54" s="15">
        <f>'07_결과취합'!I47</f>
        <v>0</v>
      </c>
      <c r="K54" s="15">
        <f>'07_결과취합'!J47</f>
        <v>0</v>
      </c>
      <c r="L54" s="15">
        <f>'07_결과취합'!K47</f>
        <v>0</v>
      </c>
      <c r="M54" s="15">
        <f>'07_결과취합'!L47</f>
        <v>0</v>
      </c>
      <c r="N54" s="15">
        <f>'07_결과취합'!M47</f>
        <v>0</v>
      </c>
      <c r="O54" s="15">
        <f t="shared" si="2"/>
        <v>0</v>
      </c>
      <c r="P54" s="24">
        <f t="shared" si="3"/>
        <v>0</v>
      </c>
      <c r="Q54" s="62"/>
      <c r="R54" s="38"/>
      <c r="S54" s="39"/>
    </row>
    <row r="55" spans="1:19" ht="28.05" customHeight="1" x14ac:dyDescent="0.6">
      <c r="A55" s="15">
        <f>'01_인적정보'!A9</f>
        <v>5</v>
      </c>
      <c r="B55" s="15" t="str">
        <f>'01_인적정보'!B9</f>
        <v>BSS-005</v>
      </c>
      <c r="C55" s="15" t="str">
        <f>'01_인적정보'!C9</f>
        <v>송헌영</v>
      </c>
      <c r="D55" s="15" t="str">
        <f>'01_인적정보'!E9</f>
        <v>경영전략기획</v>
      </c>
      <c r="E55" s="15" t="str">
        <f>'01_인적정보'!H9</f>
        <v>G6</v>
      </c>
      <c r="F55" s="15" t="str">
        <f>IFERROR(VLOOKUP('01_인적정보'!M9,'13_직무역할DB'!$A$5:$L$70,4,FALSE),"")</f>
        <v>사업·조직 관리</v>
      </c>
      <c r="G55" s="15" t="str">
        <f>IFERROR(VLOOKUP('01_인적정보'!M9,'13_직무역할DB'!$A$5:$L$70,5,FALSE),"")</f>
        <v>회사의 비전과 중장기 전략을 총괄하며, 경영·인사·재무·마케팅 등 핵심 기능을 통합 관리하고, 전사 의사결정·대외 협력·리스크 관리를 주도함.</v>
      </c>
      <c r="H55" s="15">
        <f>'07_결과취합'!G48</f>
        <v>0</v>
      </c>
      <c r="I55" s="15">
        <f>'07_결과취합'!H48</f>
        <v>0</v>
      </c>
      <c r="J55" s="15">
        <f>'07_결과취합'!I48</f>
        <v>0</v>
      </c>
      <c r="K55" s="15">
        <f>'07_결과취합'!J48</f>
        <v>0</v>
      </c>
      <c r="L55" s="15">
        <f>'07_결과취합'!K48</f>
        <v>0</v>
      </c>
      <c r="M55" s="15">
        <f>'07_결과취합'!L48</f>
        <v>0</v>
      </c>
      <c r="N55" s="15">
        <f>'07_결과취합'!M48</f>
        <v>0</v>
      </c>
      <c r="O55" s="15">
        <f t="shared" si="2"/>
        <v>0</v>
      </c>
      <c r="P55" s="24">
        <f t="shared" si="3"/>
        <v>0</v>
      </c>
      <c r="Q55" s="62"/>
      <c r="R55" s="38"/>
      <c r="S55" s="39"/>
    </row>
    <row r="56" spans="1:19" ht="28.05" customHeight="1" x14ac:dyDescent="0.6">
      <c r="A56" s="15">
        <f>'01_인적정보'!A10</f>
        <v>6</v>
      </c>
      <c r="B56" s="15" t="str">
        <f>'01_인적정보'!B10</f>
        <v>BSS-006</v>
      </c>
      <c r="C56" s="15" t="str">
        <f>'01_인적정보'!C10</f>
        <v>이재용</v>
      </c>
      <c r="D56" s="15" t="str">
        <f>'01_인적정보'!E10</f>
        <v>경영전략기획</v>
      </c>
      <c r="E56" s="15" t="str">
        <f>'01_인적정보'!H10</f>
        <v>G6</v>
      </c>
      <c r="F56" s="15" t="str">
        <f>IFERROR(VLOOKUP('01_인적정보'!M10,'13_직무역할DB'!$A$5:$L$70,4,FALSE),"")</f>
        <v>사업·조직 관리</v>
      </c>
      <c r="G56" s="15" t="str">
        <f>IFERROR(VLOOKUP('01_인적정보'!M10,'13_직무역할DB'!$A$5:$L$70,5,FALSE),"")</f>
        <v>회사의 비전과 중장기 전략을 총괄하며, 경영·인사·재무·마케팅 등 핵심 기능을 통합 관리하고, 전사 의사결정·대외 협력·리스크 관리를 주도함.</v>
      </c>
      <c r="H56" s="15">
        <f>'07_결과취합'!G49</f>
        <v>0</v>
      </c>
      <c r="I56" s="15">
        <f>'07_결과취합'!H49</f>
        <v>0</v>
      </c>
      <c r="J56" s="15">
        <f>'07_결과취합'!I49</f>
        <v>0</v>
      </c>
      <c r="K56" s="15">
        <f>'07_결과취합'!J49</f>
        <v>0</v>
      </c>
      <c r="L56" s="15">
        <f>'07_결과취합'!K49</f>
        <v>0</v>
      </c>
      <c r="M56" s="15">
        <f>'07_결과취합'!L49</f>
        <v>0</v>
      </c>
      <c r="N56" s="15">
        <f>'07_결과취합'!M49</f>
        <v>0</v>
      </c>
      <c r="O56" s="15">
        <f t="shared" si="2"/>
        <v>0</v>
      </c>
      <c r="P56" s="24">
        <f t="shared" si="3"/>
        <v>0</v>
      </c>
      <c r="Q56" s="62"/>
      <c r="R56" s="38"/>
      <c r="S56" s="39"/>
    </row>
    <row r="57" spans="1:19" ht="28.05" customHeight="1" x14ac:dyDescent="0.6">
      <c r="A57" s="15">
        <f>'01_인적정보'!A11</f>
        <v>7</v>
      </c>
      <c r="B57" s="15" t="str">
        <f>'01_인적정보'!B11</f>
        <v>BSS-007</v>
      </c>
      <c r="C57" s="15" t="str">
        <f>'01_인적정보'!C11</f>
        <v>이진행</v>
      </c>
      <c r="D57" s="15" t="str">
        <f>'01_인적정보'!E11</f>
        <v>교육·기술지원</v>
      </c>
      <c r="E57" s="15" t="str">
        <f>'01_인적정보'!H11</f>
        <v>G5</v>
      </c>
      <c r="F57" s="15" t="str">
        <f>IFERROR(VLOOKUP('01_인적정보'!M11,'13_직무역할DB'!$A$5:$L$70,4,FALSE),"")</f>
        <v>직무 관리(부서장)</v>
      </c>
      <c r="G57" s="15" t="str">
        <f>IFERROR(VLOOKUP('01_인적정보'!M11,'13_직무역할DB'!$A$5:$L$70,5,FALSE),"")</f>
        <v>교육 조직의 목표·예산·인력을 관리하고 과정 기획·운영 품질을 총괄하며 대외 인증·평가 대응을 주도하는 역할.</v>
      </c>
      <c r="H57" s="15">
        <f>'07_결과취합'!G50</f>
        <v>0</v>
      </c>
      <c r="I57" s="15">
        <f>'07_결과취합'!H50</f>
        <v>0</v>
      </c>
      <c r="J57" s="15">
        <f>'07_결과취합'!I50</f>
        <v>0</v>
      </c>
      <c r="K57" s="15">
        <f>'07_결과취합'!J50</f>
        <v>0</v>
      </c>
      <c r="L57" s="15">
        <f>'07_결과취합'!K50</f>
        <v>0</v>
      </c>
      <c r="M57" s="15">
        <f>'07_결과취합'!L50</f>
        <v>0</v>
      </c>
      <c r="N57" s="15">
        <f>'07_결과취합'!M50</f>
        <v>0</v>
      </c>
      <c r="O57" s="15">
        <f t="shared" si="2"/>
        <v>0</v>
      </c>
      <c r="P57" s="24">
        <f t="shared" si="3"/>
        <v>0</v>
      </c>
      <c r="Q57" s="62"/>
      <c r="R57" s="38"/>
      <c r="S57" s="39"/>
    </row>
    <row r="58" spans="1:19" ht="28.05" customHeight="1" x14ac:dyDescent="0.6">
      <c r="A58" s="15">
        <f>'01_인적정보'!A12</f>
        <v>8</v>
      </c>
      <c r="B58" s="15" t="str">
        <f>'01_인적정보'!B12</f>
        <v>BSS-008</v>
      </c>
      <c r="C58" s="15" t="str">
        <f>'01_인적정보'!C12</f>
        <v>김민수</v>
      </c>
      <c r="D58" s="15" t="str">
        <f>'01_인적정보'!E12</f>
        <v>교육·기술지원</v>
      </c>
      <c r="E58" s="15" t="str">
        <f>'01_인적정보'!H12</f>
        <v>G5</v>
      </c>
      <c r="F58" s="15" t="str">
        <f>IFERROR(VLOOKUP('01_인적정보'!M12,'13_직무역할DB'!$A$5:$L$70,4,FALSE),"")</f>
        <v>직무 관리(부서장)</v>
      </c>
      <c r="G58" s="15" t="str">
        <f>IFERROR(VLOOKUP('01_인적정보'!M12,'13_직무역할DB'!$A$5:$L$70,5,FALSE),"")</f>
        <v>교육 조직의 목표·예산·인력을 관리하고 과정 기획·운영 품질을 총괄하며 대외 인증·평가 대응을 주도하는 역할.</v>
      </c>
      <c r="H58" s="15">
        <f>'07_결과취합'!G51</f>
        <v>0</v>
      </c>
      <c r="I58" s="15">
        <f>'07_결과취합'!H51</f>
        <v>0</v>
      </c>
      <c r="J58" s="15">
        <f>'07_결과취합'!I51</f>
        <v>0</v>
      </c>
      <c r="K58" s="15">
        <f>'07_결과취합'!J51</f>
        <v>0</v>
      </c>
      <c r="L58" s="15">
        <f>'07_결과취합'!K51</f>
        <v>0</v>
      </c>
      <c r="M58" s="15">
        <f>'07_결과취합'!L51</f>
        <v>0</v>
      </c>
      <c r="N58" s="15">
        <f>'07_결과취합'!M51</f>
        <v>0</v>
      </c>
      <c r="O58" s="15">
        <f t="shared" si="2"/>
        <v>0</v>
      </c>
      <c r="P58" s="24">
        <f t="shared" si="3"/>
        <v>0</v>
      </c>
      <c r="Q58" s="62"/>
      <c r="R58" s="38"/>
      <c r="S58" s="39"/>
    </row>
    <row r="59" spans="1:19" ht="28.05" customHeight="1" x14ac:dyDescent="0.6">
      <c r="A59" s="15">
        <f>'01_인적정보'!A13</f>
        <v>9</v>
      </c>
      <c r="B59" s="15" t="str">
        <f>'01_인적정보'!B13</f>
        <v>BSS-009</v>
      </c>
      <c r="C59" s="15" t="str">
        <f>'01_인적정보'!C13</f>
        <v>박남식</v>
      </c>
      <c r="D59" s="15" t="str">
        <f>'01_인적정보'!E13</f>
        <v>BIM컨설팅</v>
      </c>
      <c r="E59" s="15" t="str">
        <f>'01_인적정보'!H13</f>
        <v>G5</v>
      </c>
      <c r="F59" s="15" t="str">
        <f>IFERROR(VLOOKUP('01_인적정보'!M13,'13_직무역할DB'!$A$5:$L$70,4,FALSE),"")</f>
        <v>직무 관리(부서장)</v>
      </c>
      <c r="G59" s="15" t="str">
        <f>IFERROR(VLOOKUP('01_인적정보'!M13,'13_직무역할DB'!$A$5:$L$70,5,FALSE),"")</f>
        <v>BIM 컨설팅 조직의 목표와 방향을 설정·관리하고 프로젝트 포트폴리오 운영 및 성과 달성을 총괄하는 역할.</v>
      </c>
      <c r="H59" s="15">
        <f>'07_결과취합'!G52</f>
        <v>0</v>
      </c>
      <c r="I59" s="15">
        <f>'07_결과취합'!H52</f>
        <v>0</v>
      </c>
      <c r="J59" s="15">
        <f>'07_결과취합'!I52</f>
        <v>0</v>
      </c>
      <c r="K59" s="15">
        <f>'07_결과취합'!J52</f>
        <v>0</v>
      </c>
      <c r="L59" s="15">
        <f>'07_결과취합'!K52</f>
        <v>0</v>
      </c>
      <c r="M59" s="15">
        <f>'07_결과취합'!L52</f>
        <v>0</v>
      </c>
      <c r="N59" s="15">
        <f>'07_결과취합'!M52</f>
        <v>0</v>
      </c>
      <c r="O59" s="15">
        <f t="shared" si="2"/>
        <v>0</v>
      </c>
      <c r="P59" s="24">
        <f t="shared" si="3"/>
        <v>0</v>
      </c>
      <c r="Q59" s="62"/>
      <c r="R59" s="38"/>
      <c r="S59" s="39"/>
    </row>
    <row r="60" spans="1:19" ht="28.05" customHeight="1" x14ac:dyDescent="0.6">
      <c r="A60" s="15">
        <f>'01_인적정보'!A14</f>
        <v>10</v>
      </c>
      <c r="B60" s="15" t="str">
        <f>'01_인적정보'!B14</f>
        <v>BSS-010</v>
      </c>
      <c r="C60" s="15" t="str">
        <f>'01_인적정보'!C14</f>
        <v>신재민</v>
      </c>
      <c r="D60" s="15" t="str">
        <f>'01_인적정보'!E14</f>
        <v>BIM컨설팅</v>
      </c>
      <c r="E60" s="15" t="str">
        <f>'01_인적정보'!H14</f>
        <v>G5</v>
      </c>
      <c r="F60" s="15" t="str">
        <f>IFERROR(VLOOKUP('01_인적정보'!M14,'13_직무역할DB'!$A$5:$L$70,4,FALSE),"")</f>
        <v>직무 관리(부서장)</v>
      </c>
      <c r="G60" s="15" t="str">
        <f>IFERROR(VLOOKUP('01_인적정보'!M14,'13_직무역할DB'!$A$5:$L$70,5,FALSE),"")</f>
        <v>BIM 컨설팅 조직의 목표와 방향을 설정·관리하고 프로젝트 포트폴리오 운영 및 성과 달성을 총괄하는 역할.</v>
      </c>
      <c r="H60" s="15">
        <f>'07_결과취합'!G53</f>
        <v>0</v>
      </c>
      <c r="I60" s="15">
        <f>'07_결과취합'!H53</f>
        <v>0</v>
      </c>
      <c r="J60" s="15">
        <f>'07_결과취합'!I53</f>
        <v>0</v>
      </c>
      <c r="K60" s="15">
        <f>'07_결과취합'!J53</f>
        <v>0</v>
      </c>
      <c r="L60" s="15">
        <f>'07_결과취합'!K53</f>
        <v>0</v>
      </c>
      <c r="M60" s="15">
        <f>'07_결과취합'!L53</f>
        <v>0</v>
      </c>
      <c r="N60" s="15">
        <f>'07_결과취합'!M53</f>
        <v>0</v>
      </c>
      <c r="O60" s="15">
        <f t="shared" si="2"/>
        <v>0</v>
      </c>
      <c r="P60" s="24">
        <f t="shared" si="3"/>
        <v>0</v>
      </c>
      <c r="Q60" s="62"/>
      <c r="R60" s="38"/>
      <c r="S60" s="39"/>
    </row>
    <row r="61" spans="1:19" ht="28.05" customHeight="1" x14ac:dyDescent="0.6">
      <c r="A61" s="15">
        <f>'01_인적정보'!A15</f>
        <v>11</v>
      </c>
      <c r="B61" s="15" t="str">
        <f>'01_인적정보'!B15</f>
        <v>BSS-011</v>
      </c>
      <c r="C61" s="15" t="str">
        <f>'01_인적정보'!C15</f>
        <v>마장엽</v>
      </c>
      <c r="D61" s="15" t="str">
        <f>'01_인적정보'!E15</f>
        <v>BIM컨설팅</v>
      </c>
      <c r="E61" s="15" t="str">
        <f>'01_인적정보'!H15</f>
        <v>G5</v>
      </c>
      <c r="F61" s="15" t="str">
        <f>IFERROR(VLOOKUP('01_인적정보'!M15,'13_직무역할DB'!$A$5:$L$70,4,FALSE),"")</f>
        <v>직무 관리(부서장)</v>
      </c>
      <c r="G61" s="15" t="str">
        <f>IFERROR(VLOOKUP('01_인적정보'!M15,'13_직무역할DB'!$A$5:$L$70,5,FALSE),"")</f>
        <v>BIM 컨설팅 조직의 목표와 방향을 설정·관리하고 프로젝트 포트폴리오 운영 및 성과 달성을 총괄하는 역할.</v>
      </c>
      <c r="H61" s="15">
        <f>'07_결과취합'!G54</f>
        <v>0</v>
      </c>
      <c r="I61" s="15">
        <f>'07_결과취합'!H54</f>
        <v>0</v>
      </c>
      <c r="J61" s="15">
        <f>'07_결과취합'!I54</f>
        <v>0</v>
      </c>
      <c r="K61" s="15">
        <f>'07_결과취합'!J54</f>
        <v>0</v>
      </c>
      <c r="L61" s="15">
        <f>'07_결과취합'!K54</f>
        <v>0</v>
      </c>
      <c r="M61" s="15">
        <f>'07_결과취합'!L54</f>
        <v>0</v>
      </c>
      <c r="N61" s="15">
        <f>'07_결과취합'!M54</f>
        <v>0</v>
      </c>
      <c r="O61" s="15">
        <f t="shared" si="2"/>
        <v>0</v>
      </c>
      <c r="P61" s="24">
        <f t="shared" si="3"/>
        <v>0</v>
      </c>
      <c r="Q61" s="62"/>
      <c r="R61" s="38"/>
      <c r="S61" s="39"/>
    </row>
    <row r="62" spans="1:19" ht="28.05" customHeight="1" x14ac:dyDescent="0.6">
      <c r="A62" s="15">
        <f>'01_인적정보'!A16</f>
        <v>12</v>
      </c>
      <c r="B62" s="15" t="str">
        <f>'01_인적정보'!B16</f>
        <v>BSS-012</v>
      </c>
      <c r="C62" s="15" t="str">
        <f>'01_인적정보'!C16</f>
        <v>하은주</v>
      </c>
      <c r="D62" s="15" t="str">
        <f>'01_인적정보'!E16</f>
        <v>경영전략기획</v>
      </c>
      <c r="E62" s="15" t="str">
        <f>'01_인적정보'!H16</f>
        <v>G5</v>
      </c>
      <c r="F62" s="15" t="str">
        <f>IFERROR(VLOOKUP('01_인적정보'!M16,'13_직무역할DB'!$A$5:$L$70,4,FALSE),"")</f>
        <v>직무 관리(부서장)</v>
      </c>
      <c r="G62" s="15" t="str">
        <f>IFERROR(VLOOKUP('01_인적정보'!M16,'13_직무역할DB'!$A$5:$L$70,5,FALSE),"")</f>
        <v>부서 전략 및 목표를 수립하고, 자원 배분·예산 관리·성과 관리를 통해 조직 성과 달성을 책임지고, 부서 내 의사결정을 주도함.</v>
      </c>
      <c r="H62" s="15">
        <f>'07_결과취합'!G55</f>
        <v>0</v>
      </c>
      <c r="I62" s="15">
        <f>'07_결과취합'!H55</f>
        <v>0</v>
      </c>
      <c r="J62" s="15">
        <f>'07_결과취합'!I55</f>
        <v>0</v>
      </c>
      <c r="K62" s="15">
        <f>'07_결과취합'!J55</f>
        <v>0</v>
      </c>
      <c r="L62" s="15">
        <f>'07_결과취합'!K55</f>
        <v>0</v>
      </c>
      <c r="M62" s="15">
        <f>'07_결과취합'!L55</f>
        <v>0</v>
      </c>
      <c r="N62" s="15">
        <f>'07_결과취합'!M55</f>
        <v>0</v>
      </c>
      <c r="O62" s="15">
        <f t="shared" si="2"/>
        <v>0</v>
      </c>
      <c r="P62" s="24">
        <f t="shared" si="3"/>
        <v>0</v>
      </c>
      <c r="Q62" s="62"/>
      <c r="R62" s="38"/>
      <c r="S62" s="39"/>
    </row>
    <row r="63" spans="1:19" ht="28.05" customHeight="1" x14ac:dyDescent="0.6">
      <c r="A63" s="15">
        <f>'01_인적정보'!A17</f>
        <v>13</v>
      </c>
      <c r="B63" s="15" t="str">
        <f>'01_인적정보'!B17</f>
        <v>BSS-013</v>
      </c>
      <c r="C63" s="15" t="str">
        <f>'01_인적정보'!C17</f>
        <v>홍사훈</v>
      </c>
      <c r="D63" s="15" t="str">
        <f>'01_인적정보'!E17</f>
        <v>BIM컨설팅</v>
      </c>
      <c r="E63" s="15" t="str">
        <f>'01_인적정보'!H17</f>
        <v>G5</v>
      </c>
      <c r="F63" s="15" t="str">
        <f>IFERROR(VLOOKUP('01_인적정보'!M17,'13_직무역할DB'!$A$5:$L$70,4,FALSE),"")</f>
        <v>직무 관리(부서장)</v>
      </c>
      <c r="G63" s="15" t="str">
        <f>IFERROR(VLOOKUP('01_인적정보'!M17,'13_직무역할DB'!$A$5:$L$70,5,FALSE),"")</f>
        <v>BIM 컨설팅 조직의 목표와 방향을 설정·관리하고 프로젝트 포트폴리오 운영 및 성과 달성을 총괄하는 역할.</v>
      </c>
      <c r="H63" s="15">
        <f>'07_결과취합'!G56</f>
        <v>0</v>
      </c>
      <c r="I63" s="15">
        <f>'07_결과취합'!H56</f>
        <v>0</v>
      </c>
      <c r="J63" s="15">
        <f>'07_결과취합'!I56</f>
        <v>0</v>
      </c>
      <c r="K63" s="15">
        <f>'07_결과취합'!J56</f>
        <v>0</v>
      </c>
      <c r="L63" s="15">
        <f>'07_결과취합'!K56</f>
        <v>0</v>
      </c>
      <c r="M63" s="15">
        <f>'07_결과취합'!L56</f>
        <v>0</v>
      </c>
      <c r="N63" s="15">
        <f>'07_결과취합'!M56</f>
        <v>0</v>
      </c>
      <c r="O63" s="15">
        <f t="shared" si="2"/>
        <v>0</v>
      </c>
      <c r="P63" s="24">
        <f t="shared" si="3"/>
        <v>0</v>
      </c>
      <c r="Q63" s="62"/>
      <c r="R63" s="38"/>
      <c r="S63" s="39"/>
    </row>
    <row r="64" spans="1:19" ht="28.05" customHeight="1" x14ac:dyDescent="0.6">
      <c r="A64" s="15">
        <f>'01_인적정보'!A18</f>
        <v>14</v>
      </c>
      <c r="B64" s="15" t="str">
        <f>'01_인적정보'!B18</f>
        <v>BSS-014</v>
      </c>
      <c r="C64" s="15" t="str">
        <f>'01_인적정보'!C18</f>
        <v>유자영</v>
      </c>
      <c r="D64" s="15" t="str">
        <f>'01_인적정보'!E18</f>
        <v>BIM컨설팅</v>
      </c>
      <c r="E64" s="15" t="str">
        <f>'01_인적정보'!H18</f>
        <v>G5</v>
      </c>
      <c r="F64" s="15" t="str">
        <f>IFERROR(VLOOKUP('01_인적정보'!M18,'13_직무역할DB'!$A$5:$L$70,4,FALSE),"")</f>
        <v>직무 관리(부서장)</v>
      </c>
      <c r="G64" s="15" t="str">
        <f>IFERROR(VLOOKUP('01_인적정보'!M18,'13_직무역할DB'!$A$5:$L$70,5,FALSE),"")</f>
        <v>BIM 컨설팅 조직의 목표와 방향을 설정·관리하고 프로젝트 포트폴리오 운영 및 성과 달성을 총괄하는 역할.</v>
      </c>
      <c r="H64" s="15">
        <f>'07_결과취합'!G57</f>
        <v>0</v>
      </c>
      <c r="I64" s="15">
        <f>'07_결과취합'!H57</f>
        <v>0</v>
      </c>
      <c r="J64" s="15">
        <f>'07_결과취합'!I57</f>
        <v>0</v>
      </c>
      <c r="K64" s="15">
        <f>'07_결과취합'!J57</f>
        <v>0</v>
      </c>
      <c r="L64" s="15">
        <f>'07_결과취합'!K57</f>
        <v>0</v>
      </c>
      <c r="M64" s="15">
        <f>'07_결과취합'!L57</f>
        <v>0</v>
      </c>
      <c r="N64" s="15">
        <f>'07_결과취합'!M57</f>
        <v>0</v>
      </c>
      <c r="O64" s="15">
        <f t="shared" si="2"/>
        <v>0</v>
      </c>
      <c r="P64" s="24">
        <f t="shared" si="3"/>
        <v>0</v>
      </c>
      <c r="Q64" s="62"/>
      <c r="R64" s="38"/>
      <c r="S64" s="39"/>
    </row>
    <row r="65" spans="1:19" ht="28.05" customHeight="1" x14ac:dyDescent="0.6">
      <c r="A65" s="15">
        <f>'01_인적정보'!A19</f>
        <v>15</v>
      </c>
      <c r="B65" s="15" t="str">
        <f>'01_인적정보'!B19</f>
        <v>BSS-015</v>
      </c>
      <c r="C65" s="15" t="str">
        <f>'01_인적정보'!C19</f>
        <v>민지선</v>
      </c>
      <c r="D65" s="15" t="str">
        <f>'01_인적정보'!E19</f>
        <v>BIM컨설팅</v>
      </c>
      <c r="E65" s="15" t="str">
        <f>'01_인적정보'!H19</f>
        <v>G5</v>
      </c>
      <c r="F65" s="15" t="str">
        <f>IFERROR(VLOOKUP('01_인적정보'!M19,'13_직무역할DB'!$A$5:$L$70,4,FALSE),"")</f>
        <v>직무 관리(부서장)</v>
      </c>
      <c r="G65" s="15" t="str">
        <f>IFERROR(VLOOKUP('01_인적정보'!M19,'13_직무역할DB'!$A$5:$L$70,5,FALSE),"")</f>
        <v>BIM 컨설팅 조직의 목표와 방향을 설정·관리하고 프로젝트 포트폴리오 운영 및 성과 달성을 총괄하는 역할.</v>
      </c>
      <c r="H65" s="15">
        <f>'07_결과취합'!G58</f>
        <v>0</v>
      </c>
      <c r="I65" s="15">
        <f>'07_결과취합'!H58</f>
        <v>0</v>
      </c>
      <c r="J65" s="15">
        <f>'07_결과취합'!I58</f>
        <v>0</v>
      </c>
      <c r="K65" s="15">
        <f>'07_결과취합'!J58</f>
        <v>0</v>
      </c>
      <c r="L65" s="15">
        <f>'07_결과취합'!K58</f>
        <v>0</v>
      </c>
      <c r="M65" s="15">
        <f>'07_결과취합'!L58</f>
        <v>0</v>
      </c>
      <c r="N65" s="15">
        <f>'07_결과취합'!M58</f>
        <v>0</v>
      </c>
      <c r="O65" s="15">
        <f t="shared" si="2"/>
        <v>0</v>
      </c>
      <c r="P65" s="24">
        <f t="shared" si="3"/>
        <v>0</v>
      </c>
      <c r="Q65" s="62"/>
      <c r="R65" s="38"/>
      <c r="S65" s="39"/>
    </row>
    <row r="66" spans="1:19" ht="28.05" customHeight="1" x14ac:dyDescent="0.6">
      <c r="A66" s="15">
        <f>'01_인적정보'!A20</f>
        <v>16</v>
      </c>
      <c r="B66" s="15" t="str">
        <f>'01_인적정보'!B20</f>
        <v>BSS-016</v>
      </c>
      <c r="C66" s="15" t="str">
        <f>'01_인적정보'!C20</f>
        <v>장훈</v>
      </c>
      <c r="D66" s="15" t="str">
        <f>'01_인적정보'!E20</f>
        <v>BIM컨설팅</v>
      </c>
      <c r="E66" s="15" t="str">
        <f>'01_인적정보'!H20</f>
        <v>G5</v>
      </c>
      <c r="F66" s="15" t="str">
        <f>IFERROR(VLOOKUP('01_인적정보'!M20,'13_직무역할DB'!$A$5:$L$70,4,FALSE),"")</f>
        <v>직무 관리(부서장)</v>
      </c>
      <c r="G66" s="15" t="str">
        <f>IFERROR(VLOOKUP('01_인적정보'!M20,'13_직무역할DB'!$A$5:$L$70,5,FALSE),"")</f>
        <v>BIM 컨설팅 조직의 목표와 방향을 설정·관리하고 프로젝트 포트폴리오 운영 및 성과 달성을 총괄하는 역할.</v>
      </c>
      <c r="H66" s="15">
        <f>'07_결과취합'!G59</f>
        <v>0</v>
      </c>
      <c r="I66" s="15">
        <f>'07_결과취합'!H59</f>
        <v>0</v>
      </c>
      <c r="J66" s="15">
        <f>'07_결과취합'!I59</f>
        <v>0</v>
      </c>
      <c r="K66" s="15">
        <f>'07_결과취합'!J59</f>
        <v>0</v>
      </c>
      <c r="L66" s="15">
        <f>'07_결과취합'!K59</f>
        <v>0</v>
      </c>
      <c r="M66" s="15">
        <f>'07_결과취합'!L59</f>
        <v>0</v>
      </c>
      <c r="N66" s="15">
        <f>'07_결과취합'!M59</f>
        <v>0</v>
      </c>
      <c r="O66" s="15">
        <f t="shared" si="2"/>
        <v>0</v>
      </c>
      <c r="P66" s="24">
        <f t="shared" si="3"/>
        <v>0</v>
      </c>
      <c r="Q66" s="62"/>
      <c r="R66" s="38"/>
      <c r="S66" s="39"/>
    </row>
    <row r="67" spans="1:19" ht="28.05" customHeight="1" x14ac:dyDescent="0.6">
      <c r="A67" s="15">
        <f>'01_인적정보'!A21</f>
        <v>17</v>
      </c>
      <c r="B67" s="15" t="str">
        <f>'01_인적정보'!B21</f>
        <v>BSS-017</v>
      </c>
      <c r="C67" s="15" t="str">
        <f>'01_인적정보'!C21</f>
        <v>김우람</v>
      </c>
      <c r="D67" s="15" t="str">
        <f>'01_인적정보'!E21</f>
        <v>교육·기술지원</v>
      </c>
      <c r="E67" s="15" t="str">
        <f>'01_인적정보'!H21</f>
        <v>G4</v>
      </c>
      <c r="F67" s="15" t="str">
        <f>IFERROR(VLOOKUP('01_인적정보'!M21,'13_직무역할DB'!$A$5:$L$70,4,FALSE),"")</f>
        <v>실무 책임(PM)</v>
      </c>
      <c r="G67" s="15" t="str">
        <f>IFERROR(VLOOKUP('01_인적정보'!M21,'13_직무역할DB'!$A$5:$L$70,5,FALSE),"")</f>
        <v>핵심 교육과정의 운영 총괄과 강의 품질·수강생 성과·NPS를 관리하며 프로젝트형 교육과 기업 맞춤 과제를 리드하는 역할.</v>
      </c>
      <c r="H67" s="15">
        <f>'07_결과취합'!G60</f>
        <v>0</v>
      </c>
      <c r="I67" s="15">
        <f>'07_결과취합'!H60</f>
        <v>0</v>
      </c>
      <c r="J67" s="15">
        <f>'07_결과취합'!I60</f>
        <v>0</v>
      </c>
      <c r="K67" s="15">
        <f>'07_결과취합'!J60</f>
        <v>0</v>
      </c>
      <c r="L67" s="15">
        <f>'07_결과취합'!K60</f>
        <v>0</v>
      </c>
      <c r="M67" s="15">
        <f>'07_결과취합'!L60</f>
        <v>0</v>
      </c>
      <c r="N67" s="15">
        <f>'07_결과취합'!M60</f>
        <v>0</v>
      </c>
      <c r="O67" s="15">
        <f t="shared" si="2"/>
        <v>0</v>
      </c>
      <c r="P67" s="24">
        <f t="shared" si="3"/>
        <v>0</v>
      </c>
      <c r="Q67" s="62"/>
      <c r="R67" s="38"/>
      <c r="S67" s="39"/>
    </row>
    <row r="68" spans="1:19" ht="28.05" customHeight="1" x14ac:dyDescent="0.6">
      <c r="A68" s="15">
        <f>'01_인적정보'!A22</f>
        <v>18</v>
      </c>
      <c r="B68" s="15" t="str">
        <f>'01_인적정보'!B22</f>
        <v>BSS-018</v>
      </c>
      <c r="C68" s="15" t="str">
        <f>'01_인적정보'!C22</f>
        <v>조성준</v>
      </c>
      <c r="D68" s="15" t="str">
        <f>'01_인적정보'!E22</f>
        <v>BIM컨설팅</v>
      </c>
      <c r="E68" s="15" t="str">
        <f>'01_인적정보'!H22</f>
        <v>G4</v>
      </c>
      <c r="F68" s="15" t="str">
        <f>IFERROR(VLOOKUP('01_인적정보'!M22,'13_직무역할DB'!$A$5:$L$70,4,FALSE),"")</f>
        <v>실무 책임(PM)</v>
      </c>
      <c r="G68" s="15" t="str">
        <f>IFERROR(VLOOKUP('01_인적정보'!M22,'13_직무역할DB'!$A$5:$L$70,5,FALSE),"")</f>
        <v>BIM 프로젝트를 기획·운영하며 일정·품질·비용 관리와 산출물 보고를 책임지는 역할.</v>
      </c>
      <c r="H68" s="15">
        <f>'07_결과취합'!G61</f>
        <v>0</v>
      </c>
      <c r="I68" s="15">
        <f>'07_결과취합'!H61</f>
        <v>0</v>
      </c>
      <c r="J68" s="15">
        <f>'07_결과취합'!I61</f>
        <v>0</v>
      </c>
      <c r="K68" s="15">
        <f>'07_결과취합'!J61</f>
        <v>0</v>
      </c>
      <c r="L68" s="15">
        <f>'07_결과취합'!K61</f>
        <v>0</v>
      </c>
      <c r="M68" s="15">
        <f>'07_결과취합'!L61</f>
        <v>0</v>
      </c>
      <c r="N68" s="15">
        <f>'07_결과취합'!M61</f>
        <v>0</v>
      </c>
      <c r="O68" s="15">
        <f t="shared" si="2"/>
        <v>0</v>
      </c>
      <c r="P68" s="24">
        <f t="shared" si="3"/>
        <v>0</v>
      </c>
      <c r="Q68" s="62"/>
      <c r="R68" s="38"/>
      <c r="S68" s="39"/>
    </row>
    <row r="69" spans="1:19" ht="28.05" customHeight="1" x14ac:dyDescent="0.6">
      <c r="A69" s="15">
        <f>'01_인적정보'!A23</f>
        <v>19</v>
      </c>
      <c r="B69" s="15" t="str">
        <f>'01_인적정보'!B23</f>
        <v>BSS-019</v>
      </c>
      <c r="C69" s="15" t="str">
        <f>'01_인적정보'!C23</f>
        <v>구서현</v>
      </c>
      <c r="D69" s="15" t="str">
        <f>'01_인적정보'!E23</f>
        <v>BIM컨설팅</v>
      </c>
      <c r="E69" s="15" t="str">
        <f>'01_인적정보'!H23</f>
        <v>G2</v>
      </c>
      <c r="F69" s="15" t="str">
        <f>IFERROR(VLOOKUP('01_인적정보'!M23,'13_직무역할DB'!$A$5:$L$70,4,FALSE),"")</f>
        <v>실무</v>
      </c>
      <c r="G69" s="15" t="str">
        <f>IFERROR(VLOOKUP('01_인적정보'!M23,'13_직무역할DB'!$A$5:$L$70,5,FALSE),"")</f>
        <v>BIM 모델링과 도면 작성 등 세부 실무를 독립적으로 수행하며 프로젝트 품질 확보를 지원하는 역할.</v>
      </c>
      <c r="H69" s="15">
        <f>'07_결과취합'!G62</f>
        <v>0</v>
      </c>
      <c r="I69" s="15">
        <f>'07_결과취합'!H62</f>
        <v>0</v>
      </c>
      <c r="J69" s="15">
        <f>'07_결과취합'!I62</f>
        <v>0</v>
      </c>
      <c r="K69" s="15">
        <f>'07_결과취합'!J62</f>
        <v>0</v>
      </c>
      <c r="L69" s="15">
        <f>'07_결과취합'!K62</f>
        <v>0</v>
      </c>
      <c r="M69" s="15">
        <f>'07_결과취합'!L62</f>
        <v>0</v>
      </c>
      <c r="N69" s="15">
        <f>'07_결과취합'!M62</f>
        <v>0</v>
      </c>
      <c r="O69" s="15">
        <f t="shared" si="2"/>
        <v>0</v>
      </c>
      <c r="P69" s="24">
        <f t="shared" si="3"/>
        <v>0</v>
      </c>
      <c r="Q69" s="62"/>
      <c r="R69" s="38"/>
      <c r="S69" s="39"/>
    </row>
    <row r="70" spans="1:19" ht="28.05" customHeight="1" x14ac:dyDescent="0.6">
      <c r="A70" s="15">
        <f>'01_인적정보'!A24</f>
        <v>20</v>
      </c>
      <c r="B70" s="15" t="str">
        <f>'01_인적정보'!B24</f>
        <v>BSS-020</v>
      </c>
      <c r="C70" s="15" t="str">
        <f>'01_인적정보'!C24</f>
        <v>박진용</v>
      </c>
      <c r="D70" s="15" t="str">
        <f>'01_인적정보'!E24</f>
        <v>교육·기술지원</v>
      </c>
      <c r="E70" s="15" t="str">
        <f>'01_인적정보'!H24</f>
        <v>G3</v>
      </c>
      <c r="F70" s="15" t="str">
        <f>IFERROR(VLOOKUP('01_인적정보'!M24,'13_직무역할DB'!$A$5:$L$70,4,FALSE),"")</f>
        <v>핵심 실무</v>
      </c>
      <c r="G70" s="15" t="str">
        <f>IFERROR(VLOOKUP('01_인적정보'!M24,'13_직무역할DB'!$A$5:$L$70,5,FALSE),"")</f>
        <v>주력 과정을 독립적으로 강의·실습 운영하고 교안 개선·평가 채점·학습 성과 피드백을 통해 품질과 만족도를 확보하는 역할.</v>
      </c>
      <c r="H70" s="15">
        <f>'07_결과취합'!G63</f>
        <v>0</v>
      </c>
      <c r="I70" s="15">
        <f>'07_결과취합'!H63</f>
        <v>0</v>
      </c>
      <c r="J70" s="15">
        <f>'07_결과취합'!I63</f>
        <v>0</v>
      </c>
      <c r="K70" s="15">
        <f>'07_결과취합'!J63</f>
        <v>0</v>
      </c>
      <c r="L70" s="15">
        <f>'07_결과취합'!K63</f>
        <v>0</v>
      </c>
      <c r="M70" s="15">
        <f>'07_결과취합'!L63</f>
        <v>0</v>
      </c>
      <c r="N70" s="15">
        <f>'07_결과취합'!M63</f>
        <v>0</v>
      </c>
      <c r="O70" s="15">
        <f t="shared" si="2"/>
        <v>0</v>
      </c>
      <c r="P70" s="24">
        <f t="shared" si="3"/>
        <v>0</v>
      </c>
      <c r="Q70" s="62"/>
      <c r="R70" s="38"/>
      <c r="S70" s="39"/>
    </row>
    <row r="71" spans="1:19" ht="28.05" customHeight="1" x14ac:dyDescent="0.6">
      <c r="A71" s="15">
        <f>'01_인적정보'!A25</f>
        <v>21</v>
      </c>
      <c r="B71" s="15" t="str">
        <f>'01_인적정보'!B25</f>
        <v>BSS-021</v>
      </c>
      <c r="C71" s="15" t="str">
        <f>'01_인적정보'!C25</f>
        <v>김가연</v>
      </c>
      <c r="D71" s="15" t="str">
        <f>'01_인적정보'!E25</f>
        <v>BIM컨설팅</v>
      </c>
      <c r="E71" s="15" t="str">
        <f>'01_인적정보'!H25</f>
        <v>G2</v>
      </c>
      <c r="F71" s="15" t="str">
        <f>IFERROR(VLOOKUP('01_인적정보'!M25,'13_직무역할DB'!$A$5:$L$70,4,FALSE),"")</f>
        <v>실무</v>
      </c>
      <c r="G71" s="15" t="str">
        <f>IFERROR(VLOOKUP('01_인적정보'!M25,'13_직무역할DB'!$A$5:$L$70,5,FALSE),"")</f>
        <v>BIM 모델링과 도면 작성 등 세부 실무를 독립적으로 수행하며 프로젝트 품질 확보를 지원하는 역할.</v>
      </c>
      <c r="H71" s="15">
        <f>'07_결과취합'!G64</f>
        <v>0</v>
      </c>
      <c r="I71" s="15">
        <f>'07_결과취합'!H64</f>
        <v>0</v>
      </c>
      <c r="J71" s="15">
        <f>'07_결과취합'!I64</f>
        <v>0</v>
      </c>
      <c r="K71" s="15">
        <f>'07_결과취합'!J64</f>
        <v>0</v>
      </c>
      <c r="L71" s="15">
        <f>'07_결과취합'!K64</f>
        <v>0</v>
      </c>
      <c r="M71" s="15">
        <f>'07_결과취합'!L64</f>
        <v>0</v>
      </c>
      <c r="N71" s="15">
        <f>'07_결과취합'!M64</f>
        <v>0</v>
      </c>
      <c r="O71" s="15">
        <f t="shared" si="2"/>
        <v>0</v>
      </c>
      <c r="P71" s="24">
        <f t="shared" si="3"/>
        <v>0</v>
      </c>
      <c r="Q71" s="62"/>
      <c r="R71" s="38"/>
      <c r="S71" s="39"/>
    </row>
    <row r="72" spans="1:19" ht="28.05" customHeight="1" x14ac:dyDescent="0.6">
      <c r="A72" s="15">
        <f>'01_인적정보'!A26</f>
        <v>22</v>
      </c>
      <c r="B72" s="15" t="str">
        <f>'01_인적정보'!B26</f>
        <v>BSS-022</v>
      </c>
      <c r="C72" s="15" t="str">
        <f>'01_인적정보'!C26</f>
        <v>한근수</v>
      </c>
      <c r="D72" s="15" t="str">
        <f>'01_인적정보'!E26</f>
        <v>BIM컨설팅</v>
      </c>
      <c r="E72" s="15" t="str">
        <f>'01_인적정보'!H26</f>
        <v>G2</v>
      </c>
      <c r="F72" s="15" t="str">
        <f>IFERROR(VLOOKUP('01_인적정보'!M26,'13_직무역할DB'!$A$5:$L$70,4,FALSE),"")</f>
        <v>실무</v>
      </c>
      <c r="G72" s="15" t="str">
        <f>IFERROR(VLOOKUP('01_인적정보'!M26,'13_직무역할DB'!$A$5:$L$70,5,FALSE),"")</f>
        <v>BIM 모델링과 도면 작성 등 세부 실무를 독립적으로 수행하며 프로젝트 품질 확보를 지원하는 역할.</v>
      </c>
      <c r="H72" s="15">
        <f>'07_결과취합'!G65</f>
        <v>0</v>
      </c>
      <c r="I72" s="15">
        <f>'07_결과취합'!H65</f>
        <v>0</v>
      </c>
      <c r="J72" s="15">
        <f>'07_결과취합'!I65</f>
        <v>0</v>
      </c>
      <c r="K72" s="15">
        <f>'07_결과취합'!J65</f>
        <v>0</v>
      </c>
      <c r="L72" s="15">
        <f>'07_결과취합'!K65</f>
        <v>0</v>
      </c>
      <c r="M72" s="15">
        <f>'07_결과취합'!L65</f>
        <v>0</v>
      </c>
      <c r="N72" s="15">
        <f>'07_결과취합'!M65</f>
        <v>0</v>
      </c>
      <c r="O72" s="15">
        <f t="shared" si="2"/>
        <v>0</v>
      </c>
      <c r="P72" s="24">
        <f t="shared" si="3"/>
        <v>0</v>
      </c>
      <c r="Q72" s="62"/>
      <c r="R72" s="38"/>
      <c r="S72" s="39"/>
    </row>
    <row r="73" spans="1:19" ht="28.05" customHeight="1" x14ac:dyDescent="0.6">
      <c r="A73" s="15">
        <f>'01_인적정보'!A27</f>
        <v>23</v>
      </c>
      <c r="B73" s="15" t="str">
        <f>'01_인적정보'!B27</f>
        <v>BSS-023</v>
      </c>
      <c r="C73" s="15" t="str">
        <f>'01_인적정보'!C27</f>
        <v>김성민</v>
      </c>
      <c r="D73" s="15" t="str">
        <f>'01_인적정보'!E27</f>
        <v>BIM컨설팅</v>
      </c>
      <c r="E73" s="15" t="str">
        <f>'01_인적정보'!H27</f>
        <v>G2</v>
      </c>
      <c r="F73" s="15" t="str">
        <f>IFERROR(VLOOKUP('01_인적정보'!M27,'13_직무역할DB'!$A$5:$L$70,4,FALSE),"")</f>
        <v>실무</v>
      </c>
      <c r="G73" s="15" t="str">
        <f>IFERROR(VLOOKUP('01_인적정보'!M27,'13_직무역할DB'!$A$5:$L$70,5,FALSE),"")</f>
        <v>BIM 모델링과 도면 작성 등 세부 실무를 독립적으로 수행하며 프로젝트 품질 확보를 지원하는 역할.</v>
      </c>
      <c r="H73" s="15">
        <f>'07_결과취합'!G66</f>
        <v>0</v>
      </c>
      <c r="I73" s="15">
        <f>'07_결과취합'!H66</f>
        <v>0</v>
      </c>
      <c r="J73" s="15">
        <f>'07_결과취합'!I66</f>
        <v>0</v>
      </c>
      <c r="K73" s="15">
        <f>'07_결과취합'!J66</f>
        <v>0</v>
      </c>
      <c r="L73" s="15">
        <f>'07_결과취합'!K66</f>
        <v>0</v>
      </c>
      <c r="M73" s="15">
        <f>'07_결과취합'!L66</f>
        <v>0</v>
      </c>
      <c r="N73" s="15">
        <f>'07_결과취합'!M66</f>
        <v>0</v>
      </c>
      <c r="O73" s="15">
        <f t="shared" si="2"/>
        <v>0</v>
      </c>
      <c r="P73" s="24">
        <f t="shared" si="3"/>
        <v>0</v>
      </c>
      <c r="Q73" s="62"/>
      <c r="R73" s="38"/>
      <c r="S73" s="39"/>
    </row>
    <row r="74" spans="1:19" ht="28.05" customHeight="1" x14ac:dyDescent="0.6">
      <c r="A74" s="15">
        <f>'01_인적정보'!A28</f>
        <v>24</v>
      </c>
      <c r="B74" s="15" t="str">
        <f>'01_인적정보'!B28</f>
        <v>BSS-024</v>
      </c>
      <c r="C74" s="15" t="str">
        <f>'01_인적정보'!C28</f>
        <v>고광우</v>
      </c>
      <c r="D74" s="15" t="str">
        <f>'01_인적정보'!E28</f>
        <v>BIM컨설팅</v>
      </c>
      <c r="E74" s="15" t="str">
        <f>'01_인적정보'!H28</f>
        <v>G2</v>
      </c>
      <c r="F74" s="15" t="str">
        <f>IFERROR(VLOOKUP('01_인적정보'!M28,'13_직무역할DB'!$A$5:$L$70,4,FALSE),"")</f>
        <v>실무</v>
      </c>
      <c r="G74" s="15" t="str">
        <f>IFERROR(VLOOKUP('01_인적정보'!M28,'13_직무역할DB'!$A$5:$L$70,5,FALSE),"")</f>
        <v>BIM 모델링과 도면 작성 등 세부 실무를 독립적으로 수행하며 프로젝트 품질 확보를 지원하는 역할.</v>
      </c>
      <c r="H74" s="15">
        <f>'07_결과취합'!G67</f>
        <v>0</v>
      </c>
      <c r="I74" s="15">
        <f>'07_결과취합'!H67</f>
        <v>0</v>
      </c>
      <c r="J74" s="15">
        <f>'07_결과취합'!I67</f>
        <v>0</v>
      </c>
      <c r="K74" s="15">
        <f>'07_결과취합'!J67</f>
        <v>0</v>
      </c>
      <c r="L74" s="15">
        <f>'07_결과취합'!K67</f>
        <v>0</v>
      </c>
      <c r="M74" s="15">
        <f>'07_결과취합'!L67</f>
        <v>0</v>
      </c>
      <c r="N74" s="15">
        <f>'07_결과취합'!M67</f>
        <v>0</v>
      </c>
      <c r="O74" s="15">
        <f t="shared" si="2"/>
        <v>0</v>
      </c>
      <c r="P74" s="24">
        <f t="shared" si="3"/>
        <v>0</v>
      </c>
      <c r="Q74" s="62"/>
      <c r="R74" s="38"/>
      <c r="S74" s="39"/>
    </row>
    <row r="75" spans="1:19" ht="28.05" customHeight="1" x14ac:dyDescent="0.6">
      <c r="A75" s="15">
        <f>'01_인적정보'!A29</f>
        <v>25</v>
      </c>
      <c r="B75" s="15" t="str">
        <f>'01_인적정보'!B29</f>
        <v>BSS-025</v>
      </c>
      <c r="C75" s="15" t="str">
        <f>'01_인적정보'!C29</f>
        <v>김성수</v>
      </c>
      <c r="D75" s="15" t="str">
        <f>'01_인적정보'!E29</f>
        <v>연구개발(R&amp;D)</v>
      </c>
      <c r="E75" s="15" t="str">
        <f>'01_인적정보'!H29</f>
        <v>G2</v>
      </c>
      <c r="F75" s="15" t="str">
        <f>IFERROR(VLOOKUP('01_인적정보'!M29,'13_직무역할DB'!$A$5:$L$70,4,FALSE),"")</f>
        <v>실무</v>
      </c>
      <c r="G75" s="15" t="str">
        <f>IFERROR(VLOOKUP('01_인적정보'!M29,'13_직무역할DB'!$A$5:$L$70,5,FALSE),"")</f>
        <v>명세에 따라 기능 개발·버그 수정·리팩터링·테스트 보조를 수행하고 코드 품질 기준과 CI/CD 절차를 준수하는 역할.</v>
      </c>
      <c r="H75" s="15">
        <f>'07_결과취합'!G68</f>
        <v>0</v>
      </c>
      <c r="I75" s="15">
        <f>'07_결과취합'!H68</f>
        <v>0</v>
      </c>
      <c r="J75" s="15">
        <f>'07_결과취합'!I68</f>
        <v>0</v>
      </c>
      <c r="K75" s="15">
        <f>'07_결과취합'!J68</f>
        <v>0</v>
      </c>
      <c r="L75" s="15">
        <f>'07_결과취합'!K68</f>
        <v>0</v>
      </c>
      <c r="M75" s="15">
        <f>'07_결과취합'!L68</f>
        <v>0</v>
      </c>
      <c r="N75" s="15">
        <f>'07_결과취합'!M68</f>
        <v>0</v>
      </c>
      <c r="O75" s="15">
        <f t="shared" si="2"/>
        <v>0</v>
      </c>
      <c r="P75" s="24">
        <f t="shared" si="3"/>
        <v>0</v>
      </c>
      <c r="Q75" s="62"/>
      <c r="R75" s="38"/>
      <c r="S75" s="39"/>
    </row>
    <row r="76" spans="1:19" ht="28.05" customHeight="1" x14ac:dyDescent="0.6">
      <c r="A76" s="15">
        <f>'01_인적정보'!A30</f>
        <v>26</v>
      </c>
      <c r="B76" s="15" t="str">
        <f>'01_인적정보'!B30</f>
        <v>BSS-026</v>
      </c>
      <c r="C76" s="15" t="str">
        <f>'01_인적정보'!C30</f>
        <v>박진희</v>
      </c>
      <c r="D76" s="15" t="str">
        <f>'01_인적정보'!E30</f>
        <v>경영전략기획</v>
      </c>
      <c r="E76" s="15" t="str">
        <f>'01_인적정보'!H30</f>
        <v>G1</v>
      </c>
      <c r="F76" s="15" t="str">
        <f>IFERROR(VLOOKUP('01_인적정보'!M30,'13_직무역할DB'!$A$5:$L$70,4,FALSE),"")</f>
        <v>실무 보조</v>
      </c>
      <c r="G76" s="15" t="str">
        <f>IFERROR(VLOOKUP('01_인적정보'!M30,'13_직무역할DB'!$A$5:$L$70,5,FALSE),"")</f>
        <v>실무 수행에 필요한 기초 지식·기술 습득 및 단순 과업 수행.</v>
      </c>
      <c r="H76" s="15">
        <f>'07_결과취합'!G69</f>
        <v>0</v>
      </c>
      <c r="I76" s="15">
        <f>'07_결과취합'!H69</f>
        <v>0</v>
      </c>
      <c r="J76" s="15">
        <f>'07_결과취합'!I69</f>
        <v>0</v>
      </c>
      <c r="K76" s="15">
        <f>'07_결과취합'!J69</f>
        <v>0</v>
      </c>
      <c r="L76" s="15">
        <f>'07_결과취합'!K69</f>
        <v>0</v>
      </c>
      <c r="M76" s="15">
        <f>'07_결과취합'!L69</f>
        <v>0</v>
      </c>
      <c r="N76" s="15">
        <f>'07_결과취합'!M69</f>
        <v>0</v>
      </c>
      <c r="O76" s="15">
        <f t="shared" si="2"/>
        <v>0</v>
      </c>
      <c r="P76" s="24">
        <f t="shared" si="3"/>
        <v>0</v>
      </c>
      <c r="Q76" s="62"/>
      <c r="R76" s="38"/>
      <c r="S76" s="39"/>
    </row>
    <row r="77" spans="1:19" ht="28.05" customHeight="1" x14ac:dyDescent="0.6">
      <c r="A77" s="15">
        <f>'01_인적정보'!A31</f>
        <v>27</v>
      </c>
      <c r="B77" s="15" t="str">
        <f>'01_인적정보'!B31</f>
        <v>BSS-027</v>
      </c>
      <c r="C77" s="15" t="str">
        <f>'01_인적정보'!C31</f>
        <v>장은한</v>
      </c>
      <c r="D77" s="15" t="str">
        <f>'01_인적정보'!E31</f>
        <v>교육·기술지원</v>
      </c>
      <c r="E77" s="15" t="str">
        <f>'01_인적정보'!H31</f>
        <v>G2</v>
      </c>
      <c r="F77" s="15" t="str">
        <f>IFERROR(VLOOKUP('01_인적정보'!M31,'13_직무역할DB'!$A$5:$L$70,4,FALSE),"")</f>
        <v>실무</v>
      </c>
      <c r="G77" s="15" t="str">
        <f>IFERROR(VLOOKUP('01_인적정보'!M31,'13_직무역할DB'!$A$5:$L$70,5,FALSE),"")</f>
        <v>표준 과정을 보조 또는 공동 진행하며 실습 관리·수강생 질의응답·교재 업데이트 등 운영 지원을 수행하는 역할.</v>
      </c>
      <c r="H77" s="15">
        <f>'07_결과취합'!G70</f>
        <v>0</v>
      </c>
      <c r="I77" s="15">
        <f>'07_결과취합'!H70</f>
        <v>0</v>
      </c>
      <c r="J77" s="15">
        <f>'07_결과취합'!I70</f>
        <v>0</v>
      </c>
      <c r="K77" s="15">
        <f>'07_결과취합'!J70</f>
        <v>0</v>
      </c>
      <c r="L77" s="15">
        <f>'07_결과취합'!K70</f>
        <v>0</v>
      </c>
      <c r="M77" s="15">
        <f>'07_결과취합'!L70</f>
        <v>0</v>
      </c>
      <c r="N77" s="15">
        <f>'07_결과취합'!M70</f>
        <v>0</v>
      </c>
      <c r="O77" s="15">
        <f t="shared" si="2"/>
        <v>0</v>
      </c>
      <c r="P77" s="24">
        <f t="shared" si="3"/>
        <v>0</v>
      </c>
      <c r="Q77" s="62"/>
      <c r="R77" s="38"/>
      <c r="S77" s="39"/>
    </row>
    <row r="78" spans="1:19" ht="28.05" customHeight="1" x14ac:dyDescent="0.6">
      <c r="A78" s="15">
        <f>'01_인적정보'!A32</f>
        <v>28</v>
      </c>
      <c r="B78" s="15" t="str">
        <f>'01_인적정보'!B32</f>
        <v>BSS-028</v>
      </c>
      <c r="C78" s="15" t="str">
        <f>'01_인적정보'!C32</f>
        <v>김현수</v>
      </c>
      <c r="D78" s="15" t="str">
        <f>'01_인적정보'!E32</f>
        <v>BIM컨설팅</v>
      </c>
      <c r="E78" s="15" t="str">
        <f>'01_인적정보'!H32</f>
        <v>G1</v>
      </c>
      <c r="F78" s="15" t="str">
        <f>IFERROR(VLOOKUP('01_인적정보'!M32,'13_직무역할DB'!$A$5:$L$70,4,FALSE),"")</f>
        <v>실무 보조</v>
      </c>
      <c r="G78" s="15" t="str">
        <f>IFERROR(VLOOKUP('01_인적정보'!M32,'13_직무역할DB'!$A$5:$L$70,5,FALSE),"")</f>
        <v>BIM 모델링 기초 작업과 자료 정리를 담당하며 실무 진행을 보조하는 역할.</v>
      </c>
      <c r="H78" s="15">
        <f>'07_결과취합'!G71</f>
        <v>0</v>
      </c>
      <c r="I78" s="15">
        <f>'07_결과취합'!H71</f>
        <v>0</v>
      </c>
      <c r="J78" s="15">
        <f>'07_결과취합'!I71</f>
        <v>0</v>
      </c>
      <c r="K78" s="15">
        <f>'07_결과취합'!J71</f>
        <v>0</v>
      </c>
      <c r="L78" s="15">
        <f>'07_결과취합'!K71</f>
        <v>0</v>
      </c>
      <c r="M78" s="15">
        <f>'07_결과취합'!L71</f>
        <v>0</v>
      </c>
      <c r="N78" s="15">
        <f>'07_결과취합'!M71</f>
        <v>0</v>
      </c>
      <c r="O78" s="15">
        <f t="shared" si="2"/>
        <v>0</v>
      </c>
      <c r="P78" s="24">
        <f t="shared" si="3"/>
        <v>0</v>
      </c>
      <c r="Q78" s="62"/>
      <c r="R78" s="38"/>
      <c r="S78" s="39"/>
    </row>
    <row r="79" spans="1:19" ht="28.05" customHeight="1" x14ac:dyDescent="0.6">
      <c r="A79" s="15">
        <f>'01_인적정보'!A33</f>
        <v>29</v>
      </c>
      <c r="B79" s="15" t="str">
        <f>'01_인적정보'!B33</f>
        <v>BSS-029</v>
      </c>
      <c r="C79" s="15" t="str">
        <f>'01_인적정보'!C33</f>
        <v>콜셍홍</v>
      </c>
      <c r="D79" s="15" t="str">
        <f>'01_인적정보'!E33</f>
        <v>BIM컨설팅</v>
      </c>
      <c r="E79" s="15" t="str">
        <f>'01_인적정보'!H33</f>
        <v>G1</v>
      </c>
      <c r="F79" s="15" t="str">
        <f>IFERROR(VLOOKUP('01_인적정보'!M33,'13_직무역할DB'!$A$5:$L$70,4,FALSE),"")</f>
        <v>실무 보조</v>
      </c>
      <c r="G79" s="15" t="str">
        <f>IFERROR(VLOOKUP('01_인적정보'!M33,'13_직무역할DB'!$A$5:$L$70,5,FALSE),"")</f>
        <v>BIM 모델링 기초 작업과 자료 정리를 담당하며 실무 진행을 보조하는 역할.</v>
      </c>
      <c r="H79" s="15">
        <f>'07_결과취합'!G72</f>
        <v>0</v>
      </c>
      <c r="I79" s="15">
        <f>'07_결과취합'!H72</f>
        <v>0</v>
      </c>
      <c r="J79" s="15">
        <f>'07_결과취합'!I72</f>
        <v>0</v>
      </c>
      <c r="K79" s="15">
        <f>'07_결과취합'!J72</f>
        <v>0</v>
      </c>
      <c r="L79" s="15">
        <f>'07_결과취합'!K72</f>
        <v>0</v>
      </c>
      <c r="M79" s="15">
        <f>'07_결과취합'!L72</f>
        <v>0</v>
      </c>
      <c r="N79" s="15">
        <f>'07_결과취합'!M72</f>
        <v>0</v>
      </c>
      <c r="O79" s="15">
        <f t="shared" si="2"/>
        <v>0</v>
      </c>
      <c r="P79" s="24">
        <f t="shared" si="3"/>
        <v>0</v>
      </c>
      <c r="Q79" s="62"/>
      <c r="R79" s="38"/>
      <c r="S79" s="39"/>
    </row>
    <row r="80" spans="1:19" ht="28.05" customHeight="1" x14ac:dyDescent="0.6">
      <c r="A80" s="15">
        <f>'01_인적정보'!A34</f>
        <v>30</v>
      </c>
      <c r="B80" s="15" t="str">
        <f>'01_인적정보'!B34</f>
        <v>BSS-030</v>
      </c>
      <c r="C80" s="15" t="str">
        <f>'01_인적정보'!C34</f>
        <v>안성진</v>
      </c>
      <c r="D80" s="15" t="str">
        <f>'01_인적정보'!E34</f>
        <v>BIM컨설팅</v>
      </c>
      <c r="E80" s="15" t="str">
        <f>'01_인적정보'!H34</f>
        <v>G1</v>
      </c>
      <c r="F80" s="15" t="str">
        <f>IFERROR(VLOOKUP('01_인적정보'!M34,'13_직무역할DB'!$A$5:$L$70,4,FALSE),"")</f>
        <v>실무 보조</v>
      </c>
      <c r="G80" s="15" t="str">
        <f>IFERROR(VLOOKUP('01_인적정보'!M34,'13_직무역할DB'!$A$5:$L$70,5,FALSE),"")</f>
        <v>BIM 모델링 기초 작업과 자료 정리를 담당하며 실무 진행을 보조하는 역할.</v>
      </c>
      <c r="H80" s="15">
        <f>'07_결과취합'!G73</f>
        <v>0</v>
      </c>
      <c r="I80" s="15">
        <f>'07_결과취합'!H73</f>
        <v>0</v>
      </c>
      <c r="J80" s="15">
        <f>'07_결과취합'!I73</f>
        <v>0</v>
      </c>
      <c r="K80" s="15">
        <f>'07_결과취합'!J73</f>
        <v>0</v>
      </c>
      <c r="L80" s="15">
        <f>'07_결과취합'!K73</f>
        <v>0</v>
      </c>
      <c r="M80" s="15">
        <f>'07_결과취합'!L73</f>
        <v>0</v>
      </c>
      <c r="N80" s="15">
        <f>'07_결과취합'!M73</f>
        <v>0</v>
      </c>
      <c r="O80" s="15">
        <f t="shared" si="2"/>
        <v>0</v>
      </c>
      <c r="P80" s="24">
        <f t="shared" si="3"/>
        <v>0</v>
      </c>
      <c r="Q80" s="62"/>
      <c r="R80" s="38"/>
      <c r="S80" s="39"/>
    </row>
    <row r="81" spans="1:19" ht="28.05" customHeight="1" x14ac:dyDescent="0.6">
      <c r="A81" s="15">
        <f>'01_인적정보'!A35</f>
        <v>31</v>
      </c>
      <c r="B81" s="15" t="str">
        <f>'01_인적정보'!B35</f>
        <v>BSS-031</v>
      </c>
      <c r="C81" s="15" t="str">
        <f>'01_인적정보'!C35</f>
        <v>이정일</v>
      </c>
      <c r="D81" s="15" t="str">
        <f>'01_인적정보'!E35</f>
        <v>BIM컨설팅</v>
      </c>
      <c r="E81" s="15" t="str">
        <f>'01_인적정보'!H35</f>
        <v>G1</v>
      </c>
      <c r="F81" s="15" t="str">
        <f>IFERROR(VLOOKUP('01_인적정보'!M35,'13_직무역할DB'!$A$5:$L$70,4,FALSE),"")</f>
        <v>실무 보조</v>
      </c>
      <c r="G81" s="15" t="str">
        <f>IFERROR(VLOOKUP('01_인적정보'!M35,'13_직무역할DB'!$A$5:$L$70,5,FALSE),"")</f>
        <v>BIM 모델링 기초 작업과 자료 정리를 담당하며 실무 진행을 보조하는 역할.</v>
      </c>
      <c r="H81" s="15">
        <f>'07_결과취합'!G74</f>
        <v>0</v>
      </c>
      <c r="I81" s="15">
        <f>'07_결과취합'!H74</f>
        <v>0</v>
      </c>
      <c r="J81" s="15">
        <f>'07_결과취합'!I74</f>
        <v>0</v>
      </c>
      <c r="K81" s="15">
        <f>'07_결과취합'!J74</f>
        <v>0</v>
      </c>
      <c r="L81" s="15">
        <f>'07_결과취합'!K74</f>
        <v>0</v>
      </c>
      <c r="M81" s="15">
        <f>'07_결과취합'!L74</f>
        <v>0</v>
      </c>
      <c r="N81" s="15">
        <f>'07_결과취합'!M74</f>
        <v>0</v>
      </c>
      <c r="O81" s="15">
        <f t="shared" si="2"/>
        <v>0</v>
      </c>
      <c r="P81" s="24">
        <f t="shared" si="3"/>
        <v>0</v>
      </c>
      <c r="Q81" s="62"/>
      <c r="R81" s="38"/>
      <c r="S81" s="39"/>
    </row>
    <row r="82" spans="1:19" ht="28.05" customHeight="1" x14ac:dyDescent="0.6">
      <c r="A82" s="15">
        <f>'01_인적정보'!A36</f>
        <v>32</v>
      </c>
      <c r="B82" s="15" t="str">
        <f>'01_인적정보'!B36</f>
        <v>BSS-032</v>
      </c>
      <c r="C82" s="15" t="str">
        <f>'01_인적정보'!C36</f>
        <v>안재성</v>
      </c>
      <c r="D82" s="15" t="str">
        <f>'01_인적정보'!E36</f>
        <v>BIM컨설팅</v>
      </c>
      <c r="E82" s="15" t="str">
        <f>'01_인적정보'!H36</f>
        <v>G1</v>
      </c>
      <c r="F82" s="15" t="str">
        <f>IFERROR(VLOOKUP('01_인적정보'!M36,'13_직무역할DB'!$A$5:$L$70,4,FALSE),"")</f>
        <v>실무 보조</v>
      </c>
      <c r="G82" s="15" t="str">
        <f>IFERROR(VLOOKUP('01_인적정보'!M36,'13_직무역할DB'!$A$5:$L$70,5,FALSE),"")</f>
        <v>BIM 모델링 기초 작업과 자료 정리를 담당하며 실무 진행을 보조하는 역할.</v>
      </c>
      <c r="H82" s="15">
        <f>'07_결과취합'!G75</f>
        <v>0</v>
      </c>
      <c r="I82" s="15">
        <f>'07_결과취합'!H75</f>
        <v>0</v>
      </c>
      <c r="J82" s="15">
        <f>'07_결과취합'!I75</f>
        <v>0</v>
      </c>
      <c r="K82" s="15">
        <f>'07_결과취합'!J75</f>
        <v>0</v>
      </c>
      <c r="L82" s="15">
        <f>'07_결과취합'!K75</f>
        <v>0</v>
      </c>
      <c r="M82" s="15">
        <f>'07_결과취합'!L75</f>
        <v>0</v>
      </c>
      <c r="N82" s="15">
        <f>'07_결과취합'!M75</f>
        <v>0</v>
      </c>
      <c r="O82" s="15">
        <f t="shared" si="2"/>
        <v>0</v>
      </c>
      <c r="P82" s="24">
        <f t="shared" si="3"/>
        <v>0</v>
      </c>
      <c r="Q82" s="62"/>
      <c r="R82" s="38"/>
      <c r="S82" s="39"/>
    </row>
    <row r="83" spans="1:19" ht="28.05" customHeight="1" x14ac:dyDescent="0.6">
      <c r="A83" s="15">
        <f>'01_인적정보'!A37</f>
        <v>33</v>
      </c>
      <c r="B83" s="15" t="str">
        <f>'01_인적정보'!B37</f>
        <v>BSS-033</v>
      </c>
      <c r="C83" s="15" t="str">
        <f>'01_인적정보'!C37</f>
        <v>유태석</v>
      </c>
      <c r="D83" s="15" t="str">
        <f>'01_인적정보'!E37</f>
        <v>BIM컨설팅</v>
      </c>
      <c r="E83" s="15" t="str">
        <f>'01_인적정보'!H37</f>
        <v>G1</v>
      </c>
      <c r="F83" s="15" t="str">
        <f>IFERROR(VLOOKUP('01_인적정보'!M37,'13_직무역할DB'!$A$5:$L$70,4,FALSE),"")</f>
        <v>실무 보조</v>
      </c>
      <c r="G83" s="15" t="str">
        <f>IFERROR(VLOOKUP('01_인적정보'!M37,'13_직무역할DB'!$A$5:$L$70,5,FALSE),"")</f>
        <v>BIM 모델링 기초 작업과 자료 정리를 담당하며 실무 진행을 보조하는 역할.</v>
      </c>
      <c r="H83" s="15">
        <f>'07_결과취합'!G76</f>
        <v>0</v>
      </c>
      <c r="I83" s="15">
        <f>'07_결과취합'!H76</f>
        <v>0</v>
      </c>
      <c r="J83" s="15">
        <f>'07_결과취합'!I76</f>
        <v>0</v>
      </c>
      <c r="K83" s="15">
        <f>'07_결과취합'!J76</f>
        <v>0</v>
      </c>
      <c r="L83" s="15">
        <f>'07_결과취합'!K76</f>
        <v>0</v>
      </c>
      <c r="M83" s="15">
        <f>'07_결과취합'!L76</f>
        <v>0</v>
      </c>
      <c r="N83" s="15">
        <f>'07_결과취합'!M76</f>
        <v>0</v>
      </c>
      <c r="O83" s="15">
        <f t="shared" si="2"/>
        <v>0</v>
      </c>
      <c r="P83" s="24">
        <f t="shared" si="3"/>
        <v>0</v>
      </c>
      <c r="Q83" s="62"/>
      <c r="R83" s="38"/>
      <c r="S83" s="39"/>
    </row>
    <row r="84" spans="1:19" ht="28.05" customHeight="1" x14ac:dyDescent="0.6">
      <c r="A84" s="15">
        <f>'01_인적정보'!A38</f>
        <v>34</v>
      </c>
      <c r="B84" s="15" t="str">
        <f>'01_인적정보'!B38</f>
        <v>BSS-034</v>
      </c>
      <c r="C84" s="15" t="str">
        <f>'01_인적정보'!C38</f>
        <v>엄보근</v>
      </c>
      <c r="D84" s="15" t="str">
        <f>'01_인적정보'!E38</f>
        <v>BIM컨설팅</v>
      </c>
      <c r="E84" s="15" t="str">
        <f>'01_인적정보'!H38</f>
        <v>G1</v>
      </c>
      <c r="F84" s="15" t="str">
        <f>IFERROR(VLOOKUP('01_인적정보'!M38,'13_직무역할DB'!$A$5:$L$70,4,FALSE),"")</f>
        <v>실무 보조</v>
      </c>
      <c r="G84" s="15" t="str">
        <f>IFERROR(VLOOKUP('01_인적정보'!M38,'13_직무역할DB'!$A$5:$L$70,5,FALSE),"")</f>
        <v>BIM 모델링 기초 작업과 자료 정리를 담당하며 실무 진행을 보조하는 역할.</v>
      </c>
      <c r="H84" s="15">
        <f>'07_결과취합'!G77</f>
        <v>0</v>
      </c>
      <c r="I84" s="15">
        <f>'07_결과취합'!H77</f>
        <v>0</v>
      </c>
      <c r="J84" s="15">
        <f>'07_결과취합'!I77</f>
        <v>0</v>
      </c>
      <c r="K84" s="15">
        <f>'07_결과취합'!J77</f>
        <v>0</v>
      </c>
      <c r="L84" s="15">
        <f>'07_결과취합'!K77</f>
        <v>0</v>
      </c>
      <c r="M84" s="15">
        <f>'07_결과취합'!L77</f>
        <v>0</v>
      </c>
      <c r="N84" s="15">
        <f>'07_결과취합'!M77</f>
        <v>0</v>
      </c>
      <c r="O84" s="15">
        <f t="shared" si="2"/>
        <v>0</v>
      </c>
      <c r="P84" s="24">
        <f t="shared" si="3"/>
        <v>0</v>
      </c>
      <c r="Q84" s="62"/>
      <c r="R84" s="38"/>
      <c r="S84" s="39"/>
    </row>
  </sheetData>
  <mergeCells count="80">
    <mergeCell ref="Q84:S84"/>
    <mergeCell ref="Q27:S27"/>
    <mergeCell ref="Q36:S36"/>
    <mergeCell ref="Q30:S30"/>
    <mergeCell ref="B9:S9"/>
    <mergeCell ref="Q17:S17"/>
    <mergeCell ref="Q75:S75"/>
    <mergeCell ref="Q12:S12"/>
    <mergeCell ref="Q21:S21"/>
    <mergeCell ref="Q62:S62"/>
    <mergeCell ref="Q54:S54"/>
    <mergeCell ref="Q55:S55"/>
    <mergeCell ref="Q64:S64"/>
    <mergeCell ref="Q38:S38"/>
    <mergeCell ref="Q79:S79"/>
    <mergeCell ref="Q26:S26"/>
    <mergeCell ref="A2:S2"/>
    <mergeCell ref="Q51:S51"/>
    <mergeCell ref="Q82:S82"/>
    <mergeCell ref="Q63:S63"/>
    <mergeCell ref="Q35:S35"/>
    <mergeCell ref="Q50:S50"/>
    <mergeCell ref="Q34:S34"/>
    <mergeCell ref="B5:S5"/>
    <mergeCell ref="Q40:S40"/>
    <mergeCell ref="B8:S8"/>
    <mergeCell ref="Q81:S81"/>
    <mergeCell ref="Q65:S65"/>
    <mergeCell ref="Q74:S74"/>
    <mergeCell ref="Q76:S76"/>
    <mergeCell ref="A11:S11"/>
    <mergeCell ref="Q57:S57"/>
    <mergeCell ref="Q83:S83"/>
    <mergeCell ref="Q58:S58"/>
    <mergeCell ref="Q67:S67"/>
    <mergeCell ref="Q19:S19"/>
    <mergeCell ref="Q60:S60"/>
    <mergeCell ref="Q69:S69"/>
    <mergeCell ref="Q44:S44"/>
    <mergeCell ref="Q59:S59"/>
    <mergeCell ref="Q22:S22"/>
    <mergeCell ref="Q46:S46"/>
    <mergeCell ref="Q61:S61"/>
    <mergeCell ref="Q45:S45"/>
    <mergeCell ref="Q32:S32"/>
    <mergeCell ref="Q71:S71"/>
    <mergeCell ref="Q24:S24"/>
    <mergeCell ref="Q73:S73"/>
    <mergeCell ref="Q80:S80"/>
    <mergeCell ref="Q70:S70"/>
    <mergeCell ref="A49:S49"/>
    <mergeCell ref="Q41:S41"/>
    <mergeCell ref="A1:S1"/>
    <mergeCell ref="Q56:S56"/>
    <mergeCell ref="Q25:S25"/>
    <mergeCell ref="Q43:S43"/>
    <mergeCell ref="Q77:S77"/>
    <mergeCell ref="Q33:S33"/>
    <mergeCell ref="Q42:S42"/>
    <mergeCell ref="A4:S4"/>
    <mergeCell ref="B6:S6"/>
    <mergeCell ref="Q13:S13"/>
    <mergeCell ref="Q16:S16"/>
    <mergeCell ref="B7:S7"/>
    <mergeCell ref="Q14:S14"/>
    <mergeCell ref="Q29:S29"/>
    <mergeCell ref="Q72:S72"/>
    <mergeCell ref="Q23:S23"/>
    <mergeCell ref="Q78:S78"/>
    <mergeCell ref="Q31:S31"/>
    <mergeCell ref="Q15:S15"/>
    <mergeCell ref="Q18:S18"/>
    <mergeCell ref="Q66:S66"/>
    <mergeCell ref="Q53:S53"/>
    <mergeCell ref="Q28:S28"/>
    <mergeCell ref="Q68:S68"/>
    <mergeCell ref="Q37:S37"/>
    <mergeCell ref="Q52:S52"/>
    <mergeCell ref="Q39:S39"/>
    <mergeCell ref="Q20:S20"/>
  </mergeCells>
  <phoneticPr fontId="16" type="noConversion"/>
  <conditionalFormatting sqref="H13:O84">
    <cfRule type="cellIs" dxfId="71" priority="1" operator="equal">
      <formula>"S"</formula>
    </cfRule>
    <cfRule type="cellIs" dxfId="70" priority="2" operator="equal">
      <formula>"A"</formula>
    </cfRule>
    <cfRule type="cellIs" dxfId="69" priority="3" operator="equal">
      <formula>"C"</formula>
    </cfRule>
    <cfRule type="cellIs" dxfId="68" priority="4" operator="equal">
      <formula>"D"</formula>
    </cfRule>
  </conditionalFormatting>
  <dataValidations count="1">
    <dataValidation type="list" allowBlank="1" sqref="H13:O46 H51:O84" xr:uid="{00000000-0002-0000-0400-000000000000}">
      <formula1>"S,A,B,C,D"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77"/>
  <sheetViews>
    <sheetView showGridLines="0" workbookViewId="0">
      <pane xSplit="4" ySplit="5" topLeftCell="E6" activePane="bottomRight" state="frozen"/>
      <selection pane="topRight"/>
      <selection pane="bottomLeft"/>
      <selection pane="bottomRight" activeCell="M10" sqref="M10"/>
    </sheetView>
  </sheetViews>
  <sheetFormatPr defaultRowHeight="16.899999999999999" x14ac:dyDescent="0.6"/>
  <cols>
    <col min="1" max="1" width="5" customWidth="1"/>
    <col min="2" max="3" width="11" customWidth="1"/>
    <col min="4" max="4" width="10" customWidth="1"/>
    <col min="5" max="15" width="13.25" customWidth="1"/>
    <col min="16" max="17" width="10" customWidth="1"/>
  </cols>
  <sheetData>
    <row r="1" spans="1:18" ht="28.05" customHeight="1" x14ac:dyDescent="0.6">
      <c r="A1" s="51" t="s">
        <v>387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</row>
    <row r="2" spans="1:18" ht="18" customHeight="1" x14ac:dyDescent="0.6">
      <c r="A2" s="48" t="s">
        <v>388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</row>
    <row r="4" spans="1:18" ht="22.05" customHeight="1" x14ac:dyDescent="0.6">
      <c r="A4" s="45" t="s">
        <v>389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</row>
    <row r="5" spans="1:18" ht="67.5" x14ac:dyDescent="0.6">
      <c r="A5" s="2" t="s">
        <v>131</v>
      </c>
      <c r="B5" s="2" t="s">
        <v>132</v>
      </c>
      <c r="C5" s="2" t="s">
        <v>133</v>
      </c>
      <c r="D5" s="2" t="s">
        <v>105</v>
      </c>
      <c r="E5" s="2" t="s">
        <v>390</v>
      </c>
      <c r="F5" s="2" t="s">
        <v>391</v>
      </c>
      <c r="G5" s="2" t="s">
        <v>392</v>
      </c>
      <c r="H5" s="2" t="s">
        <v>393</v>
      </c>
      <c r="I5" s="2" t="s">
        <v>394</v>
      </c>
      <c r="J5" s="2" t="s">
        <v>395</v>
      </c>
      <c r="K5" s="2" t="s">
        <v>396</v>
      </c>
      <c r="L5" s="2" t="s">
        <v>397</v>
      </c>
      <c r="M5" s="2" t="s">
        <v>398</v>
      </c>
      <c r="N5" s="2" t="s">
        <v>399</v>
      </c>
      <c r="O5" s="2" t="s">
        <v>400</v>
      </c>
      <c r="P5" s="2" t="s">
        <v>401</v>
      </c>
      <c r="Q5" s="2" t="s">
        <v>282</v>
      </c>
      <c r="R5" s="2" t="s">
        <v>402</v>
      </c>
    </row>
    <row r="6" spans="1:18" x14ac:dyDescent="0.6">
      <c r="A6" s="15">
        <f>'01_인적정보'!A5</f>
        <v>1</v>
      </c>
      <c r="B6" s="15" t="str">
        <f>'01_인적정보'!B5</f>
        <v>BSS-001</v>
      </c>
      <c r="C6" s="15" t="str">
        <f>'01_인적정보'!C5</f>
        <v>이화형</v>
      </c>
      <c r="D6" s="15" t="str">
        <f>'01_인적정보'!H5</f>
        <v>G6</v>
      </c>
      <c r="E6" s="15">
        <f>'07_결과취합'!N6</f>
        <v>0</v>
      </c>
      <c r="F6" s="15">
        <f>'07_결과취합'!O6</f>
        <v>0</v>
      </c>
      <c r="G6" s="15">
        <f>'07_결과취합'!P6</f>
        <v>0</v>
      </c>
      <c r="H6" s="15">
        <f>'07_결과취합'!Q6</f>
        <v>0</v>
      </c>
      <c r="I6" s="15">
        <f>'07_결과취합'!R6</f>
        <v>0</v>
      </c>
      <c r="J6" s="15">
        <f>'07_결과취합'!S6</f>
        <v>0</v>
      </c>
      <c r="K6" s="15">
        <f>'07_결과취합'!T6</f>
        <v>0</v>
      </c>
      <c r="L6" s="15">
        <f>'07_결과취합'!U6</f>
        <v>0</v>
      </c>
      <c r="M6" s="15">
        <f>'07_결과취합'!V6</f>
        <v>0</v>
      </c>
      <c r="N6" s="15">
        <f>'07_결과취합'!W6</f>
        <v>0</v>
      </c>
      <c r="O6" s="15">
        <f>'07_결과취합'!X6</f>
        <v>0</v>
      </c>
      <c r="P6" s="24">
        <f>IF(COUNTBLANK(E6:O6)&gt;0,"",'02_의사결정·종합결과'!$E$53*(IF(E6="S",5,IF(E6="A",4,IF(E6="B",3,IF(E6="C",2,IF(E6="D",1,0))))))+'02_의사결정·종합결과'!$E$54*(IF(F6="S",5,IF(F6="A",4,IF(F6="B",3,IF(F6="C",2,IF(F6="D",1,0))))))+'02_의사결정·종합결과'!$E$55*(IF(G6="S",5,IF(G6="A",4,IF(G6="B",3,IF(G6="C",2,IF(G6="D",1,0))))))+'02_의사결정·종합결과'!$E$56*(IF(H6="S",5,IF(H6="A",4,IF(H6="B",3,IF(H6="C",2,IF(H6="D",1,0))))))+'02_의사결정·종합결과'!$E$57*(IF(I6="S",5,IF(I6="A",4,IF(I6="B",3,IF(I6="C",2,IF(I6="D",1,0))))))+'02_의사결정·종합결과'!$E$58*(IF(J6="S",5,IF(J6="A",4,IF(J6="B",3,IF(J6="C",2,IF(J6="D",1,0))))))+'02_의사결정·종합결과'!$E$59*(IF(K6="S",5,IF(K6="A",4,IF(K6="B",3,IF(K6="C",2,IF(K6="D",1,0))))))+'02_의사결정·종합결과'!$E$60*(IF(L6="S",5,IF(L6="A",4,IF(L6="B",3,IF(L6="C",2,IF(L6="D",1,0))))))+'02_의사결정·종합결과'!$E$61*(IF(M6="S",5,IF(M6="A",4,IF(M6="B",3,IF(M6="C",2,IF(M6="D",1,0))))))+'02_의사결정·종합결과'!$E$62*(IF(N6="S",5,IF(N6="A",4,IF(N6="B",3,IF(N6="C",2,IF(N6="D",1,0))))))+'02_의사결정·종합결과'!$E$63*(IF(O6="S",5,IF(O6="A",4,IF(O6="B",3,IF(O6="C",2,IF(O6="D",1,0)))))))</f>
        <v>0</v>
      </c>
      <c r="Q6" s="15" t="str">
        <f t="shared" ref="Q6:Q39" si="0">IF(P6="","",IF(P6&gt;=4.5,"S",IF(P6&gt;=3.5,"A",IF(P6&gt;=2.5,"B",IF(P6&gt;=1.5,"C","D")))))</f>
        <v>D</v>
      </c>
    </row>
    <row r="7" spans="1:18" x14ac:dyDescent="0.6">
      <c r="A7" s="15">
        <f>'01_인적정보'!A6</f>
        <v>2</v>
      </c>
      <c r="B7" s="15" t="str">
        <f>'01_인적정보'!B6</f>
        <v>BSS-002</v>
      </c>
      <c r="C7" s="15" t="str">
        <f>'01_인적정보'!C6</f>
        <v>강전용</v>
      </c>
      <c r="D7" s="15" t="str">
        <f>'01_인적정보'!H6</f>
        <v>G6</v>
      </c>
      <c r="E7" s="15">
        <f>'07_결과취합'!N7</f>
        <v>0</v>
      </c>
      <c r="F7" s="15">
        <f>'07_결과취합'!O7</f>
        <v>0</v>
      </c>
      <c r="G7" s="15">
        <f>'07_결과취합'!P7</f>
        <v>0</v>
      </c>
      <c r="H7" s="15">
        <f>'07_결과취합'!Q7</f>
        <v>0</v>
      </c>
      <c r="I7" s="15">
        <f>'07_결과취합'!R7</f>
        <v>0</v>
      </c>
      <c r="J7" s="15">
        <f>'07_결과취합'!S7</f>
        <v>0</v>
      </c>
      <c r="K7" s="15">
        <f>'07_결과취합'!T7</f>
        <v>0</v>
      </c>
      <c r="L7" s="15">
        <f>'07_결과취합'!U7</f>
        <v>0</v>
      </c>
      <c r="M7" s="15">
        <f>'07_결과취합'!V7</f>
        <v>0</v>
      </c>
      <c r="N7" s="15">
        <f>'07_결과취합'!W7</f>
        <v>0</v>
      </c>
      <c r="O7" s="15">
        <f>'07_결과취합'!X7</f>
        <v>0</v>
      </c>
      <c r="P7" s="24">
        <f>IF(COUNTBLANK(E7:O7)&gt;0,"",'02_의사결정·종합결과'!$E$53*(IF(E7="S",5,IF(E7="A",4,IF(E7="B",3,IF(E7="C",2,IF(E7="D",1,0))))))+'02_의사결정·종합결과'!$E$54*(IF(F7="S",5,IF(F7="A",4,IF(F7="B",3,IF(F7="C",2,IF(F7="D",1,0))))))+'02_의사결정·종합결과'!$E$55*(IF(G7="S",5,IF(G7="A",4,IF(G7="B",3,IF(G7="C",2,IF(G7="D",1,0))))))+'02_의사결정·종합결과'!$E$56*(IF(H7="S",5,IF(H7="A",4,IF(H7="B",3,IF(H7="C",2,IF(H7="D",1,0))))))+'02_의사결정·종합결과'!$E$57*(IF(I7="S",5,IF(I7="A",4,IF(I7="B",3,IF(I7="C",2,IF(I7="D",1,0))))))+'02_의사결정·종합결과'!$E$58*(IF(J7="S",5,IF(J7="A",4,IF(J7="B",3,IF(J7="C",2,IF(J7="D",1,0))))))+'02_의사결정·종합결과'!$E$59*(IF(K7="S",5,IF(K7="A",4,IF(K7="B",3,IF(K7="C",2,IF(K7="D",1,0))))))+'02_의사결정·종합결과'!$E$60*(IF(L7="S",5,IF(L7="A",4,IF(L7="B",3,IF(L7="C",2,IF(L7="D",1,0))))))+'02_의사결정·종합결과'!$E$61*(IF(M7="S",5,IF(M7="A",4,IF(M7="B",3,IF(M7="C",2,IF(M7="D",1,0))))))+'02_의사결정·종합결과'!$E$62*(IF(N7="S",5,IF(N7="A",4,IF(N7="B",3,IF(N7="C",2,IF(N7="D",1,0))))))+'02_의사결정·종합결과'!$E$63*(IF(O7="S",5,IF(O7="A",4,IF(O7="B",3,IF(O7="C",2,IF(O7="D",1,0)))))))</f>
        <v>0</v>
      </c>
      <c r="Q7" s="15" t="str">
        <f t="shared" si="0"/>
        <v>D</v>
      </c>
    </row>
    <row r="8" spans="1:18" x14ac:dyDescent="0.6">
      <c r="A8" s="15">
        <f>'01_인적정보'!A7</f>
        <v>3</v>
      </c>
      <c r="B8" s="15" t="str">
        <f>'01_인적정보'!B7</f>
        <v>BSS-003</v>
      </c>
      <c r="C8" s="15" t="str">
        <f>'01_인적정보'!C7</f>
        <v>김현민</v>
      </c>
      <c r="D8" s="15" t="str">
        <f>'01_인적정보'!H7</f>
        <v>G6</v>
      </c>
      <c r="E8" s="15">
        <f>'07_결과취합'!N8</f>
        <v>0</v>
      </c>
      <c r="F8" s="15">
        <f>'07_결과취합'!O8</f>
        <v>0</v>
      </c>
      <c r="G8" s="15">
        <f>'07_결과취합'!P8</f>
        <v>0</v>
      </c>
      <c r="H8" s="15">
        <f>'07_결과취합'!Q8</f>
        <v>0</v>
      </c>
      <c r="I8" s="15">
        <f>'07_결과취합'!R8</f>
        <v>0</v>
      </c>
      <c r="J8" s="15">
        <f>'07_결과취합'!S8</f>
        <v>0</v>
      </c>
      <c r="K8" s="15">
        <f>'07_결과취합'!T8</f>
        <v>0</v>
      </c>
      <c r="L8" s="15">
        <f>'07_결과취합'!U8</f>
        <v>0</v>
      </c>
      <c r="M8" s="15">
        <f>'07_결과취합'!V8</f>
        <v>0</v>
      </c>
      <c r="N8" s="15">
        <f>'07_결과취합'!W8</f>
        <v>0</v>
      </c>
      <c r="O8" s="15">
        <f>'07_결과취합'!X8</f>
        <v>0</v>
      </c>
      <c r="P8" s="24">
        <f>IF(COUNTBLANK(E8:O8)&gt;0,"",'02_의사결정·종합결과'!$E$53*(IF(E8="S",5,IF(E8="A",4,IF(E8="B",3,IF(E8="C",2,IF(E8="D",1,0))))))+'02_의사결정·종합결과'!$E$54*(IF(F8="S",5,IF(F8="A",4,IF(F8="B",3,IF(F8="C",2,IF(F8="D",1,0))))))+'02_의사결정·종합결과'!$E$55*(IF(G8="S",5,IF(G8="A",4,IF(G8="B",3,IF(G8="C",2,IF(G8="D",1,0))))))+'02_의사결정·종합결과'!$E$56*(IF(H8="S",5,IF(H8="A",4,IF(H8="B",3,IF(H8="C",2,IF(H8="D",1,0))))))+'02_의사결정·종합결과'!$E$57*(IF(I8="S",5,IF(I8="A",4,IF(I8="B",3,IF(I8="C",2,IF(I8="D",1,0))))))+'02_의사결정·종합결과'!$E$58*(IF(J8="S",5,IF(J8="A",4,IF(J8="B",3,IF(J8="C",2,IF(J8="D",1,0))))))+'02_의사결정·종합결과'!$E$59*(IF(K8="S",5,IF(K8="A",4,IF(K8="B",3,IF(K8="C",2,IF(K8="D",1,0))))))+'02_의사결정·종합결과'!$E$60*(IF(L8="S",5,IF(L8="A",4,IF(L8="B",3,IF(L8="C",2,IF(L8="D",1,0))))))+'02_의사결정·종합결과'!$E$61*(IF(M8="S",5,IF(M8="A",4,IF(M8="B",3,IF(M8="C",2,IF(M8="D",1,0))))))+'02_의사결정·종합결과'!$E$62*(IF(N8="S",5,IF(N8="A",4,IF(N8="B",3,IF(N8="C",2,IF(N8="D",1,0))))))+'02_의사결정·종합결과'!$E$63*(IF(O8="S",5,IF(O8="A",4,IF(O8="B",3,IF(O8="C",2,IF(O8="D",1,0)))))))</f>
        <v>0</v>
      </c>
      <c r="Q8" s="15" t="str">
        <f t="shared" si="0"/>
        <v>D</v>
      </c>
    </row>
    <row r="9" spans="1:18" x14ac:dyDescent="0.6">
      <c r="A9" s="15">
        <f>'01_인적정보'!A8</f>
        <v>4</v>
      </c>
      <c r="B9" s="15" t="str">
        <f>'01_인적정보'!B8</f>
        <v>BSS-004</v>
      </c>
      <c r="C9" s="15" t="str">
        <f>'01_인적정보'!C8</f>
        <v>이일곤</v>
      </c>
      <c r="D9" s="15" t="str">
        <f>'01_인적정보'!H8</f>
        <v>G6</v>
      </c>
      <c r="E9" s="15">
        <f>'07_결과취합'!N9</f>
        <v>0</v>
      </c>
      <c r="F9" s="15">
        <f>'07_결과취합'!O9</f>
        <v>0</v>
      </c>
      <c r="G9" s="15">
        <f>'07_결과취합'!P9</f>
        <v>0</v>
      </c>
      <c r="H9" s="15">
        <f>'07_결과취합'!Q9</f>
        <v>0</v>
      </c>
      <c r="I9" s="15">
        <f>'07_결과취합'!R9</f>
        <v>0</v>
      </c>
      <c r="J9" s="15">
        <f>'07_결과취합'!S9</f>
        <v>0</v>
      </c>
      <c r="K9" s="15">
        <f>'07_결과취합'!T9</f>
        <v>0</v>
      </c>
      <c r="L9" s="15">
        <f>'07_결과취합'!U9</f>
        <v>0</v>
      </c>
      <c r="M9" s="15">
        <f>'07_결과취합'!V9</f>
        <v>0</v>
      </c>
      <c r="N9" s="15">
        <f>'07_결과취합'!W9</f>
        <v>0</v>
      </c>
      <c r="O9" s="15">
        <f>'07_결과취합'!X9</f>
        <v>0</v>
      </c>
      <c r="P9" s="24">
        <f>IF(COUNTBLANK(E9:O9)&gt;0,"",'02_의사결정·종합결과'!$E$53*(IF(E9="S",5,IF(E9="A",4,IF(E9="B",3,IF(E9="C",2,IF(E9="D",1,0))))))+'02_의사결정·종합결과'!$E$54*(IF(F9="S",5,IF(F9="A",4,IF(F9="B",3,IF(F9="C",2,IF(F9="D",1,0))))))+'02_의사결정·종합결과'!$E$55*(IF(G9="S",5,IF(G9="A",4,IF(G9="B",3,IF(G9="C",2,IF(G9="D",1,0))))))+'02_의사결정·종합결과'!$E$56*(IF(H9="S",5,IF(H9="A",4,IF(H9="B",3,IF(H9="C",2,IF(H9="D",1,0))))))+'02_의사결정·종합결과'!$E$57*(IF(I9="S",5,IF(I9="A",4,IF(I9="B",3,IF(I9="C",2,IF(I9="D",1,0))))))+'02_의사결정·종합결과'!$E$58*(IF(J9="S",5,IF(J9="A",4,IF(J9="B",3,IF(J9="C",2,IF(J9="D",1,0))))))+'02_의사결정·종합결과'!$E$59*(IF(K9="S",5,IF(K9="A",4,IF(K9="B",3,IF(K9="C",2,IF(K9="D",1,0))))))+'02_의사결정·종합결과'!$E$60*(IF(L9="S",5,IF(L9="A",4,IF(L9="B",3,IF(L9="C",2,IF(L9="D",1,0))))))+'02_의사결정·종합결과'!$E$61*(IF(M9="S",5,IF(M9="A",4,IF(M9="B",3,IF(M9="C",2,IF(M9="D",1,0))))))+'02_의사결정·종합결과'!$E$62*(IF(N9="S",5,IF(N9="A",4,IF(N9="B",3,IF(N9="C",2,IF(N9="D",1,0))))))+'02_의사결정·종합결과'!$E$63*(IF(O9="S",5,IF(O9="A",4,IF(O9="B",3,IF(O9="C",2,IF(O9="D",1,0)))))))</f>
        <v>0</v>
      </c>
      <c r="Q9" s="15" t="str">
        <f t="shared" si="0"/>
        <v>D</v>
      </c>
    </row>
    <row r="10" spans="1:18" x14ac:dyDescent="0.6">
      <c r="A10" s="15">
        <f>'01_인적정보'!A9</f>
        <v>5</v>
      </c>
      <c r="B10" s="15" t="str">
        <f>'01_인적정보'!B9</f>
        <v>BSS-005</v>
      </c>
      <c r="C10" s="15" t="str">
        <f>'01_인적정보'!C9</f>
        <v>송헌영</v>
      </c>
      <c r="D10" s="15" t="str">
        <f>'01_인적정보'!H9</f>
        <v>G6</v>
      </c>
      <c r="E10" s="15">
        <f>'07_결과취합'!N10</f>
        <v>0</v>
      </c>
      <c r="F10" s="15">
        <f>'07_결과취합'!O10</f>
        <v>0</v>
      </c>
      <c r="G10" s="15">
        <f>'07_결과취합'!P10</f>
        <v>0</v>
      </c>
      <c r="H10" s="15">
        <f>'07_결과취합'!Q10</f>
        <v>0</v>
      </c>
      <c r="I10" s="15">
        <f>'07_결과취합'!R10</f>
        <v>0</v>
      </c>
      <c r="J10" s="15">
        <f>'07_결과취합'!S10</f>
        <v>0</v>
      </c>
      <c r="K10" s="15">
        <f>'07_결과취합'!T10</f>
        <v>0</v>
      </c>
      <c r="L10" s="15">
        <f>'07_결과취합'!U10</f>
        <v>0</v>
      </c>
      <c r="M10" s="15">
        <f>'07_결과취합'!V10</f>
        <v>0</v>
      </c>
      <c r="N10" s="15">
        <f>'07_결과취합'!W10</f>
        <v>0</v>
      </c>
      <c r="O10" s="15">
        <f>'07_결과취합'!X10</f>
        <v>0</v>
      </c>
      <c r="P10" s="24">
        <f>IF(COUNTBLANK(E10:O10)&gt;0,"",'02_의사결정·종합결과'!$E$53*(IF(E10="S",5,IF(E10="A",4,IF(E10="B",3,IF(E10="C",2,IF(E10="D",1,0))))))+'02_의사결정·종합결과'!$E$54*(IF(F10="S",5,IF(F10="A",4,IF(F10="B",3,IF(F10="C",2,IF(F10="D",1,0))))))+'02_의사결정·종합결과'!$E$55*(IF(G10="S",5,IF(G10="A",4,IF(G10="B",3,IF(G10="C",2,IF(G10="D",1,0))))))+'02_의사결정·종합결과'!$E$56*(IF(H10="S",5,IF(H10="A",4,IF(H10="B",3,IF(H10="C",2,IF(H10="D",1,0))))))+'02_의사결정·종합결과'!$E$57*(IF(I10="S",5,IF(I10="A",4,IF(I10="B",3,IF(I10="C",2,IF(I10="D",1,0))))))+'02_의사결정·종합결과'!$E$58*(IF(J10="S",5,IF(J10="A",4,IF(J10="B",3,IF(J10="C",2,IF(J10="D",1,0))))))+'02_의사결정·종합결과'!$E$59*(IF(K10="S",5,IF(K10="A",4,IF(K10="B",3,IF(K10="C",2,IF(K10="D",1,0))))))+'02_의사결정·종합결과'!$E$60*(IF(L10="S",5,IF(L10="A",4,IF(L10="B",3,IF(L10="C",2,IF(L10="D",1,0))))))+'02_의사결정·종합결과'!$E$61*(IF(M10="S",5,IF(M10="A",4,IF(M10="B",3,IF(M10="C",2,IF(M10="D",1,0))))))+'02_의사결정·종합결과'!$E$62*(IF(N10="S",5,IF(N10="A",4,IF(N10="B",3,IF(N10="C",2,IF(N10="D",1,0))))))+'02_의사결정·종합결과'!$E$63*(IF(O10="S",5,IF(O10="A",4,IF(O10="B",3,IF(O10="C",2,IF(O10="D",1,0)))))))</f>
        <v>0</v>
      </c>
      <c r="Q10" s="15" t="str">
        <f t="shared" si="0"/>
        <v>D</v>
      </c>
    </row>
    <row r="11" spans="1:18" x14ac:dyDescent="0.6">
      <c r="A11" s="15">
        <f>'01_인적정보'!A10</f>
        <v>6</v>
      </c>
      <c r="B11" s="15" t="str">
        <f>'01_인적정보'!B10</f>
        <v>BSS-006</v>
      </c>
      <c r="C11" s="15" t="str">
        <f>'01_인적정보'!C10</f>
        <v>이재용</v>
      </c>
      <c r="D11" s="15" t="str">
        <f>'01_인적정보'!H10</f>
        <v>G6</v>
      </c>
      <c r="E11" s="15">
        <f>'07_결과취합'!N11</f>
        <v>0</v>
      </c>
      <c r="F11" s="15">
        <f>'07_결과취합'!O11</f>
        <v>0</v>
      </c>
      <c r="G11" s="15">
        <f>'07_결과취합'!P11</f>
        <v>0</v>
      </c>
      <c r="H11" s="15">
        <f>'07_결과취합'!Q11</f>
        <v>0</v>
      </c>
      <c r="I11" s="15">
        <f>'07_결과취합'!R11</f>
        <v>0</v>
      </c>
      <c r="J11" s="15">
        <f>'07_결과취합'!S11</f>
        <v>0</v>
      </c>
      <c r="K11" s="15">
        <f>'07_결과취합'!T11</f>
        <v>0</v>
      </c>
      <c r="L11" s="15">
        <f>'07_결과취합'!U11</f>
        <v>0</v>
      </c>
      <c r="M11" s="15">
        <f>'07_결과취합'!V11</f>
        <v>0</v>
      </c>
      <c r="N11" s="15">
        <f>'07_결과취합'!W11</f>
        <v>0</v>
      </c>
      <c r="O11" s="15">
        <f>'07_결과취합'!X11</f>
        <v>0</v>
      </c>
      <c r="P11" s="24">
        <f>IF(COUNTBLANK(E11:O11)&gt;0,"",'02_의사결정·종합결과'!$E$53*(IF(E11="S",5,IF(E11="A",4,IF(E11="B",3,IF(E11="C",2,IF(E11="D",1,0))))))+'02_의사결정·종합결과'!$E$54*(IF(F11="S",5,IF(F11="A",4,IF(F11="B",3,IF(F11="C",2,IF(F11="D",1,0))))))+'02_의사결정·종합결과'!$E$55*(IF(G11="S",5,IF(G11="A",4,IF(G11="B",3,IF(G11="C",2,IF(G11="D",1,0))))))+'02_의사결정·종합결과'!$E$56*(IF(H11="S",5,IF(H11="A",4,IF(H11="B",3,IF(H11="C",2,IF(H11="D",1,0))))))+'02_의사결정·종합결과'!$E$57*(IF(I11="S",5,IF(I11="A",4,IF(I11="B",3,IF(I11="C",2,IF(I11="D",1,0))))))+'02_의사결정·종합결과'!$E$58*(IF(J11="S",5,IF(J11="A",4,IF(J11="B",3,IF(J11="C",2,IF(J11="D",1,0))))))+'02_의사결정·종합결과'!$E$59*(IF(K11="S",5,IF(K11="A",4,IF(K11="B",3,IF(K11="C",2,IF(K11="D",1,0))))))+'02_의사결정·종합결과'!$E$60*(IF(L11="S",5,IF(L11="A",4,IF(L11="B",3,IF(L11="C",2,IF(L11="D",1,0))))))+'02_의사결정·종합결과'!$E$61*(IF(M11="S",5,IF(M11="A",4,IF(M11="B",3,IF(M11="C",2,IF(M11="D",1,0))))))+'02_의사결정·종합결과'!$E$62*(IF(N11="S",5,IF(N11="A",4,IF(N11="B",3,IF(N11="C",2,IF(N11="D",1,0))))))+'02_의사결정·종합결과'!$E$63*(IF(O11="S",5,IF(O11="A",4,IF(O11="B",3,IF(O11="C",2,IF(O11="D",1,0)))))))</f>
        <v>0</v>
      </c>
      <c r="Q11" s="15" t="str">
        <f t="shared" si="0"/>
        <v>D</v>
      </c>
    </row>
    <row r="12" spans="1:18" x14ac:dyDescent="0.6">
      <c r="A12" s="15">
        <f>'01_인적정보'!A11</f>
        <v>7</v>
      </c>
      <c r="B12" s="15" t="str">
        <f>'01_인적정보'!B11</f>
        <v>BSS-007</v>
      </c>
      <c r="C12" s="15" t="str">
        <f>'01_인적정보'!C11</f>
        <v>이진행</v>
      </c>
      <c r="D12" s="15" t="str">
        <f>'01_인적정보'!H11</f>
        <v>G5</v>
      </c>
      <c r="E12" s="15">
        <f>'07_결과취합'!N12</f>
        <v>0</v>
      </c>
      <c r="F12" s="15">
        <f>'07_결과취합'!O12</f>
        <v>0</v>
      </c>
      <c r="G12" s="15">
        <f>'07_결과취합'!P12</f>
        <v>0</v>
      </c>
      <c r="H12" s="15">
        <f>'07_결과취합'!Q12</f>
        <v>0</v>
      </c>
      <c r="I12" s="15">
        <f>'07_결과취합'!R12</f>
        <v>0</v>
      </c>
      <c r="J12" s="15">
        <f>'07_결과취합'!S12</f>
        <v>0</v>
      </c>
      <c r="K12" s="15">
        <f>'07_결과취합'!T12</f>
        <v>0</v>
      </c>
      <c r="L12" s="15">
        <f>'07_결과취합'!U12</f>
        <v>0</v>
      </c>
      <c r="M12" s="15">
        <f>'07_결과취합'!V12</f>
        <v>0</v>
      </c>
      <c r="N12" s="15">
        <f>'07_결과취합'!W12</f>
        <v>0</v>
      </c>
      <c r="O12" s="15">
        <f>'07_결과취합'!X12</f>
        <v>0</v>
      </c>
      <c r="P12" s="24">
        <f>IF(COUNTBLANK(E12:O12)&gt;0,"",'02_의사결정·종합결과'!$E$53*(IF(E12="S",5,IF(E12="A",4,IF(E12="B",3,IF(E12="C",2,IF(E12="D",1,0))))))+'02_의사결정·종합결과'!$E$54*(IF(F12="S",5,IF(F12="A",4,IF(F12="B",3,IF(F12="C",2,IF(F12="D",1,0))))))+'02_의사결정·종합결과'!$E$55*(IF(G12="S",5,IF(G12="A",4,IF(G12="B",3,IF(G12="C",2,IF(G12="D",1,0))))))+'02_의사결정·종합결과'!$E$56*(IF(H12="S",5,IF(H12="A",4,IF(H12="B",3,IF(H12="C",2,IF(H12="D",1,0))))))+'02_의사결정·종합결과'!$E$57*(IF(I12="S",5,IF(I12="A",4,IF(I12="B",3,IF(I12="C",2,IF(I12="D",1,0))))))+'02_의사결정·종합결과'!$E$58*(IF(J12="S",5,IF(J12="A",4,IF(J12="B",3,IF(J12="C",2,IF(J12="D",1,0))))))+'02_의사결정·종합결과'!$E$59*(IF(K12="S",5,IF(K12="A",4,IF(K12="B",3,IF(K12="C",2,IF(K12="D",1,0))))))+'02_의사결정·종합결과'!$E$60*(IF(L12="S",5,IF(L12="A",4,IF(L12="B",3,IF(L12="C",2,IF(L12="D",1,0))))))+'02_의사결정·종합결과'!$E$61*(IF(M12="S",5,IF(M12="A",4,IF(M12="B",3,IF(M12="C",2,IF(M12="D",1,0))))))+'02_의사결정·종합결과'!$E$62*(IF(N12="S",5,IF(N12="A",4,IF(N12="B",3,IF(N12="C",2,IF(N12="D",1,0))))))+'02_의사결정·종합결과'!$E$63*(IF(O12="S",5,IF(O12="A",4,IF(O12="B",3,IF(O12="C",2,IF(O12="D",1,0)))))))</f>
        <v>0</v>
      </c>
      <c r="Q12" s="15" t="str">
        <f t="shared" si="0"/>
        <v>D</v>
      </c>
    </row>
    <row r="13" spans="1:18" x14ac:dyDescent="0.6">
      <c r="A13" s="15">
        <f>'01_인적정보'!A12</f>
        <v>8</v>
      </c>
      <c r="B13" s="15" t="str">
        <f>'01_인적정보'!B12</f>
        <v>BSS-008</v>
      </c>
      <c r="C13" s="15" t="str">
        <f>'01_인적정보'!C12</f>
        <v>김민수</v>
      </c>
      <c r="D13" s="15" t="str">
        <f>'01_인적정보'!H12</f>
        <v>G5</v>
      </c>
      <c r="E13" s="15">
        <f>'07_결과취합'!N13</f>
        <v>0</v>
      </c>
      <c r="F13" s="15">
        <f>'07_결과취합'!O13</f>
        <v>0</v>
      </c>
      <c r="G13" s="15">
        <f>'07_결과취합'!P13</f>
        <v>0</v>
      </c>
      <c r="H13" s="15">
        <f>'07_결과취합'!Q13</f>
        <v>0</v>
      </c>
      <c r="I13" s="15">
        <f>'07_결과취합'!R13</f>
        <v>0</v>
      </c>
      <c r="J13" s="15">
        <f>'07_결과취합'!S13</f>
        <v>0</v>
      </c>
      <c r="K13" s="15">
        <f>'07_결과취합'!T13</f>
        <v>0</v>
      </c>
      <c r="L13" s="15">
        <f>'07_결과취합'!U13</f>
        <v>0</v>
      </c>
      <c r="M13" s="15">
        <f>'07_결과취합'!V13</f>
        <v>0</v>
      </c>
      <c r="N13" s="15">
        <f>'07_결과취합'!W13</f>
        <v>0</v>
      </c>
      <c r="O13" s="15">
        <f>'07_결과취합'!X13</f>
        <v>0</v>
      </c>
      <c r="P13" s="24">
        <f>IF(COUNTBLANK(E13:O13)&gt;0,"",'02_의사결정·종합결과'!$E$53*(IF(E13="S",5,IF(E13="A",4,IF(E13="B",3,IF(E13="C",2,IF(E13="D",1,0))))))+'02_의사결정·종합결과'!$E$54*(IF(F13="S",5,IF(F13="A",4,IF(F13="B",3,IF(F13="C",2,IF(F13="D",1,0))))))+'02_의사결정·종합결과'!$E$55*(IF(G13="S",5,IF(G13="A",4,IF(G13="B",3,IF(G13="C",2,IF(G13="D",1,0))))))+'02_의사결정·종합결과'!$E$56*(IF(H13="S",5,IF(H13="A",4,IF(H13="B",3,IF(H13="C",2,IF(H13="D",1,0))))))+'02_의사결정·종합결과'!$E$57*(IF(I13="S",5,IF(I13="A",4,IF(I13="B",3,IF(I13="C",2,IF(I13="D",1,0))))))+'02_의사결정·종합결과'!$E$58*(IF(J13="S",5,IF(J13="A",4,IF(J13="B",3,IF(J13="C",2,IF(J13="D",1,0))))))+'02_의사결정·종합결과'!$E$59*(IF(K13="S",5,IF(K13="A",4,IF(K13="B",3,IF(K13="C",2,IF(K13="D",1,0))))))+'02_의사결정·종합결과'!$E$60*(IF(L13="S",5,IF(L13="A",4,IF(L13="B",3,IF(L13="C",2,IF(L13="D",1,0))))))+'02_의사결정·종합결과'!$E$61*(IF(M13="S",5,IF(M13="A",4,IF(M13="B",3,IF(M13="C",2,IF(M13="D",1,0))))))+'02_의사결정·종합결과'!$E$62*(IF(N13="S",5,IF(N13="A",4,IF(N13="B",3,IF(N13="C",2,IF(N13="D",1,0))))))+'02_의사결정·종합결과'!$E$63*(IF(O13="S",5,IF(O13="A",4,IF(O13="B",3,IF(O13="C",2,IF(O13="D",1,0)))))))</f>
        <v>0</v>
      </c>
      <c r="Q13" s="15" t="str">
        <f t="shared" si="0"/>
        <v>D</v>
      </c>
    </row>
    <row r="14" spans="1:18" x14ac:dyDescent="0.6">
      <c r="A14" s="15">
        <f>'01_인적정보'!A13</f>
        <v>9</v>
      </c>
      <c r="B14" s="15" t="str">
        <f>'01_인적정보'!B13</f>
        <v>BSS-009</v>
      </c>
      <c r="C14" s="15" t="str">
        <f>'01_인적정보'!C13</f>
        <v>박남식</v>
      </c>
      <c r="D14" s="15" t="str">
        <f>'01_인적정보'!H13</f>
        <v>G5</v>
      </c>
      <c r="E14" s="15">
        <f>'07_결과취합'!N14</f>
        <v>0</v>
      </c>
      <c r="F14" s="15">
        <f>'07_결과취합'!O14</f>
        <v>0</v>
      </c>
      <c r="G14" s="15">
        <f>'07_결과취합'!P14</f>
        <v>0</v>
      </c>
      <c r="H14" s="15">
        <f>'07_결과취합'!Q14</f>
        <v>0</v>
      </c>
      <c r="I14" s="15">
        <f>'07_결과취합'!R14</f>
        <v>0</v>
      </c>
      <c r="J14" s="15">
        <f>'07_결과취합'!S14</f>
        <v>0</v>
      </c>
      <c r="K14" s="15">
        <f>'07_결과취합'!T14</f>
        <v>0</v>
      </c>
      <c r="L14" s="15">
        <f>'07_결과취합'!U14</f>
        <v>0</v>
      </c>
      <c r="M14" s="15">
        <f>'07_결과취합'!V14</f>
        <v>0</v>
      </c>
      <c r="N14" s="15">
        <f>'07_결과취합'!W14</f>
        <v>0</v>
      </c>
      <c r="O14" s="15">
        <f>'07_결과취합'!X14</f>
        <v>0</v>
      </c>
      <c r="P14" s="24">
        <f>IF(COUNTBLANK(E14:O14)&gt;0,"",'02_의사결정·종합결과'!$E$53*(IF(E14="S",5,IF(E14="A",4,IF(E14="B",3,IF(E14="C",2,IF(E14="D",1,0))))))+'02_의사결정·종합결과'!$E$54*(IF(F14="S",5,IF(F14="A",4,IF(F14="B",3,IF(F14="C",2,IF(F14="D",1,0))))))+'02_의사결정·종합결과'!$E$55*(IF(G14="S",5,IF(G14="A",4,IF(G14="B",3,IF(G14="C",2,IF(G14="D",1,0))))))+'02_의사결정·종합결과'!$E$56*(IF(H14="S",5,IF(H14="A",4,IF(H14="B",3,IF(H14="C",2,IF(H14="D",1,0))))))+'02_의사결정·종합결과'!$E$57*(IF(I14="S",5,IF(I14="A",4,IF(I14="B",3,IF(I14="C",2,IF(I14="D",1,0))))))+'02_의사결정·종합결과'!$E$58*(IF(J14="S",5,IF(J14="A",4,IF(J14="B",3,IF(J14="C",2,IF(J14="D",1,0))))))+'02_의사결정·종합결과'!$E$59*(IF(K14="S",5,IF(K14="A",4,IF(K14="B",3,IF(K14="C",2,IF(K14="D",1,0))))))+'02_의사결정·종합결과'!$E$60*(IF(L14="S",5,IF(L14="A",4,IF(L14="B",3,IF(L14="C",2,IF(L14="D",1,0))))))+'02_의사결정·종합결과'!$E$61*(IF(M14="S",5,IF(M14="A",4,IF(M14="B",3,IF(M14="C",2,IF(M14="D",1,0))))))+'02_의사결정·종합결과'!$E$62*(IF(N14="S",5,IF(N14="A",4,IF(N14="B",3,IF(N14="C",2,IF(N14="D",1,0))))))+'02_의사결정·종합결과'!$E$63*(IF(O14="S",5,IF(O14="A",4,IF(O14="B",3,IF(O14="C",2,IF(O14="D",1,0)))))))</f>
        <v>0</v>
      </c>
      <c r="Q14" s="15" t="str">
        <f t="shared" si="0"/>
        <v>D</v>
      </c>
    </row>
    <row r="15" spans="1:18" x14ac:dyDescent="0.6">
      <c r="A15" s="15">
        <f>'01_인적정보'!A14</f>
        <v>10</v>
      </c>
      <c r="B15" s="15" t="str">
        <f>'01_인적정보'!B14</f>
        <v>BSS-010</v>
      </c>
      <c r="C15" s="15" t="str">
        <f>'01_인적정보'!C14</f>
        <v>신재민</v>
      </c>
      <c r="D15" s="15" t="str">
        <f>'01_인적정보'!H14</f>
        <v>G5</v>
      </c>
      <c r="E15" s="15">
        <f>'07_결과취합'!N15</f>
        <v>0</v>
      </c>
      <c r="F15" s="15">
        <f>'07_결과취합'!O15</f>
        <v>0</v>
      </c>
      <c r="G15" s="15">
        <f>'07_결과취합'!P15</f>
        <v>0</v>
      </c>
      <c r="H15" s="15">
        <f>'07_결과취합'!Q15</f>
        <v>0</v>
      </c>
      <c r="I15" s="15">
        <f>'07_결과취합'!R15</f>
        <v>0</v>
      </c>
      <c r="J15" s="15">
        <f>'07_결과취합'!S15</f>
        <v>0</v>
      </c>
      <c r="K15" s="15">
        <f>'07_결과취합'!T15</f>
        <v>0</v>
      </c>
      <c r="L15" s="15">
        <f>'07_결과취합'!U15</f>
        <v>0</v>
      </c>
      <c r="M15" s="15">
        <f>'07_결과취합'!V15</f>
        <v>0</v>
      </c>
      <c r="N15" s="15">
        <f>'07_결과취합'!W15</f>
        <v>0</v>
      </c>
      <c r="O15" s="15">
        <f>'07_결과취합'!X15</f>
        <v>0</v>
      </c>
      <c r="P15" s="24">
        <f>IF(COUNTBLANK(E15:O15)&gt;0,"",'02_의사결정·종합결과'!$E$53*(IF(E15="S",5,IF(E15="A",4,IF(E15="B",3,IF(E15="C",2,IF(E15="D",1,0))))))+'02_의사결정·종합결과'!$E$54*(IF(F15="S",5,IF(F15="A",4,IF(F15="B",3,IF(F15="C",2,IF(F15="D",1,0))))))+'02_의사결정·종합결과'!$E$55*(IF(G15="S",5,IF(G15="A",4,IF(G15="B",3,IF(G15="C",2,IF(G15="D",1,0))))))+'02_의사결정·종합결과'!$E$56*(IF(H15="S",5,IF(H15="A",4,IF(H15="B",3,IF(H15="C",2,IF(H15="D",1,0))))))+'02_의사결정·종합결과'!$E$57*(IF(I15="S",5,IF(I15="A",4,IF(I15="B",3,IF(I15="C",2,IF(I15="D",1,0))))))+'02_의사결정·종합결과'!$E$58*(IF(J15="S",5,IF(J15="A",4,IF(J15="B",3,IF(J15="C",2,IF(J15="D",1,0))))))+'02_의사결정·종합결과'!$E$59*(IF(K15="S",5,IF(K15="A",4,IF(K15="B",3,IF(K15="C",2,IF(K15="D",1,0))))))+'02_의사결정·종합결과'!$E$60*(IF(L15="S",5,IF(L15="A",4,IF(L15="B",3,IF(L15="C",2,IF(L15="D",1,0))))))+'02_의사결정·종합결과'!$E$61*(IF(M15="S",5,IF(M15="A",4,IF(M15="B",3,IF(M15="C",2,IF(M15="D",1,0))))))+'02_의사결정·종합결과'!$E$62*(IF(N15="S",5,IF(N15="A",4,IF(N15="B",3,IF(N15="C",2,IF(N15="D",1,0))))))+'02_의사결정·종합결과'!$E$63*(IF(O15="S",5,IF(O15="A",4,IF(O15="B",3,IF(O15="C",2,IF(O15="D",1,0)))))))</f>
        <v>0</v>
      </c>
      <c r="Q15" s="15" t="str">
        <f t="shared" si="0"/>
        <v>D</v>
      </c>
    </row>
    <row r="16" spans="1:18" x14ac:dyDescent="0.6">
      <c r="A16" s="15">
        <f>'01_인적정보'!A15</f>
        <v>11</v>
      </c>
      <c r="B16" s="15" t="str">
        <f>'01_인적정보'!B15</f>
        <v>BSS-011</v>
      </c>
      <c r="C16" s="15" t="str">
        <f>'01_인적정보'!C15</f>
        <v>마장엽</v>
      </c>
      <c r="D16" s="15" t="str">
        <f>'01_인적정보'!H15</f>
        <v>G5</v>
      </c>
      <c r="E16" s="15">
        <f>'07_결과취합'!N16</f>
        <v>0</v>
      </c>
      <c r="F16" s="15">
        <f>'07_결과취합'!O16</f>
        <v>0</v>
      </c>
      <c r="G16" s="15">
        <f>'07_결과취합'!P16</f>
        <v>0</v>
      </c>
      <c r="H16" s="15">
        <f>'07_결과취합'!Q16</f>
        <v>0</v>
      </c>
      <c r="I16" s="15">
        <f>'07_결과취합'!R16</f>
        <v>0</v>
      </c>
      <c r="J16" s="15">
        <f>'07_결과취합'!S16</f>
        <v>0</v>
      </c>
      <c r="K16" s="15">
        <f>'07_결과취합'!T16</f>
        <v>0</v>
      </c>
      <c r="L16" s="15">
        <f>'07_결과취합'!U16</f>
        <v>0</v>
      </c>
      <c r="M16" s="15">
        <f>'07_결과취합'!V16</f>
        <v>0</v>
      </c>
      <c r="N16" s="15">
        <f>'07_결과취합'!W16</f>
        <v>0</v>
      </c>
      <c r="O16" s="15">
        <f>'07_결과취합'!X16</f>
        <v>0</v>
      </c>
      <c r="P16" s="24">
        <f>IF(COUNTBLANK(E16:O16)&gt;0,"",'02_의사결정·종합결과'!$E$53*(IF(E16="S",5,IF(E16="A",4,IF(E16="B",3,IF(E16="C",2,IF(E16="D",1,0))))))+'02_의사결정·종합결과'!$E$54*(IF(F16="S",5,IF(F16="A",4,IF(F16="B",3,IF(F16="C",2,IF(F16="D",1,0))))))+'02_의사결정·종합결과'!$E$55*(IF(G16="S",5,IF(G16="A",4,IF(G16="B",3,IF(G16="C",2,IF(G16="D",1,0))))))+'02_의사결정·종합결과'!$E$56*(IF(H16="S",5,IF(H16="A",4,IF(H16="B",3,IF(H16="C",2,IF(H16="D",1,0))))))+'02_의사결정·종합결과'!$E$57*(IF(I16="S",5,IF(I16="A",4,IF(I16="B",3,IF(I16="C",2,IF(I16="D",1,0))))))+'02_의사결정·종합결과'!$E$58*(IF(J16="S",5,IF(J16="A",4,IF(J16="B",3,IF(J16="C",2,IF(J16="D",1,0))))))+'02_의사결정·종합결과'!$E$59*(IF(K16="S",5,IF(K16="A",4,IF(K16="B",3,IF(K16="C",2,IF(K16="D",1,0))))))+'02_의사결정·종합결과'!$E$60*(IF(L16="S",5,IF(L16="A",4,IF(L16="B",3,IF(L16="C",2,IF(L16="D",1,0))))))+'02_의사결정·종합결과'!$E$61*(IF(M16="S",5,IF(M16="A",4,IF(M16="B",3,IF(M16="C",2,IF(M16="D",1,0))))))+'02_의사결정·종합결과'!$E$62*(IF(N16="S",5,IF(N16="A",4,IF(N16="B",3,IF(N16="C",2,IF(N16="D",1,0))))))+'02_의사결정·종합결과'!$E$63*(IF(O16="S",5,IF(O16="A",4,IF(O16="B",3,IF(O16="C",2,IF(O16="D",1,0)))))))</f>
        <v>0</v>
      </c>
      <c r="Q16" s="15" t="str">
        <f t="shared" si="0"/>
        <v>D</v>
      </c>
    </row>
    <row r="17" spans="1:17" x14ac:dyDescent="0.6">
      <c r="A17" s="15">
        <f>'01_인적정보'!A16</f>
        <v>12</v>
      </c>
      <c r="B17" s="15" t="str">
        <f>'01_인적정보'!B16</f>
        <v>BSS-012</v>
      </c>
      <c r="C17" s="15" t="str">
        <f>'01_인적정보'!C16</f>
        <v>하은주</v>
      </c>
      <c r="D17" s="15" t="str">
        <f>'01_인적정보'!H16</f>
        <v>G5</v>
      </c>
      <c r="E17" s="15">
        <f>'07_결과취합'!N17</f>
        <v>0</v>
      </c>
      <c r="F17" s="15">
        <f>'07_결과취합'!O17</f>
        <v>0</v>
      </c>
      <c r="G17" s="15">
        <f>'07_결과취합'!P17</f>
        <v>0</v>
      </c>
      <c r="H17" s="15">
        <f>'07_결과취합'!Q17</f>
        <v>0</v>
      </c>
      <c r="I17" s="15">
        <f>'07_결과취합'!R17</f>
        <v>0</v>
      </c>
      <c r="J17" s="15">
        <f>'07_결과취합'!S17</f>
        <v>0</v>
      </c>
      <c r="K17" s="15">
        <f>'07_결과취합'!T17</f>
        <v>0</v>
      </c>
      <c r="L17" s="15">
        <f>'07_결과취합'!U17</f>
        <v>0</v>
      </c>
      <c r="M17" s="15">
        <f>'07_결과취합'!V17</f>
        <v>0</v>
      </c>
      <c r="N17" s="15">
        <f>'07_결과취합'!W17</f>
        <v>0</v>
      </c>
      <c r="O17" s="15">
        <f>'07_결과취합'!X17</f>
        <v>0</v>
      </c>
      <c r="P17" s="24">
        <f>IF(COUNTBLANK(E17:O17)&gt;0,"",'02_의사결정·종합결과'!$E$53*(IF(E17="S",5,IF(E17="A",4,IF(E17="B",3,IF(E17="C",2,IF(E17="D",1,0))))))+'02_의사결정·종합결과'!$E$54*(IF(F17="S",5,IF(F17="A",4,IF(F17="B",3,IF(F17="C",2,IF(F17="D",1,0))))))+'02_의사결정·종합결과'!$E$55*(IF(G17="S",5,IF(G17="A",4,IF(G17="B",3,IF(G17="C",2,IF(G17="D",1,0))))))+'02_의사결정·종합결과'!$E$56*(IF(H17="S",5,IF(H17="A",4,IF(H17="B",3,IF(H17="C",2,IF(H17="D",1,0))))))+'02_의사결정·종합결과'!$E$57*(IF(I17="S",5,IF(I17="A",4,IF(I17="B",3,IF(I17="C",2,IF(I17="D",1,0))))))+'02_의사결정·종합결과'!$E$58*(IF(J17="S",5,IF(J17="A",4,IF(J17="B",3,IF(J17="C",2,IF(J17="D",1,0))))))+'02_의사결정·종합결과'!$E$59*(IF(K17="S",5,IF(K17="A",4,IF(K17="B",3,IF(K17="C",2,IF(K17="D",1,0))))))+'02_의사결정·종합결과'!$E$60*(IF(L17="S",5,IF(L17="A",4,IF(L17="B",3,IF(L17="C",2,IF(L17="D",1,0))))))+'02_의사결정·종합결과'!$E$61*(IF(M17="S",5,IF(M17="A",4,IF(M17="B",3,IF(M17="C",2,IF(M17="D",1,0))))))+'02_의사결정·종합결과'!$E$62*(IF(N17="S",5,IF(N17="A",4,IF(N17="B",3,IF(N17="C",2,IF(N17="D",1,0))))))+'02_의사결정·종합결과'!$E$63*(IF(O17="S",5,IF(O17="A",4,IF(O17="B",3,IF(O17="C",2,IF(O17="D",1,0)))))))</f>
        <v>0</v>
      </c>
      <c r="Q17" s="15" t="str">
        <f t="shared" si="0"/>
        <v>D</v>
      </c>
    </row>
    <row r="18" spans="1:17" x14ac:dyDescent="0.6">
      <c r="A18" s="15">
        <f>'01_인적정보'!A17</f>
        <v>13</v>
      </c>
      <c r="B18" s="15" t="str">
        <f>'01_인적정보'!B17</f>
        <v>BSS-013</v>
      </c>
      <c r="C18" s="15" t="str">
        <f>'01_인적정보'!C17</f>
        <v>홍사훈</v>
      </c>
      <c r="D18" s="15" t="str">
        <f>'01_인적정보'!H17</f>
        <v>G5</v>
      </c>
      <c r="E18" s="15">
        <f>'07_결과취합'!N18</f>
        <v>0</v>
      </c>
      <c r="F18" s="15">
        <f>'07_결과취합'!O18</f>
        <v>0</v>
      </c>
      <c r="G18" s="15">
        <f>'07_결과취합'!P18</f>
        <v>0</v>
      </c>
      <c r="H18" s="15">
        <f>'07_결과취합'!Q18</f>
        <v>0</v>
      </c>
      <c r="I18" s="15">
        <f>'07_결과취합'!R18</f>
        <v>0</v>
      </c>
      <c r="J18" s="15">
        <f>'07_결과취합'!S18</f>
        <v>0</v>
      </c>
      <c r="K18" s="15">
        <f>'07_결과취합'!T18</f>
        <v>0</v>
      </c>
      <c r="L18" s="15">
        <f>'07_결과취합'!U18</f>
        <v>0</v>
      </c>
      <c r="M18" s="15">
        <f>'07_결과취합'!V18</f>
        <v>0</v>
      </c>
      <c r="N18" s="15">
        <f>'07_결과취합'!W18</f>
        <v>0</v>
      </c>
      <c r="O18" s="15">
        <f>'07_결과취합'!X18</f>
        <v>0</v>
      </c>
      <c r="P18" s="24">
        <f>IF(COUNTBLANK(E18:O18)&gt;0,"",'02_의사결정·종합결과'!$E$53*(IF(E18="S",5,IF(E18="A",4,IF(E18="B",3,IF(E18="C",2,IF(E18="D",1,0))))))+'02_의사결정·종합결과'!$E$54*(IF(F18="S",5,IF(F18="A",4,IF(F18="B",3,IF(F18="C",2,IF(F18="D",1,0))))))+'02_의사결정·종합결과'!$E$55*(IF(G18="S",5,IF(G18="A",4,IF(G18="B",3,IF(G18="C",2,IF(G18="D",1,0))))))+'02_의사결정·종합결과'!$E$56*(IF(H18="S",5,IF(H18="A",4,IF(H18="B",3,IF(H18="C",2,IF(H18="D",1,0))))))+'02_의사결정·종합결과'!$E$57*(IF(I18="S",5,IF(I18="A",4,IF(I18="B",3,IF(I18="C",2,IF(I18="D",1,0))))))+'02_의사결정·종합결과'!$E$58*(IF(J18="S",5,IF(J18="A",4,IF(J18="B",3,IF(J18="C",2,IF(J18="D",1,0))))))+'02_의사결정·종합결과'!$E$59*(IF(K18="S",5,IF(K18="A",4,IF(K18="B",3,IF(K18="C",2,IF(K18="D",1,0))))))+'02_의사결정·종합결과'!$E$60*(IF(L18="S",5,IF(L18="A",4,IF(L18="B",3,IF(L18="C",2,IF(L18="D",1,0))))))+'02_의사결정·종합결과'!$E$61*(IF(M18="S",5,IF(M18="A",4,IF(M18="B",3,IF(M18="C",2,IF(M18="D",1,0))))))+'02_의사결정·종합결과'!$E$62*(IF(N18="S",5,IF(N18="A",4,IF(N18="B",3,IF(N18="C",2,IF(N18="D",1,0))))))+'02_의사결정·종합결과'!$E$63*(IF(O18="S",5,IF(O18="A",4,IF(O18="B",3,IF(O18="C",2,IF(O18="D",1,0)))))))</f>
        <v>0</v>
      </c>
      <c r="Q18" s="15" t="str">
        <f t="shared" si="0"/>
        <v>D</v>
      </c>
    </row>
    <row r="19" spans="1:17" x14ac:dyDescent="0.6">
      <c r="A19" s="15">
        <f>'01_인적정보'!A18</f>
        <v>14</v>
      </c>
      <c r="B19" s="15" t="str">
        <f>'01_인적정보'!B18</f>
        <v>BSS-014</v>
      </c>
      <c r="C19" s="15" t="str">
        <f>'01_인적정보'!C18</f>
        <v>유자영</v>
      </c>
      <c r="D19" s="15" t="str">
        <f>'01_인적정보'!H18</f>
        <v>G5</v>
      </c>
      <c r="E19" s="15">
        <f>'07_결과취합'!N19</f>
        <v>0</v>
      </c>
      <c r="F19" s="15">
        <f>'07_결과취합'!O19</f>
        <v>0</v>
      </c>
      <c r="G19" s="15">
        <f>'07_결과취합'!P19</f>
        <v>0</v>
      </c>
      <c r="H19" s="15">
        <f>'07_결과취합'!Q19</f>
        <v>0</v>
      </c>
      <c r="I19" s="15">
        <f>'07_결과취합'!R19</f>
        <v>0</v>
      </c>
      <c r="J19" s="15">
        <f>'07_결과취합'!S19</f>
        <v>0</v>
      </c>
      <c r="K19" s="15">
        <f>'07_결과취합'!T19</f>
        <v>0</v>
      </c>
      <c r="L19" s="15">
        <f>'07_결과취합'!U19</f>
        <v>0</v>
      </c>
      <c r="M19" s="15">
        <f>'07_결과취합'!V19</f>
        <v>0</v>
      </c>
      <c r="N19" s="15">
        <f>'07_결과취합'!W19</f>
        <v>0</v>
      </c>
      <c r="O19" s="15">
        <f>'07_결과취합'!X19</f>
        <v>0</v>
      </c>
      <c r="P19" s="24">
        <f>IF(COUNTBLANK(E19:O19)&gt;0,"",'02_의사결정·종합결과'!$E$53*(IF(E19="S",5,IF(E19="A",4,IF(E19="B",3,IF(E19="C",2,IF(E19="D",1,0))))))+'02_의사결정·종합결과'!$E$54*(IF(F19="S",5,IF(F19="A",4,IF(F19="B",3,IF(F19="C",2,IF(F19="D",1,0))))))+'02_의사결정·종합결과'!$E$55*(IF(G19="S",5,IF(G19="A",4,IF(G19="B",3,IF(G19="C",2,IF(G19="D",1,0))))))+'02_의사결정·종합결과'!$E$56*(IF(H19="S",5,IF(H19="A",4,IF(H19="B",3,IF(H19="C",2,IF(H19="D",1,0))))))+'02_의사결정·종합결과'!$E$57*(IF(I19="S",5,IF(I19="A",4,IF(I19="B",3,IF(I19="C",2,IF(I19="D",1,0))))))+'02_의사결정·종합결과'!$E$58*(IF(J19="S",5,IF(J19="A",4,IF(J19="B",3,IF(J19="C",2,IF(J19="D",1,0))))))+'02_의사결정·종합결과'!$E$59*(IF(K19="S",5,IF(K19="A",4,IF(K19="B",3,IF(K19="C",2,IF(K19="D",1,0))))))+'02_의사결정·종합결과'!$E$60*(IF(L19="S",5,IF(L19="A",4,IF(L19="B",3,IF(L19="C",2,IF(L19="D",1,0))))))+'02_의사결정·종합결과'!$E$61*(IF(M19="S",5,IF(M19="A",4,IF(M19="B",3,IF(M19="C",2,IF(M19="D",1,0))))))+'02_의사결정·종합결과'!$E$62*(IF(N19="S",5,IF(N19="A",4,IF(N19="B",3,IF(N19="C",2,IF(N19="D",1,0))))))+'02_의사결정·종합결과'!$E$63*(IF(O19="S",5,IF(O19="A",4,IF(O19="B",3,IF(O19="C",2,IF(O19="D",1,0)))))))</f>
        <v>0</v>
      </c>
      <c r="Q19" s="15" t="str">
        <f t="shared" si="0"/>
        <v>D</v>
      </c>
    </row>
    <row r="20" spans="1:17" x14ac:dyDescent="0.6">
      <c r="A20" s="15">
        <f>'01_인적정보'!A19</f>
        <v>15</v>
      </c>
      <c r="B20" s="15" t="str">
        <f>'01_인적정보'!B19</f>
        <v>BSS-015</v>
      </c>
      <c r="C20" s="15" t="str">
        <f>'01_인적정보'!C19</f>
        <v>민지선</v>
      </c>
      <c r="D20" s="15" t="str">
        <f>'01_인적정보'!H19</f>
        <v>G5</v>
      </c>
      <c r="E20" s="15">
        <f>'07_결과취합'!N20</f>
        <v>0</v>
      </c>
      <c r="F20" s="15">
        <f>'07_결과취합'!O20</f>
        <v>0</v>
      </c>
      <c r="G20" s="15">
        <f>'07_결과취합'!P20</f>
        <v>0</v>
      </c>
      <c r="H20" s="15">
        <f>'07_결과취합'!Q20</f>
        <v>0</v>
      </c>
      <c r="I20" s="15">
        <f>'07_결과취합'!R20</f>
        <v>0</v>
      </c>
      <c r="J20" s="15">
        <f>'07_결과취합'!S20</f>
        <v>0</v>
      </c>
      <c r="K20" s="15">
        <f>'07_결과취합'!T20</f>
        <v>0</v>
      </c>
      <c r="L20" s="15">
        <f>'07_결과취합'!U20</f>
        <v>0</v>
      </c>
      <c r="M20" s="15">
        <f>'07_결과취합'!V20</f>
        <v>0</v>
      </c>
      <c r="N20" s="15">
        <f>'07_결과취합'!W20</f>
        <v>0</v>
      </c>
      <c r="O20" s="15">
        <f>'07_결과취합'!X20</f>
        <v>0</v>
      </c>
      <c r="P20" s="24">
        <f>IF(COUNTBLANK(E20:O20)&gt;0,"",'02_의사결정·종합결과'!$E$53*(IF(E20="S",5,IF(E20="A",4,IF(E20="B",3,IF(E20="C",2,IF(E20="D",1,0))))))+'02_의사결정·종합결과'!$E$54*(IF(F20="S",5,IF(F20="A",4,IF(F20="B",3,IF(F20="C",2,IF(F20="D",1,0))))))+'02_의사결정·종합결과'!$E$55*(IF(G20="S",5,IF(G20="A",4,IF(G20="B",3,IF(G20="C",2,IF(G20="D",1,0))))))+'02_의사결정·종합결과'!$E$56*(IF(H20="S",5,IF(H20="A",4,IF(H20="B",3,IF(H20="C",2,IF(H20="D",1,0))))))+'02_의사결정·종합결과'!$E$57*(IF(I20="S",5,IF(I20="A",4,IF(I20="B",3,IF(I20="C",2,IF(I20="D",1,0))))))+'02_의사결정·종합결과'!$E$58*(IF(J20="S",5,IF(J20="A",4,IF(J20="B",3,IF(J20="C",2,IF(J20="D",1,0))))))+'02_의사결정·종합결과'!$E$59*(IF(K20="S",5,IF(K20="A",4,IF(K20="B",3,IF(K20="C",2,IF(K20="D",1,0))))))+'02_의사결정·종합결과'!$E$60*(IF(L20="S",5,IF(L20="A",4,IF(L20="B",3,IF(L20="C",2,IF(L20="D",1,0))))))+'02_의사결정·종합결과'!$E$61*(IF(M20="S",5,IF(M20="A",4,IF(M20="B",3,IF(M20="C",2,IF(M20="D",1,0))))))+'02_의사결정·종합결과'!$E$62*(IF(N20="S",5,IF(N20="A",4,IF(N20="B",3,IF(N20="C",2,IF(N20="D",1,0))))))+'02_의사결정·종합결과'!$E$63*(IF(O20="S",5,IF(O20="A",4,IF(O20="B",3,IF(O20="C",2,IF(O20="D",1,0)))))))</f>
        <v>0</v>
      </c>
      <c r="Q20" s="15" t="str">
        <f t="shared" si="0"/>
        <v>D</v>
      </c>
    </row>
    <row r="21" spans="1:17" x14ac:dyDescent="0.6">
      <c r="A21" s="15">
        <f>'01_인적정보'!A20</f>
        <v>16</v>
      </c>
      <c r="B21" s="15" t="str">
        <f>'01_인적정보'!B20</f>
        <v>BSS-016</v>
      </c>
      <c r="C21" s="15" t="str">
        <f>'01_인적정보'!C20</f>
        <v>장훈</v>
      </c>
      <c r="D21" s="15" t="str">
        <f>'01_인적정보'!H20</f>
        <v>G5</v>
      </c>
      <c r="E21" s="15">
        <f>'07_결과취합'!N21</f>
        <v>0</v>
      </c>
      <c r="F21" s="15">
        <f>'07_결과취합'!O21</f>
        <v>0</v>
      </c>
      <c r="G21" s="15">
        <f>'07_결과취합'!P21</f>
        <v>0</v>
      </c>
      <c r="H21" s="15">
        <f>'07_결과취합'!Q21</f>
        <v>0</v>
      </c>
      <c r="I21" s="15">
        <f>'07_결과취합'!R21</f>
        <v>0</v>
      </c>
      <c r="J21" s="15">
        <f>'07_결과취합'!S21</f>
        <v>0</v>
      </c>
      <c r="K21" s="15">
        <f>'07_결과취합'!T21</f>
        <v>0</v>
      </c>
      <c r="L21" s="15">
        <f>'07_결과취합'!U21</f>
        <v>0</v>
      </c>
      <c r="M21" s="15">
        <f>'07_결과취합'!V21</f>
        <v>0</v>
      </c>
      <c r="N21" s="15">
        <f>'07_결과취합'!W21</f>
        <v>0</v>
      </c>
      <c r="O21" s="15">
        <f>'07_결과취합'!X21</f>
        <v>0</v>
      </c>
      <c r="P21" s="24">
        <f>IF(COUNTBLANK(E21:O21)&gt;0,"",'02_의사결정·종합결과'!$E$53*(IF(E21="S",5,IF(E21="A",4,IF(E21="B",3,IF(E21="C",2,IF(E21="D",1,0))))))+'02_의사결정·종합결과'!$E$54*(IF(F21="S",5,IF(F21="A",4,IF(F21="B",3,IF(F21="C",2,IF(F21="D",1,0))))))+'02_의사결정·종합결과'!$E$55*(IF(G21="S",5,IF(G21="A",4,IF(G21="B",3,IF(G21="C",2,IF(G21="D",1,0))))))+'02_의사결정·종합결과'!$E$56*(IF(H21="S",5,IF(H21="A",4,IF(H21="B",3,IF(H21="C",2,IF(H21="D",1,0))))))+'02_의사결정·종합결과'!$E$57*(IF(I21="S",5,IF(I21="A",4,IF(I21="B",3,IF(I21="C",2,IF(I21="D",1,0))))))+'02_의사결정·종합결과'!$E$58*(IF(J21="S",5,IF(J21="A",4,IF(J21="B",3,IF(J21="C",2,IF(J21="D",1,0))))))+'02_의사결정·종합결과'!$E$59*(IF(K21="S",5,IF(K21="A",4,IF(K21="B",3,IF(K21="C",2,IF(K21="D",1,0))))))+'02_의사결정·종합결과'!$E$60*(IF(L21="S",5,IF(L21="A",4,IF(L21="B",3,IF(L21="C",2,IF(L21="D",1,0))))))+'02_의사결정·종합결과'!$E$61*(IF(M21="S",5,IF(M21="A",4,IF(M21="B",3,IF(M21="C",2,IF(M21="D",1,0))))))+'02_의사결정·종합결과'!$E$62*(IF(N21="S",5,IF(N21="A",4,IF(N21="B",3,IF(N21="C",2,IF(N21="D",1,0))))))+'02_의사결정·종합결과'!$E$63*(IF(O21="S",5,IF(O21="A",4,IF(O21="B",3,IF(O21="C",2,IF(O21="D",1,0)))))))</f>
        <v>0</v>
      </c>
      <c r="Q21" s="15" t="str">
        <f t="shared" si="0"/>
        <v>D</v>
      </c>
    </row>
    <row r="22" spans="1:17" x14ac:dyDescent="0.6">
      <c r="A22" s="15">
        <f>'01_인적정보'!A21</f>
        <v>17</v>
      </c>
      <c r="B22" s="15" t="str">
        <f>'01_인적정보'!B21</f>
        <v>BSS-017</v>
      </c>
      <c r="C22" s="15" t="str">
        <f>'01_인적정보'!C21</f>
        <v>김우람</v>
      </c>
      <c r="D22" s="15" t="str">
        <f>'01_인적정보'!H21</f>
        <v>G4</v>
      </c>
      <c r="E22" s="15">
        <f>'07_결과취합'!N22</f>
        <v>0</v>
      </c>
      <c r="F22" s="15">
        <f>'07_결과취합'!O22</f>
        <v>0</v>
      </c>
      <c r="G22" s="15">
        <f>'07_결과취합'!P22</f>
        <v>0</v>
      </c>
      <c r="H22" s="15">
        <f>'07_결과취합'!Q22</f>
        <v>0</v>
      </c>
      <c r="I22" s="15">
        <f>'07_결과취합'!R22</f>
        <v>0</v>
      </c>
      <c r="J22" s="15">
        <f>'07_결과취합'!S22</f>
        <v>0</v>
      </c>
      <c r="K22" s="15">
        <f>'07_결과취합'!T22</f>
        <v>0</v>
      </c>
      <c r="L22" s="15">
        <f>'07_결과취합'!U22</f>
        <v>0</v>
      </c>
      <c r="M22" s="15">
        <f>'07_결과취합'!V22</f>
        <v>0</v>
      </c>
      <c r="N22" s="15">
        <f>'07_결과취합'!W22</f>
        <v>0</v>
      </c>
      <c r="O22" s="15">
        <f>'07_결과취합'!X22</f>
        <v>0</v>
      </c>
      <c r="P22" s="24">
        <f>IF(COUNTBLANK(E22:O22)&gt;0,"",'02_의사결정·종합결과'!$E$53*(IF(E22="S",5,IF(E22="A",4,IF(E22="B",3,IF(E22="C",2,IF(E22="D",1,0))))))+'02_의사결정·종합결과'!$E$54*(IF(F22="S",5,IF(F22="A",4,IF(F22="B",3,IF(F22="C",2,IF(F22="D",1,0))))))+'02_의사결정·종합결과'!$E$55*(IF(G22="S",5,IF(G22="A",4,IF(G22="B",3,IF(G22="C",2,IF(G22="D",1,0))))))+'02_의사결정·종합결과'!$E$56*(IF(H22="S",5,IF(H22="A",4,IF(H22="B",3,IF(H22="C",2,IF(H22="D",1,0))))))+'02_의사결정·종합결과'!$E$57*(IF(I22="S",5,IF(I22="A",4,IF(I22="B",3,IF(I22="C",2,IF(I22="D",1,0))))))+'02_의사결정·종합결과'!$E$58*(IF(J22="S",5,IF(J22="A",4,IF(J22="B",3,IF(J22="C",2,IF(J22="D",1,0))))))+'02_의사결정·종합결과'!$E$59*(IF(K22="S",5,IF(K22="A",4,IF(K22="B",3,IF(K22="C",2,IF(K22="D",1,0))))))+'02_의사결정·종합결과'!$E$60*(IF(L22="S",5,IF(L22="A",4,IF(L22="B",3,IF(L22="C",2,IF(L22="D",1,0))))))+'02_의사결정·종합결과'!$E$61*(IF(M22="S",5,IF(M22="A",4,IF(M22="B",3,IF(M22="C",2,IF(M22="D",1,0))))))+'02_의사결정·종합결과'!$E$62*(IF(N22="S",5,IF(N22="A",4,IF(N22="B",3,IF(N22="C",2,IF(N22="D",1,0))))))+'02_의사결정·종합결과'!$E$63*(IF(O22="S",5,IF(O22="A",4,IF(O22="B",3,IF(O22="C",2,IF(O22="D",1,0)))))))</f>
        <v>0</v>
      </c>
      <c r="Q22" s="15" t="str">
        <f t="shared" si="0"/>
        <v>D</v>
      </c>
    </row>
    <row r="23" spans="1:17" x14ac:dyDescent="0.6">
      <c r="A23" s="15">
        <f>'01_인적정보'!A22</f>
        <v>18</v>
      </c>
      <c r="B23" s="15" t="str">
        <f>'01_인적정보'!B22</f>
        <v>BSS-018</v>
      </c>
      <c r="C23" s="15" t="str">
        <f>'01_인적정보'!C22</f>
        <v>조성준</v>
      </c>
      <c r="D23" s="15" t="str">
        <f>'01_인적정보'!H22</f>
        <v>G4</v>
      </c>
      <c r="E23" s="15">
        <f>'07_결과취합'!N23</f>
        <v>0</v>
      </c>
      <c r="F23" s="15">
        <f>'07_결과취합'!O23</f>
        <v>0</v>
      </c>
      <c r="G23" s="15">
        <f>'07_결과취합'!P23</f>
        <v>0</v>
      </c>
      <c r="H23" s="15">
        <f>'07_결과취합'!Q23</f>
        <v>0</v>
      </c>
      <c r="I23" s="15">
        <f>'07_결과취합'!R23</f>
        <v>0</v>
      </c>
      <c r="J23" s="15">
        <f>'07_결과취합'!S23</f>
        <v>0</v>
      </c>
      <c r="K23" s="15">
        <f>'07_결과취합'!T23</f>
        <v>0</v>
      </c>
      <c r="L23" s="15">
        <f>'07_결과취합'!U23</f>
        <v>0</v>
      </c>
      <c r="M23" s="15">
        <f>'07_결과취합'!V23</f>
        <v>0</v>
      </c>
      <c r="N23" s="15">
        <f>'07_결과취합'!W23</f>
        <v>0</v>
      </c>
      <c r="O23" s="15">
        <f>'07_결과취합'!X23</f>
        <v>0</v>
      </c>
      <c r="P23" s="24">
        <f>IF(COUNTBLANK(E23:O23)&gt;0,"",'02_의사결정·종합결과'!$E$53*(IF(E23="S",5,IF(E23="A",4,IF(E23="B",3,IF(E23="C",2,IF(E23="D",1,0))))))+'02_의사결정·종합결과'!$E$54*(IF(F23="S",5,IF(F23="A",4,IF(F23="B",3,IF(F23="C",2,IF(F23="D",1,0))))))+'02_의사결정·종합결과'!$E$55*(IF(G23="S",5,IF(G23="A",4,IF(G23="B",3,IF(G23="C",2,IF(G23="D",1,0))))))+'02_의사결정·종합결과'!$E$56*(IF(H23="S",5,IF(H23="A",4,IF(H23="B",3,IF(H23="C",2,IF(H23="D",1,0))))))+'02_의사결정·종합결과'!$E$57*(IF(I23="S",5,IF(I23="A",4,IF(I23="B",3,IF(I23="C",2,IF(I23="D",1,0))))))+'02_의사결정·종합결과'!$E$58*(IF(J23="S",5,IF(J23="A",4,IF(J23="B",3,IF(J23="C",2,IF(J23="D",1,0))))))+'02_의사결정·종합결과'!$E$59*(IF(K23="S",5,IF(K23="A",4,IF(K23="B",3,IF(K23="C",2,IF(K23="D",1,0))))))+'02_의사결정·종합결과'!$E$60*(IF(L23="S",5,IF(L23="A",4,IF(L23="B",3,IF(L23="C",2,IF(L23="D",1,0))))))+'02_의사결정·종합결과'!$E$61*(IF(M23="S",5,IF(M23="A",4,IF(M23="B",3,IF(M23="C",2,IF(M23="D",1,0))))))+'02_의사결정·종합결과'!$E$62*(IF(N23="S",5,IF(N23="A",4,IF(N23="B",3,IF(N23="C",2,IF(N23="D",1,0))))))+'02_의사결정·종합결과'!$E$63*(IF(O23="S",5,IF(O23="A",4,IF(O23="B",3,IF(O23="C",2,IF(O23="D",1,0)))))))</f>
        <v>0</v>
      </c>
      <c r="Q23" s="15" t="str">
        <f t="shared" si="0"/>
        <v>D</v>
      </c>
    </row>
    <row r="24" spans="1:17" x14ac:dyDescent="0.6">
      <c r="A24" s="15">
        <f>'01_인적정보'!A23</f>
        <v>19</v>
      </c>
      <c r="B24" s="15" t="str">
        <f>'01_인적정보'!B23</f>
        <v>BSS-019</v>
      </c>
      <c r="C24" s="15" t="str">
        <f>'01_인적정보'!C23</f>
        <v>구서현</v>
      </c>
      <c r="D24" s="15" t="str">
        <f>'01_인적정보'!H23</f>
        <v>G2</v>
      </c>
      <c r="E24" s="15">
        <f>'07_결과취합'!N24</f>
        <v>0</v>
      </c>
      <c r="F24" s="15">
        <f>'07_결과취합'!O24</f>
        <v>0</v>
      </c>
      <c r="G24" s="15">
        <f>'07_결과취합'!P24</f>
        <v>0</v>
      </c>
      <c r="H24" s="15">
        <f>'07_결과취합'!Q24</f>
        <v>0</v>
      </c>
      <c r="I24" s="15">
        <f>'07_결과취합'!R24</f>
        <v>0</v>
      </c>
      <c r="J24" s="15">
        <f>'07_결과취합'!S24</f>
        <v>0</v>
      </c>
      <c r="K24" s="15">
        <f>'07_결과취합'!T24</f>
        <v>0</v>
      </c>
      <c r="L24" s="15">
        <f>'07_결과취합'!U24</f>
        <v>0</v>
      </c>
      <c r="M24" s="15">
        <f>'07_결과취합'!V24</f>
        <v>0</v>
      </c>
      <c r="N24" s="15">
        <f>'07_결과취합'!W24</f>
        <v>0</v>
      </c>
      <c r="O24" s="15">
        <f>'07_결과취합'!X24</f>
        <v>0</v>
      </c>
      <c r="P24" s="24">
        <f>IF(COUNTBLANK(E24:O24)&gt;0,"",'02_의사결정·종합결과'!$E$53*(IF(E24="S",5,IF(E24="A",4,IF(E24="B",3,IF(E24="C",2,IF(E24="D",1,0))))))+'02_의사결정·종합결과'!$E$54*(IF(F24="S",5,IF(F24="A",4,IF(F24="B",3,IF(F24="C",2,IF(F24="D",1,0))))))+'02_의사결정·종합결과'!$E$55*(IF(G24="S",5,IF(G24="A",4,IF(G24="B",3,IF(G24="C",2,IF(G24="D",1,0))))))+'02_의사결정·종합결과'!$E$56*(IF(H24="S",5,IF(H24="A",4,IF(H24="B",3,IF(H24="C",2,IF(H24="D",1,0))))))+'02_의사결정·종합결과'!$E$57*(IF(I24="S",5,IF(I24="A",4,IF(I24="B",3,IF(I24="C",2,IF(I24="D",1,0))))))+'02_의사결정·종합결과'!$E$58*(IF(J24="S",5,IF(J24="A",4,IF(J24="B",3,IF(J24="C",2,IF(J24="D",1,0))))))+'02_의사결정·종합결과'!$E$59*(IF(K24="S",5,IF(K24="A",4,IF(K24="B",3,IF(K24="C",2,IF(K24="D",1,0))))))+'02_의사결정·종합결과'!$E$60*(IF(L24="S",5,IF(L24="A",4,IF(L24="B",3,IF(L24="C",2,IF(L24="D",1,0))))))+'02_의사결정·종합결과'!$E$61*(IF(M24="S",5,IF(M24="A",4,IF(M24="B",3,IF(M24="C",2,IF(M24="D",1,0))))))+'02_의사결정·종합결과'!$E$62*(IF(N24="S",5,IF(N24="A",4,IF(N24="B",3,IF(N24="C",2,IF(N24="D",1,0))))))+'02_의사결정·종합결과'!$E$63*(IF(O24="S",5,IF(O24="A",4,IF(O24="B",3,IF(O24="C",2,IF(O24="D",1,0)))))))</f>
        <v>0</v>
      </c>
      <c r="Q24" s="15" t="str">
        <f t="shared" si="0"/>
        <v>D</v>
      </c>
    </row>
    <row r="25" spans="1:17" x14ac:dyDescent="0.6">
      <c r="A25" s="15">
        <f>'01_인적정보'!A24</f>
        <v>20</v>
      </c>
      <c r="B25" s="15" t="str">
        <f>'01_인적정보'!B24</f>
        <v>BSS-020</v>
      </c>
      <c r="C25" s="15" t="str">
        <f>'01_인적정보'!C24</f>
        <v>박진용</v>
      </c>
      <c r="D25" s="15" t="str">
        <f>'01_인적정보'!H24</f>
        <v>G3</v>
      </c>
      <c r="E25" s="15">
        <f>'07_결과취합'!N25</f>
        <v>0</v>
      </c>
      <c r="F25" s="15">
        <f>'07_결과취합'!O25</f>
        <v>0</v>
      </c>
      <c r="G25" s="15">
        <f>'07_결과취합'!P25</f>
        <v>0</v>
      </c>
      <c r="H25" s="15">
        <f>'07_결과취합'!Q25</f>
        <v>0</v>
      </c>
      <c r="I25" s="15">
        <f>'07_결과취합'!R25</f>
        <v>0</v>
      </c>
      <c r="J25" s="15">
        <f>'07_결과취합'!S25</f>
        <v>0</v>
      </c>
      <c r="K25" s="15">
        <f>'07_결과취합'!T25</f>
        <v>0</v>
      </c>
      <c r="L25" s="15">
        <f>'07_결과취합'!U25</f>
        <v>0</v>
      </c>
      <c r="M25" s="15">
        <f>'07_결과취합'!V25</f>
        <v>0</v>
      </c>
      <c r="N25" s="15">
        <f>'07_결과취합'!W25</f>
        <v>0</v>
      </c>
      <c r="O25" s="15">
        <f>'07_결과취합'!X25</f>
        <v>0</v>
      </c>
      <c r="P25" s="24">
        <f>IF(COUNTBLANK(E25:O25)&gt;0,"",'02_의사결정·종합결과'!$E$53*(IF(E25="S",5,IF(E25="A",4,IF(E25="B",3,IF(E25="C",2,IF(E25="D",1,0))))))+'02_의사결정·종합결과'!$E$54*(IF(F25="S",5,IF(F25="A",4,IF(F25="B",3,IF(F25="C",2,IF(F25="D",1,0))))))+'02_의사결정·종합결과'!$E$55*(IF(G25="S",5,IF(G25="A",4,IF(G25="B",3,IF(G25="C",2,IF(G25="D",1,0))))))+'02_의사결정·종합결과'!$E$56*(IF(H25="S",5,IF(H25="A",4,IF(H25="B",3,IF(H25="C",2,IF(H25="D",1,0))))))+'02_의사결정·종합결과'!$E$57*(IF(I25="S",5,IF(I25="A",4,IF(I25="B",3,IF(I25="C",2,IF(I25="D",1,0))))))+'02_의사결정·종합결과'!$E$58*(IF(J25="S",5,IF(J25="A",4,IF(J25="B",3,IF(J25="C",2,IF(J25="D",1,0))))))+'02_의사결정·종합결과'!$E$59*(IF(K25="S",5,IF(K25="A",4,IF(K25="B",3,IF(K25="C",2,IF(K25="D",1,0))))))+'02_의사결정·종합결과'!$E$60*(IF(L25="S",5,IF(L25="A",4,IF(L25="B",3,IF(L25="C",2,IF(L25="D",1,0))))))+'02_의사결정·종합결과'!$E$61*(IF(M25="S",5,IF(M25="A",4,IF(M25="B",3,IF(M25="C",2,IF(M25="D",1,0))))))+'02_의사결정·종합결과'!$E$62*(IF(N25="S",5,IF(N25="A",4,IF(N25="B",3,IF(N25="C",2,IF(N25="D",1,0))))))+'02_의사결정·종합결과'!$E$63*(IF(O25="S",5,IF(O25="A",4,IF(O25="B",3,IF(O25="C",2,IF(O25="D",1,0)))))))</f>
        <v>0</v>
      </c>
      <c r="Q25" s="15" t="str">
        <f t="shared" si="0"/>
        <v>D</v>
      </c>
    </row>
    <row r="26" spans="1:17" x14ac:dyDescent="0.6">
      <c r="A26" s="15">
        <f>'01_인적정보'!A25</f>
        <v>21</v>
      </c>
      <c r="B26" s="15" t="str">
        <f>'01_인적정보'!B25</f>
        <v>BSS-021</v>
      </c>
      <c r="C26" s="15" t="str">
        <f>'01_인적정보'!C25</f>
        <v>김가연</v>
      </c>
      <c r="D26" s="15" t="str">
        <f>'01_인적정보'!H25</f>
        <v>G2</v>
      </c>
      <c r="E26" s="15">
        <f>'07_결과취합'!N26</f>
        <v>0</v>
      </c>
      <c r="F26" s="15">
        <f>'07_결과취합'!O26</f>
        <v>0</v>
      </c>
      <c r="G26" s="15">
        <f>'07_결과취합'!P26</f>
        <v>0</v>
      </c>
      <c r="H26" s="15">
        <f>'07_결과취합'!Q26</f>
        <v>0</v>
      </c>
      <c r="I26" s="15">
        <f>'07_결과취합'!R26</f>
        <v>0</v>
      </c>
      <c r="J26" s="15">
        <f>'07_결과취합'!S26</f>
        <v>0</v>
      </c>
      <c r="K26" s="15">
        <f>'07_결과취합'!T26</f>
        <v>0</v>
      </c>
      <c r="L26" s="15">
        <f>'07_결과취합'!U26</f>
        <v>0</v>
      </c>
      <c r="M26" s="15">
        <f>'07_결과취합'!V26</f>
        <v>0</v>
      </c>
      <c r="N26" s="15">
        <f>'07_결과취합'!W26</f>
        <v>0</v>
      </c>
      <c r="O26" s="15">
        <f>'07_결과취합'!X26</f>
        <v>0</v>
      </c>
      <c r="P26" s="24">
        <f>IF(COUNTBLANK(E26:O26)&gt;0,"",'02_의사결정·종합결과'!$E$53*(IF(E26="S",5,IF(E26="A",4,IF(E26="B",3,IF(E26="C",2,IF(E26="D",1,0))))))+'02_의사결정·종합결과'!$E$54*(IF(F26="S",5,IF(F26="A",4,IF(F26="B",3,IF(F26="C",2,IF(F26="D",1,0))))))+'02_의사결정·종합결과'!$E$55*(IF(G26="S",5,IF(G26="A",4,IF(G26="B",3,IF(G26="C",2,IF(G26="D",1,0))))))+'02_의사결정·종합결과'!$E$56*(IF(H26="S",5,IF(H26="A",4,IF(H26="B",3,IF(H26="C",2,IF(H26="D",1,0))))))+'02_의사결정·종합결과'!$E$57*(IF(I26="S",5,IF(I26="A",4,IF(I26="B",3,IF(I26="C",2,IF(I26="D",1,0))))))+'02_의사결정·종합결과'!$E$58*(IF(J26="S",5,IF(J26="A",4,IF(J26="B",3,IF(J26="C",2,IF(J26="D",1,0))))))+'02_의사결정·종합결과'!$E$59*(IF(K26="S",5,IF(K26="A",4,IF(K26="B",3,IF(K26="C",2,IF(K26="D",1,0))))))+'02_의사결정·종합결과'!$E$60*(IF(L26="S",5,IF(L26="A",4,IF(L26="B",3,IF(L26="C",2,IF(L26="D",1,0))))))+'02_의사결정·종합결과'!$E$61*(IF(M26="S",5,IF(M26="A",4,IF(M26="B",3,IF(M26="C",2,IF(M26="D",1,0))))))+'02_의사결정·종합결과'!$E$62*(IF(N26="S",5,IF(N26="A",4,IF(N26="B",3,IF(N26="C",2,IF(N26="D",1,0))))))+'02_의사결정·종합결과'!$E$63*(IF(O26="S",5,IF(O26="A",4,IF(O26="B",3,IF(O26="C",2,IF(O26="D",1,0)))))))</f>
        <v>0</v>
      </c>
      <c r="Q26" s="15" t="str">
        <f t="shared" si="0"/>
        <v>D</v>
      </c>
    </row>
    <row r="27" spans="1:17" x14ac:dyDescent="0.6">
      <c r="A27" s="15">
        <f>'01_인적정보'!A26</f>
        <v>22</v>
      </c>
      <c r="B27" s="15" t="str">
        <f>'01_인적정보'!B26</f>
        <v>BSS-022</v>
      </c>
      <c r="C27" s="15" t="str">
        <f>'01_인적정보'!C26</f>
        <v>한근수</v>
      </c>
      <c r="D27" s="15" t="str">
        <f>'01_인적정보'!H26</f>
        <v>G2</v>
      </c>
      <c r="E27" s="15">
        <f>'07_결과취합'!N27</f>
        <v>0</v>
      </c>
      <c r="F27" s="15">
        <f>'07_결과취합'!O27</f>
        <v>0</v>
      </c>
      <c r="G27" s="15">
        <f>'07_결과취합'!P27</f>
        <v>0</v>
      </c>
      <c r="H27" s="15">
        <f>'07_결과취합'!Q27</f>
        <v>0</v>
      </c>
      <c r="I27" s="15">
        <f>'07_결과취합'!R27</f>
        <v>0</v>
      </c>
      <c r="J27" s="15">
        <f>'07_결과취합'!S27</f>
        <v>0</v>
      </c>
      <c r="K27" s="15">
        <f>'07_결과취합'!T27</f>
        <v>0</v>
      </c>
      <c r="L27" s="15">
        <f>'07_결과취합'!U27</f>
        <v>0</v>
      </c>
      <c r="M27" s="15">
        <f>'07_결과취합'!V27</f>
        <v>0</v>
      </c>
      <c r="N27" s="15">
        <f>'07_결과취합'!W27</f>
        <v>0</v>
      </c>
      <c r="O27" s="15">
        <f>'07_결과취합'!X27</f>
        <v>0</v>
      </c>
      <c r="P27" s="24">
        <f>IF(COUNTBLANK(E27:O27)&gt;0,"",'02_의사결정·종합결과'!$E$53*(IF(E27="S",5,IF(E27="A",4,IF(E27="B",3,IF(E27="C",2,IF(E27="D",1,0))))))+'02_의사결정·종합결과'!$E$54*(IF(F27="S",5,IF(F27="A",4,IF(F27="B",3,IF(F27="C",2,IF(F27="D",1,0))))))+'02_의사결정·종합결과'!$E$55*(IF(G27="S",5,IF(G27="A",4,IF(G27="B",3,IF(G27="C",2,IF(G27="D",1,0))))))+'02_의사결정·종합결과'!$E$56*(IF(H27="S",5,IF(H27="A",4,IF(H27="B",3,IF(H27="C",2,IF(H27="D",1,0))))))+'02_의사결정·종합결과'!$E$57*(IF(I27="S",5,IF(I27="A",4,IF(I27="B",3,IF(I27="C",2,IF(I27="D",1,0))))))+'02_의사결정·종합결과'!$E$58*(IF(J27="S",5,IF(J27="A",4,IF(J27="B",3,IF(J27="C",2,IF(J27="D",1,0))))))+'02_의사결정·종합결과'!$E$59*(IF(K27="S",5,IF(K27="A",4,IF(K27="B",3,IF(K27="C",2,IF(K27="D",1,0))))))+'02_의사결정·종합결과'!$E$60*(IF(L27="S",5,IF(L27="A",4,IF(L27="B",3,IF(L27="C",2,IF(L27="D",1,0))))))+'02_의사결정·종합결과'!$E$61*(IF(M27="S",5,IF(M27="A",4,IF(M27="B",3,IF(M27="C",2,IF(M27="D",1,0))))))+'02_의사결정·종합결과'!$E$62*(IF(N27="S",5,IF(N27="A",4,IF(N27="B",3,IF(N27="C",2,IF(N27="D",1,0))))))+'02_의사결정·종합결과'!$E$63*(IF(O27="S",5,IF(O27="A",4,IF(O27="B",3,IF(O27="C",2,IF(O27="D",1,0)))))))</f>
        <v>0</v>
      </c>
      <c r="Q27" s="15" t="str">
        <f t="shared" si="0"/>
        <v>D</v>
      </c>
    </row>
    <row r="28" spans="1:17" x14ac:dyDescent="0.6">
      <c r="A28" s="15">
        <f>'01_인적정보'!A27</f>
        <v>23</v>
      </c>
      <c r="B28" s="15" t="str">
        <f>'01_인적정보'!B27</f>
        <v>BSS-023</v>
      </c>
      <c r="C28" s="15" t="str">
        <f>'01_인적정보'!C27</f>
        <v>김성민</v>
      </c>
      <c r="D28" s="15" t="str">
        <f>'01_인적정보'!H27</f>
        <v>G2</v>
      </c>
      <c r="E28" s="15">
        <f>'07_결과취합'!N28</f>
        <v>0</v>
      </c>
      <c r="F28" s="15">
        <f>'07_결과취합'!O28</f>
        <v>0</v>
      </c>
      <c r="G28" s="15">
        <f>'07_결과취합'!P28</f>
        <v>0</v>
      </c>
      <c r="H28" s="15">
        <f>'07_결과취합'!Q28</f>
        <v>0</v>
      </c>
      <c r="I28" s="15">
        <f>'07_결과취합'!R28</f>
        <v>0</v>
      </c>
      <c r="J28" s="15">
        <f>'07_결과취합'!S28</f>
        <v>0</v>
      </c>
      <c r="K28" s="15">
        <f>'07_결과취합'!T28</f>
        <v>0</v>
      </c>
      <c r="L28" s="15">
        <f>'07_결과취합'!U28</f>
        <v>0</v>
      </c>
      <c r="M28" s="15">
        <f>'07_결과취합'!V28</f>
        <v>0</v>
      </c>
      <c r="N28" s="15">
        <f>'07_결과취합'!W28</f>
        <v>0</v>
      </c>
      <c r="O28" s="15">
        <f>'07_결과취합'!X28</f>
        <v>0</v>
      </c>
      <c r="P28" s="24">
        <f>IF(COUNTBLANK(E28:O28)&gt;0,"",'02_의사결정·종합결과'!$E$53*(IF(E28="S",5,IF(E28="A",4,IF(E28="B",3,IF(E28="C",2,IF(E28="D",1,0))))))+'02_의사결정·종합결과'!$E$54*(IF(F28="S",5,IF(F28="A",4,IF(F28="B",3,IF(F28="C",2,IF(F28="D",1,0))))))+'02_의사결정·종합결과'!$E$55*(IF(G28="S",5,IF(G28="A",4,IF(G28="B",3,IF(G28="C",2,IF(G28="D",1,0))))))+'02_의사결정·종합결과'!$E$56*(IF(H28="S",5,IF(H28="A",4,IF(H28="B",3,IF(H28="C",2,IF(H28="D",1,0))))))+'02_의사결정·종합결과'!$E$57*(IF(I28="S",5,IF(I28="A",4,IF(I28="B",3,IF(I28="C",2,IF(I28="D",1,0))))))+'02_의사결정·종합결과'!$E$58*(IF(J28="S",5,IF(J28="A",4,IF(J28="B",3,IF(J28="C",2,IF(J28="D",1,0))))))+'02_의사결정·종합결과'!$E$59*(IF(K28="S",5,IF(K28="A",4,IF(K28="B",3,IF(K28="C",2,IF(K28="D",1,0))))))+'02_의사결정·종합결과'!$E$60*(IF(L28="S",5,IF(L28="A",4,IF(L28="B",3,IF(L28="C",2,IF(L28="D",1,0))))))+'02_의사결정·종합결과'!$E$61*(IF(M28="S",5,IF(M28="A",4,IF(M28="B",3,IF(M28="C",2,IF(M28="D",1,0))))))+'02_의사결정·종합결과'!$E$62*(IF(N28="S",5,IF(N28="A",4,IF(N28="B",3,IF(N28="C",2,IF(N28="D",1,0))))))+'02_의사결정·종합결과'!$E$63*(IF(O28="S",5,IF(O28="A",4,IF(O28="B",3,IF(O28="C",2,IF(O28="D",1,0)))))))</f>
        <v>0</v>
      </c>
      <c r="Q28" s="15" t="str">
        <f t="shared" si="0"/>
        <v>D</v>
      </c>
    </row>
    <row r="29" spans="1:17" x14ac:dyDescent="0.6">
      <c r="A29" s="15">
        <f>'01_인적정보'!A28</f>
        <v>24</v>
      </c>
      <c r="B29" s="15" t="str">
        <f>'01_인적정보'!B28</f>
        <v>BSS-024</v>
      </c>
      <c r="C29" s="15" t="str">
        <f>'01_인적정보'!C28</f>
        <v>고광우</v>
      </c>
      <c r="D29" s="15" t="str">
        <f>'01_인적정보'!H28</f>
        <v>G2</v>
      </c>
      <c r="E29" s="15">
        <f>'07_결과취합'!N29</f>
        <v>0</v>
      </c>
      <c r="F29" s="15">
        <f>'07_결과취합'!O29</f>
        <v>0</v>
      </c>
      <c r="G29" s="15">
        <f>'07_결과취합'!P29</f>
        <v>0</v>
      </c>
      <c r="H29" s="15">
        <f>'07_결과취합'!Q29</f>
        <v>0</v>
      </c>
      <c r="I29" s="15">
        <f>'07_결과취합'!R29</f>
        <v>0</v>
      </c>
      <c r="J29" s="15">
        <f>'07_결과취합'!S29</f>
        <v>0</v>
      </c>
      <c r="K29" s="15">
        <f>'07_결과취합'!T29</f>
        <v>0</v>
      </c>
      <c r="L29" s="15">
        <f>'07_결과취합'!U29</f>
        <v>0</v>
      </c>
      <c r="M29" s="15">
        <f>'07_결과취합'!V29</f>
        <v>0</v>
      </c>
      <c r="N29" s="15">
        <f>'07_결과취합'!W29</f>
        <v>0</v>
      </c>
      <c r="O29" s="15">
        <f>'07_결과취합'!X29</f>
        <v>0</v>
      </c>
      <c r="P29" s="24">
        <f>IF(COUNTBLANK(E29:O29)&gt;0,"",'02_의사결정·종합결과'!$E$53*(IF(E29="S",5,IF(E29="A",4,IF(E29="B",3,IF(E29="C",2,IF(E29="D",1,0))))))+'02_의사결정·종합결과'!$E$54*(IF(F29="S",5,IF(F29="A",4,IF(F29="B",3,IF(F29="C",2,IF(F29="D",1,0))))))+'02_의사결정·종합결과'!$E$55*(IF(G29="S",5,IF(G29="A",4,IF(G29="B",3,IF(G29="C",2,IF(G29="D",1,0))))))+'02_의사결정·종합결과'!$E$56*(IF(H29="S",5,IF(H29="A",4,IF(H29="B",3,IF(H29="C",2,IF(H29="D",1,0))))))+'02_의사결정·종합결과'!$E$57*(IF(I29="S",5,IF(I29="A",4,IF(I29="B",3,IF(I29="C",2,IF(I29="D",1,0))))))+'02_의사결정·종합결과'!$E$58*(IF(J29="S",5,IF(J29="A",4,IF(J29="B",3,IF(J29="C",2,IF(J29="D",1,0))))))+'02_의사결정·종합결과'!$E$59*(IF(K29="S",5,IF(K29="A",4,IF(K29="B",3,IF(K29="C",2,IF(K29="D",1,0))))))+'02_의사결정·종합결과'!$E$60*(IF(L29="S",5,IF(L29="A",4,IF(L29="B",3,IF(L29="C",2,IF(L29="D",1,0))))))+'02_의사결정·종합결과'!$E$61*(IF(M29="S",5,IF(M29="A",4,IF(M29="B",3,IF(M29="C",2,IF(M29="D",1,0))))))+'02_의사결정·종합결과'!$E$62*(IF(N29="S",5,IF(N29="A",4,IF(N29="B",3,IF(N29="C",2,IF(N29="D",1,0))))))+'02_의사결정·종합결과'!$E$63*(IF(O29="S",5,IF(O29="A",4,IF(O29="B",3,IF(O29="C",2,IF(O29="D",1,0)))))))</f>
        <v>0</v>
      </c>
      <c r="Q29" s="15" t="str">
        <f t="shared" si="0"/>
        <v>D</v>
      </c>
    </row>
    <row r="30" spans="1:17" x14ac:dyDescent="0.6">
      <c r="A30" s="15">
        <f>'01_인적정보'!A29</f>
        <v>25</v>
      </c>
      <c r="B30" s="15" t="str">
        <f>'01_인적정보'!B29</f>
        <v>BSS-025</v>
      </c>
      <c r="C30" s="15" t="str">
        <f>'01_인적정보'!C29</f>
        <v>김성수</v>
      </c>
      <c r="D30" s="15" t="str">
        <f>'01_인적정보'!H29</f>
        <v>G2</v>
      </c>
      <c r="E30" s="15">
        <f>'07_결과취합'!N30</f>
        <v>0</v>
      </c>
      <c r="F30" s="15">
        <f>'07_결과취합'!O30</f>
        <v>0</v>
      </c>
      <c r="G30" s="15">
        <f>'07_결과취합'!P30</f>
        <v>0</v>
      </c>
      <c r="H30" s="15">
        <f>'07_결과취합'!Q30</f>
        <v>0</v>
      </c>
      <c r="I30" s="15">
        <f>'07_결과취합'!R30</f>
        <v>0</v>
      </c>
      <c r="J30" s="15">
        <f>'07_결과취합'!S30</f>
        <v>0</v>
      </c>
      <c r="K30" s="15">
        <f>'07_결과취합'!T30</f>
        <v>0</v>
      </c>
      <c r="L30" s="15">
        <f>'07_결과취합'!U30</f>
        <v>0</v>
      </c>
      <c r="M30" s="15">
        <f>'07_결과취합'!V30</f>
        <v>0</v>
      </c>
      <c r="N30" s="15">
        <f>'07_결과취합'!W30</f>
        <v>0</v>
      </c>
      <c r="O30" s="15">
        <f>'07_결과취합'!X30</f>
        <v>0</v>
      </c>
      <c r="P30" s="24">
        <f>IF(COUNTBLANK(E30:O30)&gt;0,"",'02_의사결정·종합결과'!$E$53*(IF(E30="S",5,IF(E30="A",4,IF(E30="B",3,IF(E30="C",2,IF(E30="D",1,0))))))+'02_의사결정·종합결과'!$E$54*(IF(F30="S",5,IF(F30="A",4,IF(F30="B",3,IF(F30="C",2,IF(F30="D",1,0))))))+'02_의사결정·종합결과'!$E$55*(IF(G30="S",5,IF(G30="A",4,IF(G30="B",3,IF(G30="C",2,IF(G30="D",1,0))))))+'02_의사결정·종합결과'!$E$56*(IF(H30="S",5,IF(H30="A",4,IF(H30="B",3,IF(H30="C",2,IF(H30="D",1,0))))))+'02_의사결정·종합결과'!$E$57*(IF(I30="S",5,IF(I30="A",4,IF(I30="B",3,IF(I30="C",2,IF(I30="D",1,0))))))+'02_의사결정·종합결과'!$E$58*(IF(J30="S",5,IF(J30="A",4,IF(J30="B",3,IF(J30="C",2,IF(J30="D",1,0))))))+'02_의사결정·종합결과'!$E$59*(IF(K30="S",5,IF(K30="A",4,IF(K30="B",3,IF(K30="C",2,IF(K30="D",1,0))))))+'02_의사결정·종합결과'!$E$60*(IF(L30="S",5,IF(L30="A",4,IF(L30="B",3,IF(L30="C",2,IF(L30="D",1,0))))))+'02_의사결정·종합결과'!$E$61*(IF(M30="S",5,IF(M30="A",4,IF(M30="B",3,IF(M30="C",2,IF(M30="D",1,0))))))+'02_의사결정·종합결과'!$E$62*(IF(N30="S",5,IF(N30="A",4,IF(N30="B",3,IF(N30="C",2,IF(N30="D",1,0))))))+'02_의사결정·종합결과'!$E$63*(IF(O30="S",5,IF(O30="A",4,IF(O30="B",3,IF(O30="C",2,IF(O30="D",1,0)))))))</f>
        <v>0</v>
      </c>
      <c r="Q30" s="15" t="str">
        <f t="shared" si="0"/>
        <v>D</v>
      </c>
    </row>
    <row r="31" spans="1:17" x14ac:dyDescent="0.6">
      <c r="A31" s="15">
        <f>'01_인적정보'!A30</f>
        <v>26</v>
      </c>
      <c r="B31" s="15" t="str">
        <f>'01_인적정보'!B30</f>
        <v>BSS-026</v>
      </c>
      <c r="C31" s="15" t="str">
        <f>'01_인적정보'!C30</f>
        <v>박진희</v>
      </c>
      <c r="D31" s="15" t="str">
        <f>'01_인적정보'!H30</f>
        <v>G1</v>
      </c>
      <c r="E31" s="15">
        <f>'07_결과취합'!N31</f>
        <v>0</v>
      </c>
      <c r="F31" s="15">
        <f>'07_결과취합'!O31</f>
        <v>0</v>
      </c>
      <c r="G31" s="15">
        <f>'07_결과취합'!P31</f>
        <v>0</v>
      </c>
      <c r="H31" s="15">
        <f>'07_결과취합'!Q31</f>
        <v>0</v>
      </c>
      <c r="I31" s="15">
        <f>'07_결과취합'!R31</f>
        <v>0</v>
      </c>
      <c r="J31" s="15">
        <f>'07_결과취합'!S31</f>
        <v>0</v>
      </c>
      <c r="K31" s="15">
        <f>'07_결과취합'!T31</f>
        <v>0</v>
      </c>
      <c r="L31" s="15">
        <f>'07_결과취합'!U31</f>
        <v>0</v>
      </c>
      <c r="M31" s="15">
        <f>'07_결과취합'!V31</f>
        <v>0</v>
      </c>
      <c r="N31" s="15">
        <f>'07_결과취합'!W31</f>
        <v>0</v>
      </c>
      <c r="O31" s="15">
        <f>'07_결과취합'!X31</f>
        <v>0</v>
      </c>
      <c r="P31" s="24">
        <f>IF(COUNTBLANK(E31:O31)&gt;0,"",'02_의사결정·종합결과'!$E$53*(IF(E31="S",5,IF(E31="A",4,IF(E31="B",3,IF(E31="C",2,IF(E31="D",1,0))))))+'02_의사결정·종합결과'!$E$54*(IF(F31="S",5,IF(F31="A",4,IF(F31="B",3,IF(F31="C",2,IF(F31="D",1,0))))))+'02_의사결정·종합결과'!$E$55*(IF(G31="S",5,IF(G31="A",4,IF(G31="B",3,IF(G31="C",2,IF(G31="D",1,0))))))+'02_의사결정·종합결과'!$E$56*(IF(H31="S",5,IF(H31="A",4,IF(H31="B",3,IF(H31="C",2,IF(H31="D",1,0))))))+'02_의사결정·종합결과'!$E$57*(IF(I31="S",5,IF(I31="A",4,IF(I31="B",3,IF(I31="C",2,IF(I31="D",1,0))))))+'02_의사결정·종합결과'!$E$58*(IF(J31="S",5,IF(J31="A",4,IF(J31="B",3,IF(J31="C",2,IF(J31="D",1,0))))))+'02_의사결정·종합결과'!$E$59*(IF(K31="S",5,IF(K31="A",4,IF(K31="B",3,IF(K31="C",2,IF(K31="D",1,0))))))+'02_의사결정·종합결과'!$E$60*(IF(L31="S",5,IF(L31="A",4,IF(L31="B",3,IF(L31="C",2,IF(L31="D",1,0))))))+'02_의사결정·종합결과'!$E$61*(IF(M31="S",5,IF(M31="A",4,IF(M31="B",3,IF(M31="C",2,IF(M31="D",1,0))))))+'02_의사결정·종합결과'!$E$62*(IF(N31="S",5,IF(N31="A",4,IF(N31="B",3,IF(N31="C",2,IF(N31="D",1,0))))))+'02_의사결정·종합결과'!$E$63*(IF(O31="S",5,IF(O31="A",4,IF(O31="B",3,IF(O31="C",2,IF(O31="D",1,0)))))))</f>
        <v>0</v>
      </c>
      <c r="Q31" s="15" t="str">
        <f t="shared" si="0"/>
        <v>D</v>
      </c>
    </row>
    <row r="32" spans="1:17" x14ac:dyDescent="0.6">
      <c r="A32" s="15">
        <f>'01_인적정보'!A31</f>
        <v>27</v>
      </c>
      <c r="B32" s="15" t="str">
        <f>'01_인적정보'!B31</f>
        <v>BSS-027</v>
      </c>
      <c r="C32" s="15" t="str">
        <f>'01_인적정보'!C31</f>
        <v>장은한</v>
      </c>
      <c r="D32" s="15" t="str">
        <f>'01_인적정보'!H31</f>
        <v>G2</v>
      </c>
      <c r="E32" s="15">
        <f>'07_결과취합'!N32</f>
        <v>0</v>
      </c>
      <c r="F32" s="15">
        <f>'07_결과취합'!O32</f>
        <v>0</v>
      </c>
      <c r="G32" s="15">
        <f>'07_결과취합'!P32</f>
        <v>0</v>
      </c>
      <c r="H32" s="15">
        <f>'07_결과취합'!Q32</f>
        <v>0</v>
      </c>
      <c r="I32" s="15">
        <f>'07_결과취합'!R32</f>
        <v>0</v>
      </c>
      <c r="J32" s="15">
        <f>'07_결과취합'!S32</f>
        <v>0</v>
      </c>
      <c r="K32" s="15">
        <f>'07_결과취합'!T32</f>
        <v>0</v>
      </c>
      <c r="L32" s="15">
        <f>'07_결과취합'!U32</f>
        <v>0</v>
      </c>
      <c r="M32" s="15">
        <f>'07_결과취합'!V32</f>
        <v>0</v>
      </c>
      <c r="N32" s="15">
        <f>'07_결과취합'!W32</f>
        <v>0</v>
      </c>
      <c r="O32" s="15">
        <f>'07_결과취합'!X32</f>
        <v>0</v>
      </c>
      <c r="P32" s="24">
        <f>IF(COUNTBLANK(E32:O32)&gt;0,"",'02_의사결정·종합결과'!$E$53*(IF(E32="S",5,IF(E32="A",4,IF(E32="B",3,IF(E32="C",2,IF(E32="D",1,0))))))+'02_의사결정·종합결과'!$E$54*(IF(F32="S",5,IF(F32="A",4,IF(F32="B",3,IF(F32="C",2,IF(F32="D",1,0))))))+'02_의사결정·종합결과'!$E$55*(IF(G32="S",5,IF(G32="A",4,IF(G32="B",3,IF(G32="C",2,IF(G32="D",1,0))))))+'02_의사결정·종합결과'!$E$56*(IF(H32="S",5,IF(H32="A",4,IF(H32="B",3,IF(H32="C",2,IF(H32="D",1,0))))))+'02_의사결정·종합결과'!$E$57*(IF(I32="S",5,IF(I32="A",4,IF(I32="B",3,IF(I32="C",2,IF(I32="D",1,0))))))+'02_의사결정·종합결과'!$E$58*(IF(J32="S",5,IF(J32="A",4,IF(J32="B",3,IF(J32="C",2,IF(J32="D",1,0))))))+'02_의사결정·종합결과'!$E$59*(IF(K32="S",5,IF(K32="A",4,IF(K32="B",3,IF(K32="C",2,IF(K32="D",1,0))))))+'02_의사결정·종합결과'!$E$60*(IF(L32="S",5,IF(L32="A",4,IF(L32="B",3,IF(L32="C",2,IF(L32="D",1,0))))))+'02_의사결정·종합결과'!$E$61*(IF(M32="S",5,IF(M32="A",4,IF(M32="B",3,IF(M32="C",2,IF(M32="D",1,0))))))+'02_의사결정·종합결과'!$E$62*(IF(N32="S",5,IF(N32="A",4,IF(N32="B",3,IF(N32="C",2,IF(N32="D",1,0))))))+'02_의사결정·종합결과'!$E$63*(IF(O32="S",5,IF(O32="A",4,IF(O32="B",3,IF(O32="C",2,IF(O32="D",1,0)))))))</f>
        <v>0</v>
      </c>
      <c r="Q32" s="15" t="str">
        <f t="shared" si="0"/>
        <v>D</v>
      </c>
    </row>
    <row r="33" spans="1:18" x14ac:dyDescent="0.6">
      <c r="A33" s="15">
        <f>'01_인적정보'!A32</f>
        <v>28</v>
      </c>
      <c r="B33" s="15" t="str">
        <f>'01_인적정보'!B32</f>
        <v>BSS-028</v>
      </c>
      <c r="C33" s="15" t="str">
        <f>'01_인적정보'!C32</f>
        <v>김현수</v>
      </c>
      <c r="D33" s="15" t="str">
        <f>'01_인적정보'!H32</f>
        <v>G1</v>
      </c>
      <c r="E33" s="15">
        <f>'07_결과취합'!N33</f>
        <v>0</v>
      </c>
      <c r="F33" s="15">
        <f>'07_결과취합'!O33</f>
        <v>0</v>
      </c>
      <c r="G33" s="15">
        <f>'07_결과취합'!P33</f>
        <v>0</v>
      </c>
      <c r="H33" s="15">
        <f>'07_결과취합'!Q33</f>
        <v>0</v>
      </c>
      <c r="I33" s="15">
        <f>'07_결과취합'!R33</f>
        <v>0</v>
      </c>
      <c r="J33" s="15">
        <f>'07_결과취합'!S33</f>
        <v>0</v>
      </c>
      <c r="K33" s="15">
        <f>'07_결과취합'!T33</f>
        <v>0</v>
      </c>
      <c r="L33" s="15">
        <f>'07_결과취합'!U33</f>
        <v>0</v>
      </c>
      <c r="M33" s="15">
        <f>'07_결과취합'!V33</f>
        <v>0</v>
      </c>
      <c r="N33" s="15">
        <f>'07_결과취합'!W33</f>
        <v>0</v>
      </c>
      <c r="O33" s="15">
        <f>'07_결과취합'!X33</f>
        <v>0</v>
      </c>
      <c r="P33" s="24">
        <f>IF(COUNTBLANK(E33:O33)&gt;0,"",'02_의사결정·종합결과'!$E$53*(IF(E33="S",5,IF(E33="A",4,IF(E33="B",3,IF(E33="C",2,IF(E33="D",1,0))))))+'02_의사결정·종합결과'!$E$54*(IF(F33="S",5,IF(F33="A",4,IF(F33="B",3,IF(F33="C",2,IF(F33="D",1,0))))))+'02_의사결정·종합결과'!$E$55*(IF(G33="S",5,IF(G33="A",4,IF(G33="B",3,IF(G33="C",2,IF(G33="D",1,0))))))+'02_의사결정·종합결과'!$E$56*(IF(H33="S",5,IF(H33="A",4,IF(H33="B",3,IF(H33="C",2,IF(H33="D",1,0))))))+'02_의사결정·종합결과'!$E$57*(IF(I33="S",5,IF(I33="A",4,IF(I33="B",3,IF(I33="C",2,IF(I33="D",1,0))))))+'02_의사결정·종합결과'!$E$58*(IF(J33="S",5,IF(J33="A",4,IF(J33="B",3,IF(J33="C",2,IF(J33="D",1,0))))))+'02_의사결정·종합결과'!$E$59*(IF(K33="S",5,IF(K33="A",4,IF(K33="B",3,IF(K33="C",2,IF(K33="D",1,0))))))+'02_의사결정·종합결과'!$E$60*(IF(L33="S",5,IF(L33="A",4,IF(L33="B",3,IF(L33="C",2,IF(L33="D",1,0))))))+'02_의사결정·종합결과'!$E$61*(IF(M33="S",5,IF(M33="A",4,IF(M33="B",3,IF(M33="C",2,IF(M33="D",1,0))))))+'02_의사결정·종합결과'!$E$62*(IF(N33="S",5,IF(N33="A",4,IF(N33="B",3,IF(N33="C",2,IF(N33="D",1,0))))))+'02_의사결정·종합결과'!$E$63*(IF(O33="S",5,IF(O33="A",4,IF(O33="B",3,IF(O33="C",2,IF(O33="D",1,0)))))))</f>
        <v>0</v>
      </c>
      <c r="Q33" s="15" t="str">
        <f t="shared" si="0"/>
        <v>D</v>
      </c>
    </row>
    <row r="34" spans="1:18" x14ac:dyDescent="0.6">
      <c r="A34" s="15">
        <f>'01_인적정보'!A33</f>
        <v>29</v>
      </c>
      <c r="B34" s="15" t="str">
        <f>'01_인적정보'!B33</f>
        <v>BSS-029</v>
      </c>
      <c r="C34" s="15" t="str">
        <f>'01_인적정보'!C33</f>
        <v>콜셍홍</v>
      </c>
      <c r="D34" s="15" t="str">
        <f>'01_인적정보'!H33</f>
        <v>G1</v>
      </c>
      <c r="E34" s="15">
        <f>'07_결과취합'!N34</f>
        <v>0</v>
      </c>
      <c r="F34" s="15">
        <f>'07_결과취합'!O34</f>
        <v>0</v>
      </c>
      <c r="G34" s="15">
        <f>'07_결과취합'!P34</f>
        <v>0</v>
      </c>
      <c r="H34" s="15">
        <f>'07_결과취합'!Q34</f>
        <v>0</v>
      </c>
      <c r="I34" s="15">
        <f>'07_결과취합'!R34</f>
        <v>0</v>
      </c>
      <c r="J34" s="15">
        <f>'07_결과취합'!S34</f>
        <v>0</v>
      </c>
      <c r="K34" s="15">
        <f>'07_결과취합'!T34</f>
        <v>0</v>
      </c>
      <c r="L34" s="15">
        <f>'07_결과취합'!U34</f>
        <v>0</v>
      </c>
      <c r="M34" s="15">
        <f>'07_결과취합'!V34</f>
        <v>0</v>
      </c>
      <c r="N34" s="15">
        <f>'07_결과취합'!W34</f>
        <v>0</v>
      </c>
      <c r="O34" s="15">
        <f>'07_결과취합'!X34</f>
        <v>0</v>
      </c>
      <c r="P34" s="24">
        <f>IF(COUNTBLANK(E34:O34)&gt;0,"",'02_의사결정·종합결과'!$E$53*(IF(E34="S",5,IF(E34="A",4,IF(E34="B",3,IF(E34="C",2,IF(E34="D",1,0))))))+'02_의사결정·종합결과'!$E$54*(IF(F34="S",5,IF(F34="A",4,IF(F34="B",3,IF(F34="C",2,IF(F34="D",1,0))))))+'02_의사결정·종합결과'!$E$55*(IF(G34="S",5,IF(G34="A",4,IF(G34="B",3,IF(G34="C",2,IF(G34="D",1,0))))))+'02_의사결정·종합결과'!$E$56*(IF(H34="S",5,IF(H34="A",4,IF(H34="B",3,IF(H34="C",2,IF(H34="D",1,0))))))+'02_의사결정·종합결과'!$E$57*(IF(I34="S",5,IF(I34="A",4,IF(I34="B",3,IF(I34="C",2,IF(I34="D",1,0))))))+'02_의사결정·종합결과'!$E$58*(IF(J34="S",5,IF(J34="A",4,IF(J34="B",3,IF(J34="C",2,IF(J34="D",1,0))))))+'02_의사결정·종합결과'!$E$59*(IF(K34="S",5,IF(K34="A",4,IF(K34="B",3,IF(K34="C",2,IF(K34="D",1,0))))))+'02_의사결정·종합결과'!$E$60*(IF(L34="S",5,IF(L34="A",4,IF(L34="B",3,IF(L34="C",2,IF(L34="D",1,0))))))+'02_의사결정·종합결과'!$E$61*(IF(M34="S",5,IF(M34="A",4,IF(M34="B",3,IF(M34="C",2,IF(M34="D",1,0))))))+'02_의사결정·종합결과'!$E$62*(IF(N34="S",5,IF(N34="A",4,IF(N34="B",3,IF(N34="C",2,IF(N34="D",1,0))))))+'02_의사결정·종합결과'!$E$63*(IF(O34="S",5,IF(O34="A",4,IF(O34="B",3,IF(O34="C",2,IF(O34="D",1,0)))))))</f>
        <v>0</v>
      </c>
      <c r="Q34" s="15" t="str">
        <f t="shared" si="0"/>
        <v>D</v>
      </c>
    </row>
    <row r="35" spans="1:18" x14ac:dyDescent="0.6">
      <c r="A35" s="15">
        <f>'01_인적정보'!A34</f>
        <v>30</v>
      </c>
      <c r="B35" s="15" t="str">
        <f>'01_인적정보'!B34</f>
        <v>BSS-030</v>
      </c>
      <c r="C35" s="15" t="str">
        <f>'01_인적정보'!C34</f>
        <v>안성진</v>
      </c>
      <c r="D35" s="15" t="str">
        <f>'01_인적정보'!H34</f>
        <v>G1</v>
      </c>
      <c r="E35" s="15">
        <f>'07_결과취합'!N35</f>
        <v>0</v>
      </c>
      <c r="F35" s="15">
        <f>'07_결과취합'!O35</f>
        <v>0</v>
      </c>
      <c r="G35" s="15">
        <f>'07_결과취합'!P35</f>
        <v>0</v>
      </c>
      <c r="H35" s="15">
        <f>'07_결과취합'!Q35</f>
        <v>0</v>
      </c>
      <c r="I35" s="15">
        <f>'07_결과취합'!R35</f>
        <v>0</v>
      </c>
      <c r="J35" s="15">
        <f>'07_결과취합'!S35</f>
        <v>0</v>
      </c>
      <c r="K35" s="15">
        <f>'07_결과취합'!T35</f>
        <v>0</v>
      </c>
      <c r="L35" s="15">
        <f>'07_결과취합'!U35</f>
        <v>0</v>
      </c>
      <c r="M35" s="15">
        <f>'07_결과취합'!V35</f>
        <v>0</v>
      </c>
      <c r="N35" s="15">
        <f>'07_결과취합'!W35</f>
        <v>0</v>
      </c>
      <c r="O35" s="15">
        <f>'07_결과취합'!X35</f>
        <v>0</v>
      </c>
      <c r="P35" s="24">
        <f>IF(COUNTBLANK(E35:O35)&gt;0,"",'02_의사결정·종합결과'!$E$53*(IF(E35="S",5,IF(E35="A",4,IF(E35="B",3,IF(E35="C",2,IF(E35="D",1,0))))))+'02_의사결정·종합결과'!$E$54*(IF(F35="S",5,IF(F35="A",4,IF(F35="B",3,IF(F35="C",2,IF(F35="D",1,0))))))+'02_의사결정·종합결과'!$E$55*(IF(G35="S",5,IF(G35="A",4,IF(G35="B",3,IF(G35="C",2,IF(G35="D",1,0))))))+'02_의사결정·종합결과'!$E$56*(IF(H35="S",5,IF(H35="A",4,IF(H35="B",3,IF(H35="C",2,IF(H35="D",1,0))))))+'02_의사결정·종합결과'!$E$57*(IF(I35="S",5,IF(I35="A",4,IF(I35="B",3,IF(I35="C",2,IF(I35="D",1,0))))))+'02_의사결정·종합결과'!$E$58*(IF(J35="S",5,IF(J35="A",4,IF(J35="B",3,IF(J35="C",2,IF(J35="D",1,0))))))+'02_의사결정·종합결과'!$E$59*(IF(K35="S",5,IF(K35="A",4,IF(K35="B",3,IF(K35="C",2,IF(K35="D",1,0))))))+'02_의사결정·종합결과'!$E$60*(IF(L35="S",5,IF(L35="A",4,IF(L35="B",3,IF(L35="C",2,IF(L35="D",1,0))))))+'02_의사결정·종합결과'!$E$61*(IF(M35="S",5,IF(M35="A",4,IF(M35="B",3,IF(M35="C",2,IF(M35="D",1,0))))))+'02_의사결정·종합결과'!$E$62*(IF(N35="S",5,IF(N35="A",4,IF(N35="B",3,IF(N35="C",2,IF(N35="D",1,0))))))+'02_의사결정·종합결과'!$E$63*(IF(O35="S",5,IF(O35="A",4,IF(O35="B",3,IF(O35="C",2,IF(O35="D",1,0)))))))</f>
        <v>0</v>
      </c>
      <c r="Q35" s="15" t="str">
        <f t="shared" si="0"/>
        <v>D</v>
      </c>
    </row>
    <row r="36" spans="1:18" x14ac:dyDescent="0.6">
      <c r="A36" s="15">
        <f>'01_인적정보'!A35</f>
        <v>31</v>
      </c>
      <c r="B36" s="15" t="str">
        <f>'01_인적정보'!B35</f>
        <v>BSS-031</v>
      </c>
      <c r="C36" s="15" t="str">
        <f>'01_인적정보'!C35</f>
        <v>이정일</v>
      </c>
      <c r="D36" s="15" t="str">
        <f>'01_인적정보'!H35</f>
        <v>G1</v>
      </c>
      <c r="E36" s="15">
        <f>'07_결과취합'!N36</f>
        <v>0</v>
      </c>
      <c r="F36" s="15">
        <f>'07_결과취합'!O36</f>
        <v>0</v>
      </c>
      <c r="G36" s="15">
        <f>'07_결과취합'!P36</f>
        <v>0</v>
      </c>
      <c r="H36" s="15">
        <f>'07_결과취합'!Q36</f>
        <v>0</v>
      </c>
      <c r="I36" s="15">
        <f>'07_결과취합'!R36</f>
        <v>0</v>
      </c>
      <c r="J36" s="15">
        <f>'07_결과취합'!S36</f>
        <v>0</v>
      </c>
      <c r="K36" s="15">
        <f>'07_결과취합'!T36</f>
        <v>0</v>
      </c>
      <c r="L36" s="15">
        <f>'07_결과취합'!U36</f>
        <v>0</v>
      </c>
      <c r="M36" s="15">
        <f>'07_결과취합'!V36</f>
        <v>0</v>
      </c>
      <c r="N36" s="15">
        <f>'07_결과취합'!W36</f>
        <v>0</v>
      </c>
      <c r="O36" s="15">
        <f>'07_결과취합'!X36</f>
        <v>0</v>
      </c>
      <c r="P36" s="24">
        <f>IF(COUNTBLANK(E36:O36)&gt;0,"",'02_의사결정·종합결과'!$E$53*(IF(E36="S",5,IF(E36="A",4,IF(E36="B",3,IF(E36="C",2,IF(E36="D",1,0))))))+'02_의사결정·종합결과'!$E$54*(IF(F36="S",5,IF(F36="A",4,IF(F36="B",3,IF(F36="C",2,IF(F36="D",1,0))))))+'02_의사결정·종합결과'!$E$55*(IF(G36="S",5,IF(G36="A",4,IF(G36="B",3,IF(G36="C",2,IF(G36="D",1,0))))))+'02_의사결정·종합결과'!$E$56*(IF(H36="S",5,IF(H36="A",4,IF(H36="B",3,IF(H36="C",2,IF(H36="D",1,0))))))+'02_의사결정·종합결과'!$E$57*(IF(I36="S",5,IF(I36="A",4,IF(I36="B",3,IF(I36="C",2,IF(I36="D",1,0))))))+'02_의사결정·종합결과'!$E$58*(IF(J36="S",5,IF(J36="A",4,IF(J36="B",3,IF(J36="C",2,IF(J36="D",1,0))))))+'02_의사결정·종합결과'!$E$59*(IF(K36="S",5,IF(K36="A",4,IF(K36="B",3,IF(K36="C",2,IF(K36="D",1,0))))))+'02_의사결정·종합결과'!$E$60*(IF(L36="S",5,IF(L36="A",4,IF(L36="B",3,IF(L36="C",2,IF(L36="D",1,0))))))+'02_의사결정·종합결과'!$E$61*(IF(M36="S",5,IF(M36="A",4,IF(M36="B",3,IF(M36="C",2,IF(M36="D",1,0))))))+'02_의사결정·종합결과'!$E$62*(IF(N36="S",5,IF(N36="A",4,IF(N36="B",3,IF(N36="C",2,IF(N36="D",1,0))))))+'02_의사결정·종합결과'!$E$63*(IF(O36="S",5,IF(O36="A",4,IF(O36="B",3,IF(O36="C",2,IF(O36="D",1,0)))))))</f>
        <v>0</v>
      </c>
      <c r="Q36" s="15" t="str">
        <f t="shared" si="0"/>
        <v>D</v>
      </c>
    </row>
    <row r="37" spans="1:18" x14ac:dyDescent="0.6">
      <c r="A37" s="15">
        <f>'01_인적정보'!A36</f>
        <v>32</v>
      </c>
      <c r="B37" s="15" t="str">
        <f>'01_인적정보'!B36</f>
        <v>BSS-032</v>
      </c>
      <c r="C37" s="15" t="str">
        <f>'01_인적정보'!C36</f>
        <v>안재성</v>
      </c>
      <c r="D37" s="15" t="str">
        <f>'01_인적정보'!H36</f>
        <v>G1</v>
      </c>
      <c r="E37" s="15">
        <f>'07_결과취합'!N37</f>
        <v>0</v>
      </c>
      <c r="F37" s="15">
        <f>'07_결과취합'!O37</f>
        <v>0</v>
      </c>
      <c r="G37" s="15">
        <f>'07_결과취합'!P37</f>
        <v>0</v>
      </c>
      <c r="H37" s="15">
        <f>'07_결과취합'!Q37</f>
        <v>0</v>
      </c>
      <c r="I37" s="15">
        <f>'07_결과취합'!R37</f>
        <v>0</v>
      </c>
      <c r="J37" s="15">
        <f>'07_결과취합'!S37</f>
        <v>0</v>
      </c>
      <c r="K37" s="15">
        <f>'07_결과취합'!T37</f>
        <v>0</v>
      </c>
      <c r="L37" s="15">
        <f>'07_결과취합'!U37</f>
        <v>0</v>
      </c>
      <c r="M37" s="15">
        <f>'07_결과취합'!V37</f>
        <v>0</v>
      </c>
      <c r="N37" s="15">
        <f>'07_결과취합'!W37</f>
        <v>0</v>
      </c>
      <c r="O37" s="15">
        <f>'07_결과취합'!X37</f>
        <v>0</v>
      </c>
      <c r="P37" s="24">
        <f>IF(COUNTBLANK(E37:O37)&gt;0,"",'02_의사결정·종합결과'!$E$53*(IF(E37="S",5,IF(E37="A",4,IF(E37="B",3,IF(E37="C",2,IF(E37="D",1,0))))))+'02_의사결정·종합결과'!$E$54*(IF(F37="S",5,IF(F37="A",4,IF(F37="B",3,IF(F37="C",2,IF(F37="D",1,0))))))+'02_의사결정·종합결과'!$E$55*(IF(G37="S",5,IF(G37="A",4,IF(G37="B",3,IF(G37="C",2,IF(G37="D",1,0))))))+'02_의사결정·종합결과'!$E$56*(IF(H37="S",5,IF(H37="A",4,IF(H37="B",3,IF(H37="C",2,IF(H37="D",1,0))))))+'02_의사결정·종합결과'!$E$57*(IF(I37="S",5,IF(I37="A",4,IF(I37="B",3,IF(I37="C",2,IF(I37="D",1,0))))))+'02_의사결정·종합결과'!$E$58*(IF(J37="S",5,IF(J37="A",4,IF(J37="B",3,IF(J37="C",2,IF(J37="D",1,0))))))+'02_의사결정·종합결과'!$E$59*(IF(K37="S",5,IF(K37="A",4,IF(K37="B",3,IF(K37="C",2,IF(K37="D",1,0))))))+'02_의사결정·종합결과'!$E$60*(IF(L37="S",5,IF(L37="A",4,IF(L37="B",3,IF(L37="C",2,IF(L37="D",1,0))))))+'02_의사결정·종합결과'!$E$61*(IF(M37="S",5,IF(M37="A",4,IF(M37="B",3,IF(M37="C",2,IF(M37="D",1,0))))))+'02_의사결정·종합결과'!$E$62*(IF(N37="S",5,IF(N37="A",4,IF(N37="B",3,IF(N37="C",2,IF(N37="D",1,0))))))+'02_의사결정·종합결과'!$E$63*(IF(O37="S",5,IF(O37="A",4,IF(O37="B",3,IF(O37="C",2,IF(O37="D",1,0)))))))</f>
        <v>0</v>
      </c>
      <c r="Q37" s="15" t="str">
        <f t="shared" si="0"/>
        <v>D</v>
      </c>
    </row>
    <row r="38" spans="1:18" x14ac:dyDescent="0.6">
      <c r="A38" s="15">
        <f>'01_인적정보'!A37</f>
        <v>33</v>
      </c>
      <c r="B38" s="15" t="str">
        <f>'01_인적정보'!B37</f>
        <v>BSS-033</v>
      </c>
      <c r="C38" s="15" t="str">
        <f>'01_인적정보'!C37</f>
        <v>유태석</v>
      </c>
      <c r="D38" s="15" t="str">
        <f>'01_인적정보'!H37</f>
        <v>G1</v>
      </c>
      <c r="E38" s="15">
        <f>'07_결과취합'!N38</f>
        <v>0</v>
      </c>
      <c r="F38" s="15">
        <f>'07_결과취합'!O38</f>
        <v>0</v>
      </c>
      <c r="G38" s="15">
        <f>'07_결과취합'!P38</f>
        <v>0</v>
      </c>
      <c r="H38" s="15">
        <f>'07_결과취합'!Q38</f>
        <v>0</v>
      </c>
      <c r="I38" s="15">
        <f>'07_결과취합'!R38</f>
        <v>0</v>
      </c>
      <c r="J38" s="15">
        <f>'07_결과취합'!S38</f>
        <v>0</v>
      </c>
      <c r="K38" s="15">
        <f>'07_결과취합'!T38</f>
        <v>0</v>
      </c>
      <c r="L38" s="15">
        <f>'07_결과취합'!U38</f>
        <v>0</v>
      </c>
      <c r="M38" s="15">
        <f>'07_결과취합'!V38</f>
        <v>0</v>
      </c>
      <c r="N38" s="15">
        <f>'07_결과취합'!W38</f>
        <v>0</v>
      </c>
      <c r="O38" s="15">
        <f>'07_결과취합'!X38</f>
        <v>0</v>
      </c>
      <c r="P38" s="24">
        <f>IF(COUNTBLANK(E38:O38)&gt;0,"",'02_의사결정·종합결과'!$E$53*(IF(E38="S",5,IF(E38="A",4,IF(E38="B",3,IF(E38="C",2,IF(E38="D",1,0))))))+'02_의사결정·종합결과'!$E$54*(IF(F38="S",5,IF(F38="A",4,IF(F38="B",3,IF(F38="C",2,IF(F38="D",1,0))))))+'02_의사결정·종합결과'!$E$55*(IF(G38="S",5,IF(G38="A",4,IF(G38="B",3,IF(G38="C",2,IF(G38="D",1,0))))))+'02_의사결정·종합결과'!$E$56*(IF(H38="S",5,IF(H38="A",4,IF(H38="B",3,IF(H38="C",2,IF(H38="D",1,0))))))+'02_의사결정·종합결과'!$E$57*(IF(I38="S",5,IF(I38="A",4,IF(I38="B",3,IF(I38="C",2,IF(I38="D",1,0))))))+'02_의사결정·종합결과'!$E$58*(IF(J38="S",5,IF(J38="A",4,IF(J38="B",3,IF(J38="C",2,IF(J38="D",1,0))))))+'02_의사결정·종합결과'!$E$59*(IF(K38="S",5,IF(K38="A",4,IF(K38="B",3,IF(K38="C",2,IF(K38="D",1,0))))))+'02_의사결정·종합결과'!$E$60*(IF(L38="S",5,IF(L38="A",4,IF(L38="B",3,IF(L38="C",2,IF(L38="D",1,0))))))+'02_의사결정·종합결과'!$E$61*(IF(M38="S",5,IF(M38="A",4,IF(M38="B",3,IF(M38="C",2,IF(M38="D",1,0))))))+'02_의사결정·종합결과'!$E$62*(IF(N38="S",5,IF(N38="A",4,IF(N38="B",3,IF(N38="C",2,IF(N38="D",1,0))))))+'02_의사결정·종합결과'!$E$63*(IF(O38="S",5,IF(O38="A",4,IF(O38="B",3,IF(O38="C",2,IF(O38="D",1,0)))))))</f>
        <v>0</v>
      </c>
      <c r="Q38" s="15" t="str">
        <f t="shared" si="0"/>
        <v>D</v>
      </c>
    </row>
    <row r="39" spans="1:18" x14ac:dyDescent="0.6">
      <c r="A39" s="15">
        <f>'01_인적정보'!A38</f>
        <v>34</v>
      </c>
      <c r="B39" s="15" t="str">
        <f>'01_인적정보'!B38</f>
        <v>BSS-034</v>
      </c>
      <c r="C39" s="15" t="str">
        <f>'01_인적정보'!C38</f>
        <v>엄보근</v>
      </c>
      <c r="D39" s="15" t="str">
        <f>'01_인적정보'!H38</f>
        <v>G1</v>
      </c>
      <c r="E39" s="15">
        <f>'07_결과취합'!N39</f>
        <v>0</v>
      </c>
      <c r="F39" s="15">
        <f>'07_결과취합'!O39</f>
        <v>0</v>
      </c>
      <c r="G39" s="15">
        <f>'07_결과취합'!P39</f>
        <v>0</v>
      </c>
      <c r="H39" s="15">
        <f>'07_결과취합'!Q39</f>
        <v>0</v>
      </c>
      <c r="I39" s="15">
        <f>'07_결과취합'!R39</f>
        <v>0</v>
      </c>
      <c r="J39" s="15">
        <f>'07_결과취합'!S39</f>
        <v>0</v>
      </c>
      <c r="K39" s="15">
        <f>'07_결과취합'!T39</f>
        <v>0</v>
      </c>
      <c r="L39" s="15">
        <f>'07_결과취합'!U39</f>
        <v>0</v>
      </c>
      <c r="M39" s="15">
        <f>'07_결과취합'!V39</f>
        <v>0</v>
      </c>
      <c r="N39" s="15">
        <f>'07_결과취합'!W39</f>
        <v>0</v>
      </c>
      <c r="O39" s="15">
        <f>'07_결과취합'!X39</f>
        <v>0</v>
      </c>
      <c r="P39" s="24">
        <f>IF(COUNTBLANK(E39:O39)&gt;0,"",'02_의사결정·종합결과'!$E$53*(IF(E39="S",5,IF(E39="A",4,IF(E39="B",3,IF(E39="C",2,IF(E39="D",1,0))))))+'02_의사결정·종합결과'!$E$54*(IF(F39="S",5,IF(F39="A",4,IF(F39="B",3,IF(F39="C",2,IF(F39="D",1,0))))))+'02_의사결정·종합결과'!$E$55*(IF(G39="S",5,IF(G39="A",4,IF(G39="B",3,IF(G39="C",2,IF(G39="D",1,0))))))+'02_의사결정·종합결과'!$E$56*(IF(H39="S",5,IF(H39="A",4,IF(H39="B",3,IF(H39="C",2,IF(H39="D",1,0))))))+'02_의사결정·종합결과'!$E$57*(IF(I39="S",5,IF(I39="A",4,IF(I39="B",3,IF(I39="C",2,IF(I39="D",1,0))))))+'02_의사결정·종합결과'!$E$58*(IF(J39="S",5,IF(J39="A",4,IF(J39="B",3,IF(J39="C",2,IF(J39="D",1,0))))))+'02_의사결정·종합결과'!$E$59*(IF(K39="S",5,IF(K39="A",4,IF(K39="B",3,IF(K39="C",2,IF(K39="D",1,0))))))+'02_의사결정·종합결과'!$E$60*(IF(L39="S",5,IF(L39="A",4,IF(L39="B",3,IF(L39="C",2,IF(L39="D",1,0))))))+'02_의사결정·종합결과'!$E$61*(IF(M39="S",5,IF(M39="A",4,IF(M39="B",3,IF(M39="C",2,IF(M39="D",1,0))))))+'02_의사결정·종합결과'!$E$62*(IF(N39="S",5,IF(N39="A",4,IF(N39="B",3,IF(N39="C",2,IF(N39="D",1,0))))))+'02_의사결정·종합결과'!$E$63*(IF(O39="S",5,IF(O39="A",4,IF(O39="B",3,IF(O39="C",2,IF(O39="D",1,0)))))))</f>
        <v>0</v>
      </c>
      <c r="Q39" s="15" t="str">
        <f t="shared" si="0"/>
        <v>D</v>
      </c>
    </row>
    <row r="42" spans="1:18" ht="22.05" customHeight="1" x14ac:dyDescent="0.6">
      <c r="A42" s="45" t="s">
        <v>403</v>
      </c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</row>
    <row r="43" spans="1:18" ht="67.5" x14ac:dyDescent="0.6">
      <c r="A43" s="2" t="s">
        <v>131</v>
      </c>
      <c r="B43" s="2" t="s">
        <v>132</v>
      </c>
      <c r="C43" s="2" t="s">
        <v>133</v>
      </c>
      <c r="D43" s="2" t="s">
        <v>105</v>
      </c>
      <c r="E43" s="2" t="s">
        <v>390</v>
      </c>
      <c r="F43" s="2" t="s">
        <v>391</v>
      </c>
      <c r="G43" s="2" t="s">
        <v>392</v>
      </c>
      <c r="H43" s="2" t="s">
        <v>393</v>
      </c>
      <c r="I43" s="2" t="s">
        <v>394</v>
      </c>
      <c r="J43" s="2" t="s">
        <v>395</v>
      </c>
      <c r="K43" s="2" t="s">
        <v>396</v>
      </c>
      <c r="L43" s="2" t="s">
        <v>397</v>
      </c>
      <c r="M43" s="2" t="s">
        <v>398</v>
      </c>
      <c r="N43" s="2" t="s">
        <v>399</v>
      </c>
      <c r="O43" s="2" t="s">
        <v>400</v>
      </c>
      <c r="P43" s="2" t="s">
        <v>401</v>
      </c>
      <c r="Q43" s="2" t="s">
        <v>282</v>
      </c>
      <c r="R43" s="2" t="s">
        <v>402</v>
      </c>
    </row>
    <row r="44" spans="1:18" x14ac:dyDescent="0.6">
      <c r="A44" s="15">
        <f>'01_인적정보'!A5</f>
        <v>1</v>
      </c>
      <c r="B44" s="15" t="str">
        <f>'01_인적정보'!B5</f>
        <v>BSS-001</v>
      </c>
      <c r="C44" s="15" t="str">
        <f>'01_인적정보'!C5</f>
        <v>이화형</v>
      </c>
      <c r="D44" s="15" t="str">
        <f>'01_인적정보'!H5</f>
        <v>G6</v>
      </c>
      <c r="E44" s="15">
        <f>'07_결과취합'!N44</f>
        <v>0</v>
      </c>
      <c r="F44" s="15">
        <f>'07_결과취합'!O44</f>
        <v>0</v>
      </c>
      <c r="G44" s="15">
        <f>'07_결과취합'!P44</f>
        <v>0</v>
      </c>
      <c r="H44" s="15">
        <f>'07_결과취합'!Q44</f>
        <v>0</v>
      </c>
      <c r="I44" s="15">
        <f>'07_결과취합'!R44</f>
        <v>0</v>
      </c>
      <c r="J44" s="15">
        <f>'07_결과취합'!S44</f>
        <v>0</v>
      </c>
      <c r="K44" s="15">
        <f>'07_결과취합'!T44</f>
        <v>0</v>
      </c>
      <c r="L44" s="15">
        <f>'07_결과취합'!U44</f>
        <v>0</v>
      </c>
      <c r="M44" s="15">
        <f>'07_결과취합'!V44</f>
        <v>0</v>
      </c>
      <c r="N44" s="15">
        <f>'07_결과취합'!W44</f>
        <v>0</v>
      </c>
      <c r="O44" s="15">
        <f>'07_결과취합'!X44</f>
        <v>0</v>
      </c>
      <c r="P44" s="24">
        <f>IF(COUNTBLANK(E44:O44)&gt;0,"",'02_의사결정·종합결과'!$E$53*(IF(E44="S",5,IF(E44="A",4,IF(E44="B",3,IF(E44="C",2,IF(E44="D",1,0))))))+'02_의사결정·종합결과'!$E$54*(IF(F44="S",5,IF(F44="A",4,IF(F44="B",3,IF(F44="C",2,IF(F44="D",1,0))))))+'02_의사결정·종합결과'!$E$55*(IF(G44="S",5,IF(G44="A",4,IF(G44="B",3,IF(G44="C",2,IF(G44="D",1,0))))))+'02_의사결정·종합결과'!$E$56*(IF(H44="S",5,IF(H44="A",4,IF(H44="B",3,IF(H44="C",2,IF(H44="D",1,0))))))+'02_의사결정·종합결과'!$E$57*(IF(I44="S",5,IF(I44="A",4,IF(I44="B",3,IF(I44="C",2,IF(I44="D",1,0))))))+'02_의사결정·종합결과'!$E$58*(IF(J44="S",5,IF(J44="A",4,IF(J44="B",3,IF(J44="C",2,IF(J44="D",1,0))))))+'02_의사결정·종합결과'!$E$59*(IF(K44="S",5,IF(K44="A",4,IF(K44="B",3,IF(K44="C",2,IF(K44="D",1,0))))))+'02_의사결정·종합결과'!$E$60*(IF(L44="S",5,IF(L44="A",4,IF(L44="B",3,IF(L44="C",2,IF(L44="D",1,0))))))+'02_의사결정·종합결과'!$E$61*(IF(M44="S",5,IF(M44="A",4,IF(M44="B",3,IF(M44="C",2,IF(M44="D",1,0))))))+'02_의사결정·종합결과'!$E$62*(IF(N44="S",5,IF(N44="A",4,IF(N44="B",3,IF(N44="C",2,IF(N44="D",1,0))))))+'02_의사결정·종합결과'!$E$63*(IF(O44="S",5,IF(O44="A",4,IF(O44="B",3,IF(O44="C",2,IF(O44="D",1,0)))))))</f>
        <v>0</v>
      </c>
      <c r="Q44" s="15" t="str">
        <f t="shared" ref="Q44:Q77" si="1">IF(P44="","",IF(P44&gt;=4.5,"S",IF(P44&gt;=3.5,"A",IF(P44&gt;=2.5,"B",IF(P44&gt;=1.5,"C","D")))))</f>
        <v>D</v>
      </c>
    </row>
    <row r="45" spans="1:18" x14ac:dyDescent="0.6">
      <c r="A45" s="15">
        <f>'01_인적정보'!A6</f>
        <v>2</v>
      </c>
      <c r="B45" s="15" t="str">
        <f>'01_인적정보'!B6</f>
        <v>BSS-002</v>
      </c>
      <c r="C45" s="15" t="str">
        <f>'01_인적정보'!C6</f>
        <v>강전용</v>
      </c>
      <c r="D45" s="15" t="str">
        <f>'01_인적정보'!H6</f>
        <v>G6</v>
      </c>
      <c r="E45" s="15">
        <f>'07_결과취합'!N45</f>
        <v>0</v>
      </c>
      <c r="F45" s="15">
        <f>'07_결과취합'!O45</f>
        <v>0</v>
      </c>
      <c r="G45" s="15">
        <f>'07_결과취합'!P45</f>
        <v>0</v>
      </c>
      <c r="H45" s="15">
        <f>'07_결과취합'!Q45</f>
        <v>0</v>
      </c>
      <c r="I45" s="15">
        <f>'07_결과취합'!R45</f>
        <v>0</v>
      </c>
      <c r="J45" s="15">
        <f>'07_결과취합'!S45</f>
        <v>0</v>
      </c>
      <c r="K45" s="15">
        <f>'07_결과취합'!T45</f>
        <v>0</v>
      </c>
      <c r="L45" s="15">
        <f>'07_결과취합'!U45</f>
        <v>0</v>
      </c>
      <c r="M45" s="15">
        <f>'07_결과취합'!V45</f>
        <v>0</v>
      </c>
      <c r="N45" s="15">
        <f>'07_결과취합'!W45</f>
        <v>0</v>
      </c>
      <c r="O45" s="15">
        <f>'07_결과취합'!X45</f>
        <v>0</v>
      </c>
      <c r="P45" s="24">
        <f>IF(COUNTBLANK(E45:O45)&gt;0,"",'02_의사결정·종합결과'!$E$53*(IF(E45="S",5,IF(E45="A",4,IF(E45="B",3,IF(E45="C",2,IF(E45="D",1,0))))))+'02_의사결정·종합결과'!$E$54*(IF(F45="S",5,IF(F45="A",4,IF(F45="B",3,IF(F45="C",2,IF(F45="D",1,0))))))+'02_의사결정·종합결과'!$E$55*(IF(G45="S",5,IF(G45="A",4,IF(G45="B",3,IF(G45="C",2,IF(G45="D",1,0))))))+'02_의사결정·종합결과'!$E$56*(IF(H45="S",5,IF(H45="A",4,IF(H45="B",3,IF(H45="C",2,IF(H45="D",1,0))))))+'02_의사결정·종합결과'!$E$57*(IF(I45="S",5,IF(I45="A",4,IF(I45="B",3,IF(I45="C",2,IF(I45="D",1,0))))))+'02_의사결정·종합결과'!$E$58*(IF(J45="S",5,IF(J45="A",4,IF(J45="B",3,IF(J45="C",2,IF(J45="D",1,0))))))+'02_의사결정·종합결과'!$E$59*(IF(K45="S",5,IF(K45="A",4,IF(K45="B",3,IF(K45="C",2,IF(K45="D",1,0))))))+'02_의사결정·종합결과'!$E$60*(IF(L45="S",5,IF(L45="A",4,IF(L45="B",3,IF(L45="C",2,IF(L45="D",1,0))))))+'02_의사결정·종합결과'!$E$61*(IF(M45="S",5,IF(M45="A",4,IF(M45="B",3,IF(M45="C",2,IF(M45="D",1,0))))))+'02_의사결정·종합결과'!$E$62*(IF(N45="S",5,IF(N45="A",4,IF(N45="B",3,IF(N45="C",2,IF(N45="D",1,0))))))+'02_의사결정·종합결과'!$E$63*(IF(O45="S",5,IF(O45="A",4,IF(O45="B",3,IF(O45="C",2,IF(O45="D",1,0)))))))</f>
        <v>0</v>
      </c>
      <c r="Q45" s="15" t="str">
        <f t="shared" si="1"/>
        <v>D</v>
      </c>
    </row>
    <row r="46" spans="1:18" x14ac:dyDescent="0.6">
      <c r="A46" s="15">
        <f>'01_인적정보'!A7</f>
        <v>3</v>
      </c>
      <c r="B46" s="15" t="str">
        <f>'01_인적정보'!B7</f>
        <v>BSS-003</v>
      </c>
      <c r="C46" s="15" t="str">
        <f>'01_인적정보'!C7</f>
        <v>김현민</v>
      </c>
      <c r="D46" s="15" t="str">
        <f>'01_인적정보'!H7</f>
        <v>G6</v>
      </c>
      <c r="E46" s="15">
        <f>'07_결과취합'!N46</f>
        <v>0</v>
      </c>
      <c r="F46" s="15">
        <f>'07_결과취합'!O46</f>
        <v>0</v>
      </c>
      <c r="G46" s="15">
        <f>'07_결과취합'!P46</f>
        <v>0</v>
      </c>
      <c r="H46" s="15">
        <f>'07_결과취합'!Q46</f>
        <v>0</v>
      </c>
      <c r="I46" s="15">
        <f>'07_결과취합'!R46</f>
        <v>0</v>
      </c>
      <c r="J46" s="15">
        <f>'07_결과취합'!S46</f>
        <v>0</v>
      </c>
      <c r="K46" s="15">
        <f>'07_결과취합'!T46</f>
        <v>0</v>
      </c>
      <c r="L46" s="15">
        <f>'07_결과취합'!U46</f>
        <v>0</v>
      </c>
      <c r="M46" s="15">
        <f>'07_결과취합'!V46</f>
        <v>0</v>
      </c>
      <c r="N46" s="15">
        <f>'07_결과취합'!W46</f>
        <v>0</v>
      </c>
      <c r="O46" s="15">
        <f>'07_결과취합'!X46</f>
        <v>0</v>
      </c>
      <c r="P46" s="24">
        <f>IF(COUNTBLANK(E46:O46)&gt;0,"",'02_의사결정·종합결과'!$E$53*(IF(E46="S",5,IF(E46="A",4,IF(E46="B",3,IF(E46="C",2,IF(E46="D",1,0))))))+'02_의사결정·종합결과'!$E$54*(IF(F46="S",5,IF(F46="A",4,IF(F46="B",3,IF(F46="C",2,IF(F46="D",1,0))))))+'02_의사결정·종합결과'!$E$55*(IF(G46="S",5,IF(G46="A",4,IF(G46="B",3,IF(G46="C",2,IF(G46="D",1,0))))))+'02_의사결정·종합결과'!$E$56*(IF(H46="S",5,IF(H46="A",4,IF(H46="B",3,IF(H46="C",2,IF(H46="D",1,0))))))+'02_의사결정·종합결과'!$E$57*(IF(I46="S",5,IF(I46="A",4,IF(I46="B",3,IF(I46="C",2,IF(I46="D",1,0))))))+'02_의사결정·종합결과'!$E$58*(IF(J46="S",5,IF(J46="A",4,IF(J46="B",3,IF(J46="C",2,IF(J46="D",1,0))))))+'02_의사결정·종합결과'!$E$59*(IF(K46="S",5,IF(K46="A",4,IF(K46="B",3,IF(K46="C",2,IF(K46="D",1,0))))))+'02_의사결정·종합결과'!$E$60*(IF(L46="S",5,IF(L46="A",4,IF(L46="B",3,IF(L46="C",2,IF(L46="D",1,0))))))+'02_의사결정·종합결과'!$E$61*(IF(M46="S",5,IF(M46="A",4,IF(M46="B",3,IF(M46="C",2,IF(M46="D",1,0))))))+'02_의사결정·종합결과'!$E$62*(IF(N46="S",5,IF(N46="A",4,IF(N46="B",3,IF(N46="C",2,IF(N46="D",1,0))))))+'02_의사결정·종합결과'!$E$63*(IF(O46="S",5,IF(O46="A",4,IF(O46="B",3,IF(O46="C",2,IF(O46="D",1,0)))))))</f>
        <v>0</v>
      </c>
      <c r="Q46" s="15" t="str">
        <f t="shared" si="1"/>
        <v>D</v>
      </c>
    </row>
    <row r="47" spans="1:18" x14ac:dyDescent="0.6">
      <c r="A47" s="15">
        <f>'01_인적정보'!A8</f>
        <v>4</v>
      </c>
      <c r="B47" s="15" t="str">
        <f>'01_인적정보'!B8</f>
        <v>BSS-004</v>
      </c>
      <c r="C47" s="15" t="str">
        <f>'01_인적정보'!C8</f>
        <v>이일곤</v>
      </c>
      <c r="D47" s="15" t="str">
        <f>'01_인적정보'!H8</f>
        <v>G6</v>
      </c>
      <c r="E47" s="15">
        <f>'07_결과취합'!N47</f>
        <v>0</v>
      </c>
      <c r="F47" s="15">
        <f>'07_결과취합'!O47</f>
        <v>0</v>
      </c>
      <c r="G47" s="15">
        <f>'07_결과취합'!P47</f>
        <v>0</v>
      </c>
      <c r="H47" s="15">
        <f>'07_결과취합'!Q47</f>
        <v>0</v>
      </c>
      <c r="I47" s="15">
        <f>'07_결과취합'!R47</f>
        <v>0</v>
      </c>
      <c r="J47" s="15">
        <f>'07_결과취합'!S47</f>
        <v>0</v>
      </c>
      <c r="K47" s="15">
        <f>'07_결과취합'!T47</f>
        <v>0</v>
      </c>
      <c r="L47" s="15">
        <f>'07_결과취합'!U47</f>
        <v>0</v>
      </c>
      <c r="M47" s="15">
        <f>'07_결과취합'!V47</f>
        <v>0</v>
      </c>
      <c r="N47" s="15">
        <f>'07_결과취합'!W47</f>
        <v>0</v>
      </c>
      <c r="O47" s="15">
        <f>'07_결과취합'!X47</f>
        <v>0</v>
      </c>
      <c r="P47" s="24">
        <f>IF(COUNTBLANK(E47:O47)&gt;0,"",'02_의사결정·종합결과'!$E$53*(IF(E47="S",5,IF(E47="A",4,IF(E47="B",3,IF(E47="C",2,IF(E47="D",1,0))))))+'02_의사결정·종합결과'!$E$54*(IF(F47="S",5,IF(F47="A",4,IF(F47="B",3,IF(F47="C",2,IF(F47="D",1,0))))))+'02_의사결정·종합결과'!$E$55*(IF(G47="S",5,IF(G47="A",4,IF(G47="B",3,IF(G47="C",2,IF(G47="D",1,0))))))+'02_의사결정·종합결과'!$E$56*(IF(H47="S",5,IF(H47="A",4,IF(H47="B",3,IF(H47="C",2,IF(H47="D",1,0))))))+'02_의사결정·종합결과'!$E$57*(IF(I47="S",5,IF(I47="A",4,IF(I47="B",3,IF(I47="C",2,IF(I47="D",1,0))))))+'02_의사결정·종합결과'!$E$58*(IF(J47="S",5,IF(J47="A",4,IF(J47="B",3,IF(J47="C",2,IF(J47="D",1,0))))))+'02_의사결정·종합결과'!$E$59*(IF(K47="S",5,IF(K47="A",4,IF(K47="B",3,IF(K47="C",2,IF(K47="D",1,0))))))+'02_의사결정·종합결과'!$E$60*(IF(L47="S",5,IF(L47="A",4,IF(L47="B",3,IF(L47="C",2,IF(L47="D",1,0))))))+'02_의사결정·종합결과'!$E$61*(IF(M47="S",5,IF(M47="A",4,IF(M47="B",3,IF(M47="C",2,IF(M47="D",1,0))))))+'02_의사결정·종합결과'!$E$62*(IF(N47="S",5,IF(N47="A",4,IF(N47="B",3,IF(N47="C",2,IF(N47="D",1,0))))))+'02_의사결정·종합결과'!$E$63*(IF(O47="S",5,IF(O47="A",4,IF(O47="B",3,IF(O47="C",2,IF(O47="D",1,0)))))))</f>
        <v>0</v>
      </c>
      <c r="Q47" s="15" t="str">
        <f t="shared" si="1"/>
        <v>D</v>
      </c>
    </row>
    <row r="48" spans="1:18" x14ac:dyDescent="0.6">
      <c r="A48" s="15">
        <f>'01_인적정보'!A9</f>
        <v>5</v>
      </c>
      <c r="B48" s="15" t="str">
        <f>'01_인적정보'!B9</f>
        <v>BSS-005</v>
      </c>
      <c r="C48" s="15" t="str">
        <f>'01_인적정보'!C9</f>
        <v>송헌영</v>
      </c>
      <c r="D48" s="15" t="str">
        <f>'01_인적정보'!H9</f>
        <v>G6</v>
      </c>
      <c r="E48" s="15">
        <f>'07_결과취합'!N48</f>
        <v>0</v>
      </c>
      <c r="F48" s="15">
        <f>'07_결과취합'!O48</f>
        <v>0</v>
      </c>
      <c r="G48" s="15">
        <f>'07_결과취합'!P48</f>
        <v>0</v>
      </c>
      <c r="H48" s="15">
        <f>'07_결과취합'!Q48</f>
        <v>0</v>
      </c>
      <c r="I48" s="15">
        <f>'07_결과취합'!R48</f>
        <v>0</v>
      </c>
      <c r="J48" s="15">
        <f>'07_결과취합'!S48</f>
        <v>0</v>
      </c>
      <c r="K48" s="15">
        <f>'07_결과취합'!T48</f>
        <v>0</v>
      </c>
      <c r="L48" s="15">
        <f>'07_결과취합'!U48</f>
        <v>0</v>
      </c>
      <c r="M48" s="15">
        <f>'07_결과취합'!V48</f>
        <v>0</v>
      </c>
      <c r="N48" s="15">
        <f>'07_결과취합'!W48</f>
        <v>0</v>
      </c>
      <c r="O48" s="15">
        <f>'07_결과취합'!X48</f>
        <v>0</v>
      </c>
      <c r="P48" s="24">
        <f>IF(COUNTBLANK(E48:O48)&gt;0,"",'02_의사결정·종합결과'!$E$53*(IF(E48="S",5,IF(E48="A",4,IF(E48="B",3,IF(E48="C",2,IF(E48="D",1,0))))))+'02_의사결정·종합결과'!$E$54*(IF(F48="S",5,IF(F48="A",4,IF(F48="B",3,IF(F48="C",2,IF(F48="D",1,0))))))+'02_의사결정·종합결과'!$E$55*(IF(G48="S",5,IF(G48="A",4,IF(G48="B",3,IF(G48="C",2,IF(G48="D",1,0))))))+'02_의사결정·종합결과'!$E$56*(IF(H48="S",5,IF(H48="A",4,IF(H48="B",3,IF(H48="C",2,IF(H48="D",1,0))))))+'02_의사결정·종합결과'!$E$57*(IF(I48="S",5,IF(I48="A",4,IF(I48="B",3,IF(I48="C",2,IF(I48="D",1,0))))))+'02_의사결정·종합결과'!$E$58*(IF(J48="S",5,IF(J48="A",4,IF(J48="B",3,IF(J48="C",2,IF(J48="D",1,0))))))+'02_의사결정·종합결과'!$E$59*(IF(K48="S",5,IF(K48="A",4,IF(K48="B",3,IF(K48="C",2,IF(K48="D",1,0))))))+'02_의사결정·종합결과'!$E$60*(IF(L48="S",5,IF(L48="A",4,IF(L48="B",3,IF(L48="C",2,IF(L48="D",1,0))))))+'02_의사결정·종합결과'!$E$61*(IF(M48="S",5,IF(M48="A",4,IF(M48="B",3,IF(M48="C",2,IF(M48="D",1,0))))))+'02_의사결정·종합결과'!$E$62*(IF(N48="S",5,IF(N48="A",4,IF(N48="B",3,IF(N48="C",2,IF(N48="D",1,0))))))+'02_의사결정·종합결과'!$E$63*(IF(O48="S",5,IF(O48="A",4,IF(O48="B",3,IF(O48="C",2,IF(O48="D",1,0)))))))</f>
        <v>0</v>
      </c>
      <c r="Q48" s="15" t="str">
        <f t="shared" si="1"/>
        <v>D</v>
      </c>
    </row>
    <row r="49" spans="1:17" x14ac:dyDescent="0.6">
      <c r="A49" s="15">
        <f>'01_인적정보'!A10</f>
        <v>6</v>
      </c>
      <c r="B49" s="15" t="str">
        <f>'01_인적정보'!B10</f>
        <v>BSS-006</v>
      </c>
      <c r="C49" s="15" t="str">
        <f>'01_인적정보'!C10</f>
        <v>이재용</v>
      </c>
      <c r="D49" s="15" t="str">
        <f>'01_인적정보'!H10</f>
        <v>G6</v>
      </c>
      <c r="E49" s="15">
        <f>'07_결과취합'!N49</f>
        <v>0</v>
      </c>
      <c r="F49" s="15">
        <f>'07_결과취합'!O49</f>
        <v>0</v>
      </c>
      <c r="G49" s="15">
        <f>'07_결과취합'!P49</f>
        <v>0</v>
      </c>
      <c r="H49" s="15">
        <f>'07_결과취합'!Q49</f>
        <v>0</v>
      </c>
      <c r="I49" s="15">
        <f>'07_결과취합'!R49</f>
        <v>0</v>
      </c>
      <c r="J49" s="15">
        <f>'07_결과취합'!S49</f>
        <v>0</v>
      </c>
      <c r="K49" s="15">
        <f>'07_결과취합'!T49</f>
        <v>0</v>
      </c>
      <c r="L49" s="15">
        <f>'07_결과취합'!U49</f>
        <v>0</v>
      </c>
      <c r="M49" s="15">
        <f>'07_결과취합'!V49</f>
        <v>0</v>
      </c>
      <c r="N49" s="15">
        <f>'07_결과취합'!W49</f>
        <v>0</v>
      </c>
      <c r="O49" s="15">
        <f>'07_결과취합'!X49</f>
        <v>0</v>
      </c>
      <c r="P49" s="24">
        <f>IF(COUNTBLANK(E49:O49)&gt;0,"",'02_의사결정·종합결과'!$E$53*(IF(E49="S",5,IF(E49="A",4,IF(E49="B",3,IF(E49="C",2,IF(E49="D",1,0))))))+'02_의사결정·종합결과'!$E$54*(IF(F49="S",5,IF(F49="A",4,IF(F49="B",3,IF(F49="C",2,IF(F49="D",1,0))))))+'02_의사결정·종합결과'!$E$55*(IF(G49="S",5,IF(G49="A",4,IF(G49="B",3,IF(G49="C",2,IF(G49="D",1,0))))))+'02_의사결정·종합결과'!$E$56*(IF(H49="S",5,IF(H49="A",4,IF(H49="B",3,IF(H49="C",2,IF(H49="D",1,0))))))+'02_의사결정·종합결과'!$E$57*(IF(I49="S",5,IF(I49="A",4,IF(I49="B",3,IF(I49="C",2,IF(I49="D",1,0))))))+'02_의사결정·종합결과'!$E$58*(IF(J49="S",5,IF(J49="A",4,IF(J49="B",3,IF(J49="C",2,IF(J49="D",1,0))))))+'02_의사결정·종합결과'!$E$59*(IF(K49="S",5,IF(K49="A",4,IF(K49="B",3,IF(K49="C",2,IF(K49="D",1,0))))))+'02_의사결정·종합결과'!$E$60*(IF(L49="S",5,IF(L49="A",4,IF(L49="B",3,IF(L49="C",2,IF(L49="D",1,0))))))+'02_의사결정·종합결과'!$E$61*(IF(M49="S",5,IF(M49="A",4,IF(M49="B",3,IF(M49="C",2,IF(M49="D",1,0))))))+'02_의사결정·종합결과'!$E$62*(IF(N49="S",5,IF(N49="A",4,IF(N49="B",3,IF(N49="C",2,IF(N49="D",1,0))))))+'02_의사결정·종합결과'!$E$63*(IF(O49="S",5,IF(O49="A",4,IF(O49="B",3,IF(O49="C",2,IF(O49="D",1,0)))))))</f>
        <v>0</v>
      </c>
      <c r="Q49" s="15" t="str">
        <f t="shared" si="1"/>
        <v>D</v>
      </c>
    </row>
    <row r="50" spans="1:17" x14ac:dyDescent="0.6">
      <c r="A50" s="15">
        <f>'01_인적정보'!A11</f>
        <v>7</v>
      </c>
      <c r="B50" s="15" t="str">
        <f>'01_인적정보'!B11</f>
        <v>BSS-007</v>
      </c>
      <c r="C50" s="15" t="str">
        <f>'01_인적정보'!C11</f>
        <v>이진행</v>
      </c>
      <c r="D50" s="15" t="str">
        <f>'01_인적정보'!H11</f>
        <v>G5</v>
      </c>
      <c r="E50" s="15">
        <f>'07_결과취합'!N50</f>
        <v>0</v>
      </c>
      <c r="F50" s="15">
        <f>'07_결과취합'!O50</f>
        <v>0</v>
      </c>
      <c r="G50" s="15">
        <f>'07_결과취합'!P50</f>
        <v>0</v>
      </c>
      <c r="H50" s="15">
        <f>'07_결과취합'!Q50</f>
        <v>0</v>
      </c>
      <c r="I50" s="15">
        <f>'07_결과취합'!R50</f>
        <v>0</v>
      </c>
      <c r="J50" s="15">
        <f>'07_결과취합'!S50</f>
        <v>0</v>
      </c>
      <c r="K50" s="15">
        <f>'07_결과취합'!T50</f>
        <v>0</v>
      </c>
      <c r="L50" s="15">
        <f>'07_결과취합'!U50</f>
        <v>0</v>
      </c>
      <c r="M50" s="15">
        <f>'07_결과취합'!V50</f>
        <v>0</v>
      </c>
      <c r="N50" s="15">
        <f>'07_결과취합'!W50</f>
        <v>0</v>
      </c>
      <c r="O50" s="15">
        <f>'07_결과취합'!X50</f>
        <v>0</v>
      </c>
      <c r="P50" s="24">
        <f>IF(COUNTBLANK(E50:O50)&gt;0,"",'02_의사결정·종합결과'!$E$53*(IF(E50="S",5,IF(E50="A",4,IF(E50="B",3,IF(E50="C",2,IF(E50="D",1,0))))))+'02_의사결정·종합결과'!$E$54*(IF(F50="S",5,IF(F50="A",4,IF(F50="B",3,IF(F50="C",2,IF(F50="D",1,0))))))+'02_의사결정·종합결과'!$E$55*(IF(G50="S",5,IF(G50="A",4,IF(G50="B",3,IF(G50="C",2,IF(G50="D",1,0))))))+'02_의사결정·종합결과'!$E$56*(IF(H50="S",5,IF(H50="A",4,IF(H50="B",3,IF(H50="C",2,IF(H50="D",1,0))))))+'02_의사결정·종합결과'!$E$57*(IF(I50="S",5,IF(I50="A",4,IF(I50="B",3,IF(I50="C",2,IF(I50="D",1,0))))))+'02_의사결정·종합결과'!$E$58*(IF(J50="S",5,IF(J50="A",4,IF(J50="B",3,IF(J50="C",2,IF(J50="D",1,0))))))+'02_의사결정·종합결과'!$E$59*(IF(K50="S",5,IF(K50="A",4,IF(K50="B",3,IF(K50="C",2,IF(K50="D",1,0))))))+'02_의사결정·종합결과'!$E$60*(IF(L50="S",5,IF(L50="A",4,IF(L50="B",3,IF(L50="C",2,IF(L50="D",1,0))))))+'02_의사결정·종합결과'!$E$61*(IF(M50="S",5,IF(M50="A",4,IF(M50="B",3,IF(M50="C",2,IF(M50="D",1,0))))))+'02_의사결정·종합결과'!$E$62*(IF(N50="S",5,IF(N50="A",4,IF(N50="B",3,IF(N50="C",2,IF(N50="D",1,0))))))+'02_의사결정·종합결과'!$E$63*(IF(O50="S",5,IF(O50="A",4,IF(O50="B",3,IF(O50="C",2,IF(O50="D",1,0)))))))</f>
        <v>0</v>
      </c>
      <c r="Q50" s="15" t="str">
        <f t="shared" si="1"/>
        <v>D</v>
      </c>
    </row>
    <row r="51" spans="1:17" x14ac:dyDescent="0.6">
      <c r="A51" s="15">
        <f>'01_인적정보'!A12</f>
        <v>8</v>
      </c>
      <c r="B51" s="15" t="str">
        <f>'01_인적정보'!B12</f>
        <v>BSS-008</v>
      </c>
      <c r="C51" s="15" t="str">
        <f>'01_인적정보'!C12</f>
        <v>김민수</v>
      </c>
      <c r="D51" s="15" t="str">
        <f>'01_인적정보'!H12</f>
        <v>G5</v>
      </c>
      <c r="E51" s="15">
        <f>'07_결과취합'!N51</f>
        <v>0</v>
      </c>
      <c r="F51" s="15">
        <f>'07_결과취합'!O51</f>
        <v>0</v>
      </c>
      <c r="G51" s="15">
        <f>'07_결과취합'!P51</f>
        <v>0</v>
      </c>
      <c r="H51" s="15">
        <f>'07_결과취합'!Q51</f>
        <v>0</v>
      </c>
      <c r="I51" s="15">
        <f>'07_결과취합'!R51</f>
        <v>0</v>
      </c>
      <c r="J51" s="15">
        <f>'07_결과취합'!S51</f>
        <v>0</v>
      </c>
      <c r="K51" s="15">
        <f>'07_결과취합'!T51</f>
        <v>0</v>
      </c>
      <c r="L51" s="15">
        <f>'07_결과취합'!U51</f>
        <v>0</v>
      </c>
      <c r="M51" s="15">
        <f>'07_결과취합'!V51</f>
        <v>0</v>
      </c>
      <c r="N51" s="15">
        <f>'07_결과취합'!W51</f>
        <v>0</v>
      </c>
      <c r="O51" s="15">
        <f>'07_결과취합'!X51</f>
        <v>0</v>
      </c>
      <c r="P51" s="24">
        <f>IF(COUNTBLANK(E51:O51)&gt;0,"",'02_의사결정·종합결과'!$E$53*(IF(E51="S",5,IF(E51="A",4,IF(E51="B",3,IF(E51="C",2,IF(E51="D",1,0))))))+'02_의사결정·종합결과'!$E$54*(IF(F51="S",5,IF(F51="A",4,IF(F51="B",3,IF(F51="C",2,IF(F51="D",1,0))))))+'02_의사결정·종합결과'!$E$55*(IF(G51="S",5,IF(G51="A",4,IF(G51="B",3,IF(G51="C",2,IF(G51="D",1,0))))))+'02_의사결정·종합결과'!$E$56*(IF(H51="S",5,IF(H51="A",4,IF(H51="B",3,IF(H51="C",2,IF(H51="D",1,0))))))+'02_의사결정·종합결과'!$E$57*(IF(I51="S",5,IF(I51="A",4,IF(I51="B",3,IF(I51="C",2,IF(I51="D",1,0))))))+'02_의사결정·종합결과'!$E$58*(IF(J51="S",5,IF(J51="A",4,IF(J51="B",3,IF(J51="C",2,IF(J51="D",1,0))))))+'02_의사결정·종합결과'!$E$59*(IF(K51="S",5,IF(K51="A",4,IF(K51="B",3,IF(K51="C",2,IF(K51="D",1,0))))))+'02_의사결정·종합결과'!$E$60*(IF(L51="S",5,IF(L51="A",4,IF(L51="B",3,IF(L51="C",2,IF(L51="D",1,0))))))+'02_의사결정·종합결과'!$E$61*(IF(M51="S",5,IF(M51="A",4,IF(M51="B",3,IF(M51="C",2,IF(M51="D",1,0))))))+'02_의사결정·종합결과'!$E$62*(IF(N51="S",5,IF(N51="A",4,IF(N51="B",3,IF(N51="C",2,IF(N51="D",1,0))))))+'02_의사결정·종합결과'!$E$63*(IF(O51="S",5,IF(O51="A",4,IF(O51="B",3,IF(O51="C",2,IF(O51="D",1,0)))))))</f>
        <v>0</v>
      </c>
      <c r="Q51" s="15" t="str">
        <f t="shared" si="1"/>
        <v>D</v>
      </c>
    </row>
    <row r="52" spans="1:17" x14ac:dyDescent="0.6">
      <c r="A52" s="15">
        <f>'01_인적정보'!A13</f>
        <v>9</v>
      </c>
      <c r="B52" s="15" t="str">
        <f>'01_인적정보'!B13</f>
        <v>BSS-009</v>
      </c>
      <c r="C52" s="15" t="str">
        <f>'01_인적정보'!C13</f>
        <v>박남식</v>
      </c>
      <c r="D52" s="15" t="str">
        <f>'01_인적정보'!H13</f>
        <v>G5</v>
      </c>
      <c r="E52" s="15">
        <f>'07_결과취합'!N52</f>
        <v>0</v>
      </c>
      <c r="F52" s="15">
        <f>'07_결과취합'!O52</f>
        <v>0</v>
      </c>
      <c r="G52" s="15">
        <f>'07_결과취합'!P52</f>
        <v>0</v>
      </c>
      <c r="H52" s="15">
        <f>'07_결과취합'!Q52</f>
        <v>0</v>
      </c>
      <c r="I52" s="15">
        <f>'07_결과취합'!R52</f>
        <v>0</v>
      </c>
      <c r="J52" s="15">
        <f>'07_결과취합'!S52</f>
        <v>0</v>
      </c>
      <c r="K52" s="15">
        <f>'07_결과취합'!T52</f>
        <v>0</v>
      </c>
      <c r="L52" s="15">
        <f>'07_결과취합'!U52</f>
        <v>0</v>
      </c>
      <c r="M52" s="15">
        <f>'07_결과취합'!V52</f>
        <v>0</v>
      </c>
      <c r="N52" s="15">
        <f>'07_결과취합'!W52</f>
        <v>0</v>
      </c>
      <c r="O52" s="15">
        <f>'07_결과취합'!X52</f>
        <v>0</v>
      </c>
      <c r="P52" s="24">
        <f>IF(COUNTBLANK(E52:O52)&gt;0,"",'02_의사결정·종합결과'!$E$53*(IF(E52="S",5,IF(E52="A",4,IF(E52="B",3,IF(E52="C",2,IF(E52="D",1,0))))))+'02_의사결정·종합결과'!$E$54*(IF(F52="S",5,IF(F52="A",4,IF(F52="B",3,IF(F52="C",2,IF(F52="D",1,0))))))+'02_의사결정·종합결과'!$E$55*(IF(G52="S",5,IF(G52="A",4,IF(G52="B",3,IF(G52="C",2,IF(G52="D",1,0))))))+'02_의사결정·종합결과'!$E$56*(IF(H52="S",5,IF(H52="A",4,IF(H52="B",3,IF(H52="C",2,IF(H52="D",1,0))))))+'02_의사결정·종합결과'!$E$57*(IF(I52="S",5,IF(I52="A",4,IF(I52="B",3,IF(I52="C",2,IF(I52="D",1,0))))))+'02_의사결정·종합결과'!$E$58*(IF(J52="S",5,IF(J52="A",4,IF(J52="B",3,IF(J52="C",2,IF(J52="D",1,0))))))+'02_의사결정·종합결과'!$E$59*(IF(K52="S",5,IF(K52="A",4,IF(K52="B",3,IF(K52="C",2,IF(K52="D",1,0))))))+'02_의사결정·종합결과'!$E$60*(IF(L52="S",5,IF(L52="A",4,IF(L52="B",3,IF(L52="C",2,IF(L52="D",1,0))))))+'02_의사결정·종합결과'!$E$61*(IF(M52="S",5,IF(M52="A",4,IF(M52="B",3,IF(M52="C",2,IF(M52="D",1,0))))))+'02_의사결정·종합결과'!$E$62*(IF(N52="S",5,IF(N52="A",4,IF(N52="B",3,IF(N52="C",2,IF(N52="D",1,0))))))+'02_의사결정·종합결과'!$E$63*(IF(O52="S",5,IF(O52="A",4,IF(O52="B",3,IF(O52="C",2,IF(O52="D",1,0)))))))</f>
        <v>0</v>
      </c>
      <c r="Q52" s="15" t="str">
        <f t="shared" si="1"/>
        <v>D</v>
      </c>
    </row>
    <row r="53" spans="1:17" x14ac:dyDescent="0.6">
      <c r="A53" s="15">
        <f>'01_인적정보'!A14</f>
        <v>10</v>
      </c>
      <c r="B53" s="15" t="str">
        <f>'01_인적정보'!B14</f>
        <v>BSS-010</v>
      </c>
      <c r="C53" s="15" t="str">
        <f>'01_인적정보'!C14</f>
        <v>신재민</v>
      </c>
      <c r="D53" s="15" t="str">
        <f>'01_인적정보'!H14</f>
        <v>G5</v>
      </c>
      <c r="E53" s="15">
        <f>'07_결과취합'!N53</f>
        <v>0</v>
      </c>
      <c r="F53" s="15">
        <f>'07_결과취합'!O53</f>
        <v>0</v>
      </c>
      <c r="G53" s="15">
        <f>'07_결과취합'!P53</f>
        <v>0</v>
      </c>
      <c r="H53" s="15">
        <f>'07_결과취합'!Q53</f>
        <v>0</v>
      </c>
      <c r="I53" s="15">
        <f>'07_결과취합'!R53</f>
        <v>0</v>
      </c>
      <c r="J53" s="15">
        <f>'07_결과취합'!S53</f>
        <v>0</v>
      </c>
      <c r="K53" s="15">
        <f>'07_결과취합'!T53</f>
        <v>0</v>
      </c>
      <c r="L53" s="15">
        <f>'07_결과취합'!U53</f>
        <v>0</v>
      </c>
      <c r="M53" s="15">
        <f>'07_결과취합'!V53</f>
        <v>0</v>
      </c>
      <c r="N53" s="15">
        <f>'07_결과취합'!W53</f>
        <v>0</v>
      </c>
      <c r="O53" s="15">
        <f>'07_결과취합'!X53</f>
        <v>0</v>
      </c>
      <c r="P53" s="24">
        <f>IF(COUNTBLANK(E53:O53)&gt;0,"",'02_의사결정·종합결과'!$E$53*(IF(E53="S",5,IF(E53="A",4,IF(E53="B",3,IF(E53="C",2,IF(E53="D",1,0))))))+'02_의사결정·종합결과'!$E$54*(IF(F53="S",5,IF(F53="A",4,IF(F53="B",3,IF(F53="C",2,IF(F53="D",1,0))))))+'02_의사결정·종합결과'!$E$55*(IF(G53="S",5,IF(G53="A",4,IF(G53="B",3,IF(G53="C",2,IF(G53="D",1,0))))))+'02_의사결정·종합결과'!$E$56*(IF(H53="S",5,IF(H53="A",4,IF(H53="B",3,IF(H53="C",2,IF(H53="D",1,0))))))+'02_의사결정·종합결과'!$E$57*(IF(I53="S",5,IF(I53="A",4,IF(I53="B",3,IF(I53="C",2,IF(I53="D",1,0))))))+'02_의사결정·종합결과'!$E$58*(IF(J53="S",5,IF(J53="A",4,IF(J53="B",3,IF(J53="C",2,IF(J53="D",1,0))))))+'02_의사결정·종합결과'!$E$59*(IF(K53="S",5,IF(K53="A",4,IF(K53="B",3,IF(K53="C",2,IF(K53="D",1,0))))))+'02_의사결정·종합결과'!$E$60*(IF(L53="S",5,IF(L53="A",4,IF(L53="B",3,IF(L53="C",2,IF(L53="D",1,0))))))+'02_의사결정·종합결과'!$E$61*(IF(M53="S",5,IF(M53="A",4,IF(M53="B",3,IF(M53="C",2,IF(M53="D",1,0))))))+'02_의사결정·종합결과'!$E$62*(IF(N53="S",5,IF(N53="A",4,IF(N53="B",3,IF(N53="C",2,IF(N53="D",1,0))))))+'02_의사결정·종합결과'!$E$63*(IF(O53="S",5,IF(O53="A",4,IF(O53="B",3,IF(O53="C",2,IF(O53="D",1,0)))))))</f>
        <v>0</v>
      </c>
      <c r="Q53" s="15" t="str">
        <f t="shared" si="1"/>
        <v>D</v>
      </c>
    </row>
    <row r="54" spans="1:17" x14ac:dyDescent="0.6">
      <c r="A54" s="15">
        <f>'01_인적정보'!A15</f>
        <v>11</v>
      </c>
      <c r="B54" s="15" t="str">
        <f>'01_인적정보'!B15</f>
        <v>BSS-011</v>
      </c>
      <c r="C54" s="15" t="str">
        <f>'01_인적정보'!C15</f>
        <v>마장엽</v>
      </c>
      <c r="D54" s="15" t="str">
        <f>'01_인적정보'!H15</f>
        <v>G5</v>
      </c>
      <c r="E54" s="15">
        <f>'07_결과취합'!N54</f>
        <v>0</v>
      </c>
      <c r="F54" s="15">
        <f>'07_결과취합'!O54</f>
        <v>0</v>
      </c>
      <c r="G54" s="15">
        <f>'07_결과취합'!P54</f>
        <v>0</v>
      </c>
      <c r="H54" s="15">
        <f>'07_결과취합'!Q54</f>
        <v>0</v>
      </c>
      <c r="I54" s="15">
        <f>'07_결과취합'!R54</f>
        <v>0</v>
      </c>
      <c r="J54" s="15">
        <f>'07_결과취합'!S54</f>
        <v>0</v>
      </c>
      <c r="K54" s="15">
        <f>'07_결과취합'!T54</f>
        <v>0</v>
      </c>
      <c r="L54" s="15">
        <f>'07_결과취합'!U54</f>
        <v>0</v>
      </c>
      <c r="M54" s="15">
        <f>'07_결과취합'!V54</f>
        <v>0</v>
      </c>
      <c r="N54" s="15">
        <f>'07_결과취합'!W54</f>
        <v>0</v>
      </c>
      <c r="O54" s="15">
        <f>'07_결과취합'!X54</f>
        <v>0</v>
      </c>
      <c r="P54" s="24">
        <f>IF(COUNTBLANK(E54:O54)&gt;0,"",'02_의사결정·종합결과'!$E$53*(IF(E54="S",5,IF(E54="A",4,IF(E54="B",3,IF(E54="C",2,IF(E54="D",1,0))))))+'02_의사결정·종합결과'!$E$54*(IF(F54="S",5,IF(F54="A",4,IF(F54="B",3,IF(F54="C",2,IF(F54="D",1,0))))))+'02_의사결정·종합결과'!$E$55*(IF(G54="S",5,IF(G54="A",4,IF(G54="B",3,IF(G54="C",2,IF(G54="D",1,0))))))+'02_의사결정·종합결과'!$E$56*(IF(H54="S",5,IF(H54="A",4,IF(H54="B",3,IF(H54="C",2,IF(H54="D",1,0))))))+'02_의사결정·종합결과'!$E$57*(IF(I54="S",5,IF(I54="A",4,IF(I54="B",3,IF(I54="C",2,IF(I54="D",1,0))))))+'02_의사결정·종합결과'!$E$58*(IF(J54="S",5,IF(J54="A",4,IF(J54="B",3,IF(J54="C",2,IF(J54="D",1,0))))))+'02_의사결정·종합결과'!$E$59*(IF(K54="S",5,IF(K54="A",4,IF(K54="B",3,IF(K54="C",2,IF(K54="D",1,0))))))+'02_의사결정·종합결과'!$E$60*(IF(L54="S",5,IF(L54="A",4,IF(L54="B",3,IF(L54="C",2,IF(L54="D",1,0))))))+'02_의사결정·종합결과'!$E$61*(IF(M54="S",5,IF(M54="A",4,IF(M54="B",3,IF(M54="C",2,IF(M54="D",1,0))))))+'02_의사결정·종합결과'!$E$62*(IF(N54="S",5,IF(N54="A",4,IF(N54="B",3,IF(N54="C",2,IF(N54="D",1,0))))))+'02_의사결정·종합결과'!$E$63*(IF(O54="S",5,IF(O54="A",4,IF(O54="B",3,IF(O54="C",2,IF(O54="D",1,0)))))))</f>
        <v>0</v>
      </c>
      <c r="Q54" s="15" t="str">
        <f t="shared" si="1"/>
        <v>D</v>
      </c>
    </row>
    <row r="55" spans="1:17" x14ac:dyDescent="0.6">
      <c r="A55" s="15">
        <f>'01_인적정보'!A16</f>
        <v>12</v>
      </c>
      <c r="B55" s="15" t="str">
        <f>'01_인적정보'!B16</f>
        <v>BSS-012</v>
      </c>
      <c r="C55" s="15" t="str">
        <f>'01_인적정보'!C16</f>
        <v>하은주</v>
      </c>
      <c r="D55" s="15" t="str">
        <f>'01_인적정보'!H16</f>
        <v>G5</v>
      </c>
      <c r="E55" s="15">
        <f>'07_결과취합'!N55</f>
        <v>0</v>
      </c>
      <c r="F55" s="15">
        <f>'07_결과취합'!O55</f>
        <v>0</v>
      </c>
      <c r="G55" s="15">
        <f>'07_결과취합'!P55</f>
        <v>0</v>
      </c>
      <c r="H55" s="15">
        <f>'07_결과취합'!Q55</f>
        <v>0</v>
      </c>
      <c r="I55" s="15">
        <f>'07_결과취합'!R55</f>
        <v>0</v>
      </c>
      <c r="J55" s="15">
        <f>'07_결과취합'!S55</f>
        <v>0</v>
      </c>
      <c r="K55" s="15">
        <f>'07_결과취합'!T55</f>
        <v>0</v>
      </c>
      <c r="L55" s="15">
        <f>'07_결과취합'!U55</f>
        <v>0</v>
      </c>
      <c r="M55" s="15">
        <f>'07_결과취합'!V55</f>
        <v>0</v>
      </c>
      <c r="N55" s="15">
        <f>'07_결과취합'!W55</f>
        <v>0</v>
      </c>
      <c r="O55" s="15">
        <f>'07_결과취합'!X55</f>
        <v>0</v>
      </c>
      <c r="P55" s="24">
        <f>IF(COUNTBLANK(E55:O55)&gt;0,"",'02_의사결정·종합결과'!$E$53*(IF(E55="S",5,IF(E55="A",4,IF(E55="B",3,IF(E55="C",2,IF(E55="D",1,0))))))+'02_의사결정·종합결과'!$E$54*(IF(F55="S",5,IF(F55="A",4,IF(F55="B",3,IF(F55="C",2,IF(F55="D",1,0))))))+'02_의사결정·종합결과'!$E$55*(IF(G55="S",5,IF(G55="A",4,IF(G55="B",3,IF(G55="C",2,IF(G55="D",1,0))))))+'02_의사결정·종합결과'!$E$56*(IF(H55="S",5,IF(H55="A",4,IF(H55="B",3,IF(H55="C",2,IF(H55="D",1,0))))))+'02_의사결정·종합결과'!$E$57*(IF(I55="S",5,IF(I55="A",4,IF(I55="B",3,IF(I55="C",2,IF(I55="D",1,0))))))+'02_의사결정·종합결과'!$E$58*(IF(J55="S",5,IF(J55="A",4,IF(J55="B",3,IF(J55="C",2,IF(J55="D",1,0))))))+'02_의사결정·종합결과'!$E$59*(IF(K55="S",5,IF(K55="A",4,IF(K55="B",3,IF(K55="C",2,IF(K55="D",1,0))))))+'02_의사결정·종합결과'!$E$60*(IF(L55="S",5,IF(L55="A",4,IF(L55="B",3,IF(L55="C",2,IF(L55="D",1,0))))))+'02_의사결정·종합결과'!$E$61*(IF(M55="S",5,IF(M55="A",4,IF(M55="B",3,IF(M55="C",2,IF(M55="D",1,0))))))+'02_의사결정·종합결과'!$E$62*(IF(N55="S",5,IF(N55="A",4,IF(N55="B",3,IF(N55="C",2,IF(N55="D",1,0))))))+'02_의사결정·종합결과'!$E$63*(IF(O55="S",5,IF(O55="A",4,IF(O55="B",3,IF(O55="C",2,IF(O55="D",1,0)))))))</f>
        <v>0</v>
      </c>
      <c r="Q55" s="15" t="str">
        <f t="shared" si="1"/>
        <v>D</v>
      </c>
    </row>
    <row r="56" spans="1:17" x14ac:dyDescent="0.6">
      <c r="A56" s="15">
        <f>'01_인적정보'!A17</f>
        <v>13</v>
      </c>
      <c r="B56" s="15" t="str">
        <f>'01_인적정보'!B17</f>
        <v>BSS-013</v>
      </c>
      <c r="C56" s="15" t="str">
        <f>'01_인적정보'!C17</f>
        <v>홍사훈</v>
      </c>
      <c r="D56" s="15" t="str">
        <f>'01_인적정보'!H17</f>
        <v>G5</v>
      </c>
      <c r="E56" s="15">
        <f>'07_결과취합'!N56</f>
        <v>0</v>
      </c>
      <c r="F56" s="15">
        <f>'07_결과취합'!O56</f>
        <v>0</v>
      </c>
      <c r="G56" s="15">
        <f>'07_결과취합'!P56</f>
        <v>0</v>
      </c>
      <c r="H56" s="15">
        <f>'07_결과취합'!Q56</f>
        <v>0</v>
      </c>
      <c r="I56" s="15">
        <f>'07_결과취합'!R56</f>
        <v>0</v>
      </c>
      <c r="J56" s="15">
        <f>'07_결과취합'!S56</f>
        <v>0</v>
      </c>
      <c r="K56" s="15">
        <f>'07_결과취합'!T56</f>
        <v>0</v>
      </c>
      <c r="L56" s="15">
        <f>'07_결과취합'!U56</f>
        <v>0</v>
      </c>
      <c r="M56" s="15">
        <f>'07_결과취합'!V56</f>
        <v>0</v>
      </c>
      <c r="N56" s="15">
        <f>'07_결과취합'!W56</f>
        <v>0</v>
      </c>
      <c r="O56" s="15">
        <f>'07_결과취합'!X56</f>
        <v>0</v>
      </c>
      <c r="P56" s="24">
        <f>IF(COUNTBLANK(E56:O56)&gt;0,"",'02_의사결정·종합결과'!$E$53*(IF(E56="S",5,IF(E56="A",4,IF(E56="B",3,IF(E56="C",2,IF(E56="D",1,0))))))+'02_의사결정·종합결과'!$E$54*(IF(F56="S",5,IF(F56="A",4,IF(F56="B",3,IF(F56="C",2,IF(F56="D",1,0))))))+'02_의사결정·종합결과'!$E$55*(IF(G56="S",5,IF(G56="A",4,IF(G56="B",3,IF(G56="C",2,IF(G56="D",1,0))))))+'02_의사결정·종합결과'!$E$56*(IF(H56="S",5,IF(H56="A",4,IF(H56="B",3,IF(H56="C",2,IF(H56="D",1,0))))))+'02_의사결정·종합결과'!$E$57*(IF(I56="S",5,IF(I56="A",4,IF(I56="B",3,IF(I56="C",2,IF(I56="D",1,0))))))+'02_의사결정·종합결과'!$E$58*(IF(J56="S",5,IF(J56="A",4,IF(J56="B",3,IF(J56="C",2,IF(J56="D",1,0))))))+'02_의사결정·종합결과'!$E$59*(IF(K56="S",5,IF(K56="A",4,IF(K56="B",3,IF(K56="C",2,IF(K56="D",1,0))))))+'02_의사결정·종합결과'!$E$60*(IF(L56="S",5,IF(L56="A",4,IF(L56="B",3,IF(L56="C",2,IF(L56="D",1,0))))))+'02_의사결정·종합결과'!$E$61*(IF(M56="S",5,IF(M56="A",4,IF(M56="B",3,IF(M56="C",2,IF(M56="D",1,0))))))+'02_의사결정·종합결과'!$E$62*(IF(N56="S",5,IF(N56="A",4,IF(N56="B",3,IF(N56="C",2,IF(N56="D",1,0))))))+'02_의사결정·종합결과'!$E$63*(IF(O56="S",5,IF(O56="A",4,IF(O56="B",3,IF(O56="C",2,IF(O56="D",1,0)))))))</f>
        <v>0</v>
      </c>
      <c r="Q56" s="15" t="str">
        <f t="shared" si="1"/>
        <v>D</v>
      </c>
    </row>
    <row r="57" spans="1:17" x14ac:dyDescent="0.6">
      <c r="A57" s="15">
        <f>'01_인적정보'!A18</f>
        <v>14</v>
      </c>
      <c r="B57" s="15" t="str">
        <f>'01_인적정보'!B18</f>
        <v>BSS-014</v>
      </c>
      <c r="C57" s="15" t="str">
        <f>'01_인적정보'!C18</f>
        <v>유자영</v>
      </c>
      <c r="D57" s="15" t="str">
        <f>'01_인적정보'!H18</f>
        <v>G5</v>
      </c>
      <c r="E57" s="15">
        <f>'07_결과취합'!N57</f>
        <v>0</v>
      </c>
      <c r="F57" s="15">
        <f>'07_결과취합'!O57</f>
        <v>0</v>
      </c>
      <c r="G57" s="15">
        <f>'07_결과취합'!P57</f>
        <v>0</v>
      </c>
      <c r="H57" s="15">
        <f>'07_결과취합'!Q57</f>
        <v>0</v>
      </c>
      <c r="I57" s="15">
        <f>'07_결과취합'!R57</f>
        <v>0</v>
      </c>
      <c r="J57" s="15">
        <f>'07_결과취합'!S57</f>
        <v>0</v>
      </c>
      <c r="K57" s="15">
        <f>'07_결과취합'!T57</f>
        <v>0</v>
      </c>
      <c r="L57" s="15">
        <f>'07_결과취합'!U57</f>
        <v>0</v>
      </c>
      <c r="M57" s="15">
        <f>'07_결과취합'!V57</f>
        <v>0</v>
      </c>
      <c r="N57" s="15">
        <f>'07_결과취합'!W57</f>
        <v>0</v>
      </c>
      <c r="O57" s="15">
        <f>'07_결과취합'!X57</f>
        <v>0</v>
      </c>
      <c r="P57" s="24">
        <f>IF(COUNTBLANK(E57:O57)&gt;0,"",'02_의사결정·종합결과'!$E$53*(IF(E57="S",5,IF(E57="A",4,IF(E57="B",3,IF(E57="C",2,IF(E57="D",1,0))))))+'02_의사결정·종합결과'!$E$54*(IF(F57="S",5,IF(F57="A",4,IF(F57="B",3,IF(F57="C",2,IF(F57="D",1,0))))))+'02_의사결정·종합결과'!$E$55*(IF(G57="S",5,IF(G57="A",4,IF(G57="B",3,IF(G57="C",2,IF(G57="D",1,0))))))+'02_의사결정·종합결과'!$E$56*(IF(H57="S",5,IF(H57="A",4,IF(H57="B",3,IF(H57="C",2,IF(H57="D",1,0))))))+'02_의사결정·종합결과'!$E$57*(IF(I57="S",5,IF(I57="A",4,IF(I57="B",3,IF(I57="C",2,IF(I57="D",1,0))))))+'02_의사결정·종합결과'!$E$58*(IF(J57="S",5,IF(J57="A",4,IF(J57="B",3,IF(J57="C",2,IF(J57="D",1,0))))))+'02_의사결정·종합결과'!$E$59*(IF(K57="S",5,IF(K57="A",4,IF(K57="B",3,IF(K57="C",2,IF(K57="D",1,0))))))+'02_의사결정·종합결과'!$E$60*(IF(L57="S",5,IF(L57="A",4,IF(L57="B",3,IF(L57="C",2,IF(L57="D",1,0))))))+'02_의사결정·종합결과'!$E$61*(IF(M57="S",5,IF(M57="A",4,IF(M57="B",3,IF(M57="C",2,IF(M57="D",1,0))))))+'02_의사결정·종합결과'!$E$62*(IF(N57="S",5,IF(N57="A",4,IF(N57="B",3,IF(N57="C",2,IF(N57="D",1,0))))))+'02_의사결정·종합결과'!$E$63*(IF(O57="S",5,IF(O57="A",4,IF(O57="B",3,IF(O57="C",2,IF(O57="D",1,0)))))))</f>
        <v>0</v>
      </c>
      <c r="Q57" s="15" t="str">
        <f t="shared" si="1"/>
        <v>D</v>
      </c>
    </row>
    <row r="58" spans="1:17" x14ac:dyDescent="0.6">
      <c r="A58" s="15">
        <f>'01_인적정보'!A19</f>
        <v>15</v>
      </c>
      <c r="B58" s="15" t="str">
        <f>'01_인적정보'!B19</f>
        <v>BSS-015</v>
      </c>
      <c r="C58" s="15" t="str">
        <f>'01_인적정보'!C19</f>
        <v>민지선</v>
      </c>
      <c r="D58" s="15" t="str">
        <f>'01_인적정보'!H19</f>
        <v>G5</v>
      </c>
      <c r="E58" s="15">
        <f>'07_결과취합'!N58</f>
        <v>0</v>
      </c>
      <c r="F58" s="15">
        <f>'07_결과취합'!O58</f>
        <v>0</v>
      </c>
      <c r="G58" s="15">
        <f>'07_결과취합'!P58</f>
        <v>0</v>
      </c>
      <c r="H58" s="15">
        <f>'07_결과취합'!Q58</f>
        <v>0</v>
      </c>
      <c r="I58" s="15">
        <f>'07_결과취합'!R58</f>
        <v>0</v>
      </c>
      <c r="J58" s="15">
        <f>'07_결과취합'!S58</f>
        <v>0</v>
      </c>
      <c r="K58" s="15">
        <f>'07_결과취합'!T58</f>
        <v>0</v>
      </c>
      <c r="L58" s="15">
        <f>'07_결과취합'!U58</f>
        <v>0</v>
      </c>
      <c r="M58" s="15">
        <f>'07_결과취합'!V58</f>
        <v>0</v>
      </c>
      <c r="N58" s="15">
        <f>'07_결과취합'!W58</f>
        <v>0</v>
      </c>
      <c r="O58" s="15">
        <f>'07_결과취합'!X58</f>
        <v>0</v>
      </c>
      <c r="P58" s="24">
        <f>IF(COUNTBLANK(E58:O58)&gt;0,"",'02_의사결정·종합결과'!$E$53*(IF(E58="S",5,IF(E58="A",4,IF(E58="B",3,IF(E58="C",2,IF(E58="D",1,0))))))+'02_의사결정·종합결과'!$E$54*(IF(F58="S",5,IF(F58="A",4,IF(F58="B",3,IF(F58="C",2,IF(F58="D",1,0))))))+'02_의사결정·종합결과'!$E$55*(IF(G58="S",5,IF(G58="A",4,IF(G58="B",3,IF(G58="C",2,IF(G58="D",1,0))))))+'02_의사결정·종합결과'!$E$56*(IF(H58="S",5,IF(H58="A",4,IF(H58="B",3,IF(H58="C",2,IF(H58="D",1,0))))))+'02_의사결정·종합결과'!$E$57*(IF(I58="S",5,IF(I58="A",4,IF(I58="B",3,IF(I58="C",2,IF(I58="D",1,0))))))+'02_의사결정·종합결과'!$E$58*(IF(J58="S",5,IF(J58="A",4,IF(J58="B",3,IF(J58="C",2,IF(J58="D",1,0))))))+'02_의사결정·종합결과'!$E$59*(IF(K58="S",5,IF(K58="A",4,IF(K58="B",3,IF(K58="C",2,IF(K58="D",1,0))))))+'02_의사결정·종합결과'!$E$60*(IF(L58="S",5,IF(L58="A",4,IF(L58="B",3,IF(L58="C",2,IF(L58="D",1,0))))))+'02_의사결정·종합결과'!$E$61*(IF(M58="S",5,IF(M58="A",4,IF(M58="B",3,IF(M58="C",2,IF(M58="D",1,0))))))+'02_의사결정·종합결과'!$E$62*(IF(N58="S",5,IF(N58="A",4,IF(N58="B",3,IF(N58="C",2,IF(N58="D",1,0))))))+'02_의사결정·종합결과'!$E$63*(IF(O58="S",5,IF(O58="A",4,IF(O58="B",3,IF(O58="C",2,IF(O58="D",1,0)))))))</f>
        <v>0</v>
      </c>
      <c r="Q58" s="15" t="str">
        <f t="shared" si="1"/>
        <v>D</v>
      </c>
    </row>
    <row r="59" spans="1:17" x14ac:dyDescent="0.6">
      <c r="A59" s="15">
        <f>'01_인적정보'!A20</f>
        <v>16</v>
      </c>
      <c r="B59" s="15" t="str">
        <f>'01_인적정보'!B20</f>
        <v>BSS-016</v>
      </c>
      <c r="C59" s="15" t="str">
        <f>'01_인적정보'!C20</f>
        <v>장훈</v>
      </c>
      <c r="D59" s="15" t="str">
        <f>'01_인적정보'!H20</f>
        <v>G5</v>
      </c>
      <c r="E59" s="15">
        <f>'07_결과취합'!N59</f>
        <v>0</v>
      </c>
      <c r="F59" s="15">
        <f>'07_결과취합'!O59</f>
        <v>0</v>
      </c>
      <c r="G59" s="15">
        <f>'07_결과취합'!P59</f>
        <v>0</v>
      </c>
      <c r="H59" s="15">
        <f>'07_결과취합'!Q59</f>
        <v>0</v>
      </c>
      <c r="I59" s="15">
        <f>'07_결과취합'!R59</f>
        <v>0</v>
      </c>
      <c r="J59" s="15">
        <f>'07_결과취합'!S59</f>
        <v>0</v>
      </c>
      <c r="K59" s="15">
        <f>'07_결과취합'!T59</f>
        <v>0</v>
      </c>
      <c r="L59" s="15">
        <f>'07_결과취합'!U59</f>
        <v>0</v>
      </c>
      <c r="M59" s="15">
        <f>'07_결과취합'!V59</f>
        <v>0</v>
      </c>
      <c r="N59" s="15">
        <f>'07_결과취합'!W59</f>
        <v>0</v>
      </c>
      <c r="O59" s="15">
        <f>'07_결과취합'!X59</f>
        <v>0</v>
      </c>
      <c r="P59" s="24">
        <f>IF(COUNTBLANK(E59:O59)&gt;0,"",'02_의사결정·종합결과'!$E$53*(IF(E59="S",5,IF(E59="A",4,IF(E59="B",3,IF(E59="C",2,IF(E59="D",1,0))))))+'02_의사결정·종합결과'!$E$54*(IF(F59="S",5,IF(F59="A",4,IF(F59="B",3,IF(F59="C",2,IF(F59="D",1,0))))))+'02_의사결정·종합결과'!$E$55*(IF(G59="S",5,IF(G59="A",4,IF(G59="B",3,IF(G59="C",2,IF(G59="D",1,0))))))+'02_의사결정·종합결과'!$E$56*(IF(H59="S",5,IF(H59="A",4,IF(H59="B",3,IF(H59="C",2,IF(H59="D",1,0))))))+'02_의사결정·종합결과'!$E$57*(IF(I59="S",5,IF(I59="A",4,IF(I59="B",3,IF(I59="C",2,IF(I59="D",1,0))))))+'02_의사결정·종합결과'!$E$58*(IF(J59="S",5,IF(J59="A",4,IF(J59="B",3,IF(J59="C",2,IF(J59="D",1,0))))))+'02_의사결정·종합결과'!$E$59*(IF(K59="S",5,IF(K59="A",4,IF(K59="B",3,IF(K59="C",2,IF(K59="D",1,0))))))+'02_의사결정·종합결과'!$E$60*(IF(L59="S",5,IF(L59="A",4,IF(L59="B",3,IF(L59="C",2,IF(L59="D",1,0))))))+'02_의사결정·종합결과'!$E$61*(IF(M59="S",5,IF(M59="A",4,IF(M59="B",3,IF(M59="C",2,IF(M59="D",1,0))))))+'02_의사결정·종합결과'!$E$62*(IF(N59="S",5,IF(N59="A",4,IF(N59="B",3,IF(N59="C",2,IF(N59="D",1,0))))))+'02_의사결정·종합결과'!$E$63*(IF(O59="S",5,IF(O59="A",4,IF(O59="B",3,IF(O59="C",2,IF(O59="D",1,0)))))))</f>
        <v>0</v>
      </c>
      <c r="Q59" s="15" t="str">
        <f t="shared" si="1"/>
        <v>D</v>
      </c>
    </row>
    <row r="60" spans="1:17" x14ac:dyDescent="0.6">
      <c r="A60" s="15">
        <f>'01_인적정보'!A21</f>
        <v>17</v>
      </c>
      <c r="B60" s="15" t="str">
        <f>'01_인적정보'!B21</f>
        <v>BSS-017</v>
      </c>
      <c r="C60" s="15" t="str">
        <f>'01_인적정보'!C21</f>
        <v>김우람</v>
      </c>
      <c r="D60" s="15" t="str">
        <f>'01_인적정보'!H21</f>
        <v>G4</v>
      </c>
      <c r="E60" s="15">
        <f>'07_결과취합'!N60</f>
        <v>0</v>
      </c>
      <c r="F60" s="15">
        <f>'07_결과취합'!O60</f>
        <v>0</v>
      </c>
      <c r="G60" s="15">
        <f>'07_결과취합'!P60</f>
        <v>0</v>
      </c>
      <c r="H60" s="15">
        <f>'07_결과취합'!Q60</f>
        <v>0</v>
      </c>
      <c r="I60" s="15">
        <f>'07_결과취합'!R60</f>
        <v>0</v>
      </c>
      <c r="J60" s="15">
        <f>'07_결과취합'!S60</f>
        <v>0</v>
      </c>
      <c r="K60" s="15">
        <f>'07_결과취합'!T60</f>
        <v>0</v>
      </c>
      <c r="L60" s="15">
        <f>'07_결과취합'!U60</f>
        <v>0</v>
      </c>
      <c r="M60" s="15">
        <f>'07_결과취합'!V60</f>
        <v>0</v>
      </c>
      <c r="N60" s="15">
        <f>'07_결과취합'!W60</f>
        <v>0</v>
      </c>
      <c r="O60" s="15">
        <f>'07_결과취합'!X60</f>
        <v>0</v>
      </c>
      <c r="P60" s="24">
        <f>IF(COUNTBLANK(E60:O60)&gt;0,"",'02_의사결정·종합결과'!$E$53*(IF(E60="S",5,IF(E60="A",4,IF(E60="B",3,IF(E60="C",2,IF(E60="D",1,0))))))+'02_의사결정·종합결과'!$E$54*(IF(F60="S",5,IF(F60="A",4,IF(F60="B",3,IF(F60="C",2,IF(F60="D",1,0))))))+'02_의사결정·종합결과'!$E$55*(IF(G60="S",5,IF(G60="A",4,IF(G60="B",3,IF(G60="C",2,IF(G60="D",1,0))))))+'02_의사결정·종합결과'!$E$56*(IF(H60="S",5,IF(H60="A",4,IF(H60="B",3,IF(H60="C",2,IF(H60="D",1,0))))))+'02_의사결정·종합결과'!$E$57*(IF(I60="S",5,IF(I60="A",4,IF(I60="B",3,IF(I60="C",2,IF(I60="D",1,0))))))+'02_의사결정·종합결과'!$E$58*(IF(J60="S",5,IF(J60="A",4,IF(J60="B",3,IF(J60="C",2,IF(J60="D",1,0))))))+'02_의사결정·종합결과'!$E$59*(IF(K60="S",5,IF(K60="A",4,IF(K60="B",3,IF(K60="C",2,IF(K60="D",1,0))))))+'02_의사결정·종합결과'!$E$60*(IF(L60="S",5,IF(L60="A",4,IF(L60="B",3,IF(L60="C",2,IF(L60="D",1,0))))))+'02_의사결정·종합결과'!$E$61*(IF(M60="S",5,IF(M60="A",4,IF(M60="B",3,IF(M60="C",2,IF(M60="D",1,0))))))+'02_의사결정·종합결과'!$E$62*(IF(N60="S",5,IF(N60="A",4,IF(N60="B",3,IF(N60="C",2,IF(N60="D",1,0))))))+'02_의사결정·종합결과'!$E$63*(IF(O60="S",5,IF(O60="A",4,IF(O60="B",3,IF(O60="C",2,IF(O60="D",1,0)))))))</f>
        <v>0</v>
      </c>
      <c r="Q60" s="15" t="str">
        <f t="shared" si="1"/>
        <v>D</v>
      </c>
    </row>
    <row r="61" spans="1:17" x14ac:dyDescent="0.6">
      <c r="A61" s="15">
        <f>'01_인적정보'!A22</f>
        <v>18</v>
      </c>
      <c r="B61" s="15" t="str">
        <f>'01_인적정보'!B22</f>
        <v>BSS-018</v>
      </c>
      <c r="C61" s="15" t="str">
        <f>'01_인적정보'!C22</f>
        <v>조성준</v>
      </c>
      <c r="D61" s="15" t="str">
        <f>'01_인적정보'!H22</f>
        <v>G4</v>
      </c>
      <c r="E61" s="15">
        <f>'07_결과취합'!N61</f>
        <v>0</v>
      </c>
      <c r="F61" s="15">
        <f>'07_결과취합'!O61</f>
        <v>0</v>
      </c>
      <c r="G61" s="15">
        <f>'07_결과취합'!P61</f>
        <v>0</v>
      </c>
      <c r="H61" s="15">
        <f>'07_결과취합'!Q61</f>
        <v>0</v>
      </c>
      <c r="I61" s="15">
        <f>'07_결과취합'!R61</f>
        <v>0</v>
      </c>
      <c r="J61" s="15">
        <f>'07_결과취합'!S61</f>
        <v>0</v>
      </c>
      <c r="K61" s="15">
        <f>'07_결과취합'!T61</f>
        <v>0</v>
      </c>
      <c r="L61" s="15">
        <f>'07_결과취합'!U61</f>
        <v>0</v>
      </c>
      <c r="M61" s="15">
        <f>'07_결과취합'!V61</f>
        <v>0</v>
      </c>
      <c r="N61" s="15">
        <f>'07_결과취합'!W61</f>
        <v>0</v>
      </c>
      <c r="O61" s="15">
        <f>'07_결과취합'!X61</f>
        <v>0</v>
      </c>
      <c r="P61" s="24">
        <f>IF(COUNTBLANK(E61:O61)&gt;0,"",'02_의사결정·종합결과'!$E$53*(IF(E61="S",5,IF(E61="A",4,IF(E61="B",3,IF(E61="C",2,IF(E61="D",1,0))))))+'02_의사결정·종합결과'!$E$54*(IF(F61="S",5,IF(F61="A",4,IF(F61="B",3,IF(F61="C",2,IF(F61="D",1,0))))))+'02_의사결정·종합결과'!$E$55*(IF(G61="S",5,IF(G61="A",4,IF(G61="B",3,IF(G61="C",2,IF(G61="D",1,0))))))+'02_의사결정·종합결과'!$E$56*(IF(H61="S",5,IF(H61="A",4,IF(H61="B",3,IF(H61="C",2,IF(H61="D",1,0))))))+'02_의사결정·종합결과'!$E$57*(IF(I61="S",5,IF(I61="A",4,IF(I61="B",3,IF(I61="C",2,IF(I61="D",1,0))))))+'02_의사결정·종합결과'!$E$58*(IF(J61="S",5,IF(J61="A",4,IF(J61="B",3,IF(J61="C",2,IF(J61="D",1,0))))))+'02_의사결정·종합결과'!$E$59*(IF(K61="S",5,IF(K61="A",4,IF(K61="B",3,IF(K61="C",2,IF(K61="D",1,0))))))+'02_의사결정·종합결과'!$E$60*(IF(L61="S",5,IF(L61="A",4,IF(L61="B",3,IF(L61="C",2,IF(L61="D",1,0))))))+'02_의사결정·종합결과'!$E$61*(IF(M61="S",5,IF(M61="A",4,IF(M61="B",3,IF(M61="C",2,IF(M61="D",1,0))))))+'02_의사결정·종합결과'!$E$62*(IF(N61="S",5,IF(N61="A",4,IF(N61="B",3,IF(N61="C",2,IF(N61="D",1,0))))))+'02_의사결정·종합결과'!$E$63*(IF(O61="S",5,IF(O61="A",4,IF(O61="B",3,IF(O61="C",2,IF(O61="D",1,0)))))))</f>
        <v>0</v>
      </c>
      <c r="Q61" s="15" t="str">
        <f t="shared" si="1"/>
        <v>D</v>
      </c>
    </row>
    <row r="62" spans="1:17" x14ac:dyDescent="0.6">
      <c r="A62" s="15">
        <f>'01_인적정보'!A23</f>
        <v>19</v>
      </c>
      <c r="B62" s="15" t="str">
        <f>'01_인적정보'!B23</f>
        <v>BSS-019</v>
      </c>
      <c r="C62" s="15" t="str">
        <f>'01_인적정보'!C23</f>
        <v>구서현</v>
      </c>
      <c r="D62" s="15" t="str">
        <f>'01_인적정보'!H23</f>
        <v>G2</v>
      </c>
      <c r="E62" s="15">
        <f>'07_결과취합'!N62</f>
        <v>0</v>
      </c>
      <c r="F62" s="15">
        <f>'07_결과취합'!O62</f>
        <v>0</v>
      </c>
      <c r="G62" s="15">
        <f>'07_결과취합'!P62</f>
        <v>0</v>
      </c>
      <c r="H62" s="15">
        <f>'07_결과취합'!Q62</f>
        <v>0</v>
      </c>
      <c r="I62" s="15">
        <f>'07_결과취합'!R62</f>
        <v>0</v>
      </c>
      <c r="J62" s="15">
        <f>'07_결과취합'!S62</f>
        <v>0</v>
      </c>
      <c r="K62" s="15">
        <f>'07_결과취합'!T62</f>
        <v>0</v>
      </c>
      <c r="L62" s="15">
        <f>'07_결과취합'!U62</f>
        <v>0</v>
      </c>
      <c r="M62" s="15">
        <f>'07_결과취합'!V62</f>
        <v>0</v>
      </c>
      <c r="N62" s="15">
        <f>'07_결과취합'!W62</f>
        <v>0</v>
      </c>
      <c r="O62" s="15">
        <f>'07_결과취합'!X62</f>
        <v>0</v>
      </c>
      <c r="P62" s="24">
        <f>IF(COUNTBLANK(E62:O62)&gt;0,"",'02_의사결정·종합결과'!$E$53*(IF(E62="S",5,IF(E62="A",4,IF(E62="B",3,IF(E62="C",2,IF(E62="D",1,0))))))+'02_의사결정·종합결과'!$E$54*(IF(F62="S",5,IF(F62="A",4,IF(F62="B",3,IF(F62="C",2,IF(F62="D",1,0))))))+'02_의사결정·종합결과'!$E$55*(IF(G62="S",5,IF(G62="A",4,IF(G62="B",3,IF(G62="C",2,IF(G62="D",1,0))))))+'02_의사결정·종합결과'!$E$56*(IF(H62="S",5,IF(H62="A",4,IF(H62="B",3,IF(H62="C",2,IF(H62="D",1,0))))))+'02_의사결정·종합결과'!$E$57*(IF(I62="S",5,IF(I62="A",4,IF(I62="B",3,IF(I62="C",2,IF(I62="D",1,0))))))+'02_의사결정·종합결과'!$E$58*(IF(J62="S",5,IF(J62="A",4,IF(J62="B",3,IF(J62="C",2,IF(J62="D",1,0))))))+'02_의사결정·종합결과'!$E$59*(IF(K62="S",5,IF(K62="A",4,IF(K62="B",3,IF(K62="C",2,IF(K62="D",1,0))))))+'02_의사결정·종합결과'!$E$60*(IF(L62="S",5,IF(L62="A",4,IF(L62="B",3,IF(L62="C",2,IF(L62="D",1,0))))))+'02_의사결정·종합결과'!$E$61*(IF(M62="S",5,IF(M62="A",4,IF(M62="B",3,IF(M62="C",2,IF(M62="D",1,0))))))+'02_의사결정·종합결과'!$E$62*(IF(N62="S",5,IF(N62="A",4,IF(N62="B",3,IF(N62="C",2,IF(N62="D",1,0))))))+'02_의사결정·종합결과'!$E$63*(IF(O62="S",5,IF(O62="A",4,IF(O62="B",3,IF(O62="C",2,IF(O62="D",1,0)))))))</f>
        <v>0</v>
      </c>
      <c r="Q62" s="15" t="str">
        <f t="shared" si="1"/>
        <v>D</v>
      </c>
    </row>
    <row r="63" spans="1:17" x14ac:dyDescent="0.6">
      <c r="A63" s="15">
        <f>'01_인적정보'!A24</f>
        <v>20</v>
      </c>
      <c r="B63" s="15" t="str">
        <f>'01_인적정보'!B24</f>
        <v>BSS-020</v>
      </c>
      <c r="C63" s="15" t="str">
        <f>'01_인적정보'!C24</f>
        <v>박진용</v>
      </c>
      <c r="D63" s="15" t="str">
        <f>'01_인적정보'!H24</f>
        <v>G3</v>
      </c>
      <c r="E63" s="15">
        <f>'07_결과취합'!N63</f>
        <v>0</v>
      </c>
      <c r="F63" s="15">
        <f>'07_결과취합'!O63</f>
        <v>0</v>
      </c>
      <c r="G63" s="15">
        <f>'07_결과취합'!P63</f>
        <v>0</v>
      </c>
      <c r="H63" s="15">
        <f>'07_결과취합'!Q63</f>
        <v>0</v>
      </c>
      <c r="I63" s="15">
        <f>'07_결과취합'!R63</f>
        <v>0</v>
      </c>
      <c r="J63" s="15">
        <f>'07_결과취합'!S63</f>
        <v>0</v>
      </c>
      <c r="K63" s="15">
        <f>'07_결과취합'!T63</f>
        <v>0</v>
      </c>
      <c r="L63" s="15">
        <f>'07_결과취합'!U63</f>
        <v>0</v>
      </c>
      <c r="M63" s="15">
        <f>'07_결과취합'!V63</f>
        <v>0</v>
      </c>
      <c r="N63" s="15">
        <f>'07_결과취합'!W63</f>
        <v>0</v>
      </c>
      <c r="O63" s="15">
        <f>'07_결과취합'!X63</f>
        <v>0</v>
      </c>
      <c r="P63" s="24">
        <f>IF(COUNTBLANK(E63:O63)&gt;0,"",'02_의사결정·종합결과'!$E$53*(IF(E63="S",5,IF(E63="A",4,IF(E63="B",3,IF(E63="C",2,IF(E63="D",1,0))))))+'02_의사결정·종합결과'!$E$54*(IF(F63="S",5,IF(F63="A",4,IF(F63="B",3,IF(F63="C",2,IF(F63="D",1,0))))))+'02_의사결정·종합결과'!$E$55*(IF(G63="S",5,IF(G63="A",4,IF(G63="B",3,IF(G63="C",2,IF(G63="D",1,0))))))+'02_의사결정·종합결과'!$E$56*(IF(H63="S",5,IF(H63="A",4,IF(H63="B",3,IF(H63="C",2,IF(H63="D",1,0))))))+'02_의사결정·종합결과'!$E$57*(IF(I63="S",5,IF(I63="A",4,IF(I63="B",3,IF(I63="C",2,IF(I63="D",1,0))))))+'02_의사결정·종합결과'!$E$58*(IF(J63="S",5,IF(J63="A",4,IF(J63="B",3,IF(J63="C",2,IF(J63="D",1,0))))))+'02_의사결정·종합결과'!$E$59*(IF(K63="S",5,IF(K63="A",4,IF(K63="B",3,IF(K63="C",2,IF(K63="D",1,0))))))+'02_의사결정·종합결과'!$E$60*(IF(L63="S",5,IF(L63="A",4,IF(L63="B",3,IF(L63="C",2,IF(L63="D",1,0))))))+'02_의사결정·종합결과'!$E$61*(IF(M63="S",5,IF(M63="A",4,IF(M63="B",3,IF(M63="C",2,IF(M63="D",1,0))))))+'02_의사결정·종합결과'!$E$62*(IF(N63="S",5,IF(N63="A",4,IF(N63="B",3,IF(N63="C",2,IF(N63="D",1,0))))))+'02_의사결정·종합결과'!$E$63*(IF(O63="S",5,IF(O63="A",4,IF(O63="B",3,IF(O63="C",2,IF(O63="D",1,0)))))))</f>
        <v>0</v>
      </c>
      <c r="Q63" s="15" t="str">
        <f t="shared" si="1"/>
        <v>D</v>
      </c>
    </row>
    <row r="64" spans="1:17" x14ac:dyDescent="0.6">
      <c r="A64" s="15">
        <f>'01_인적정보'!A25</f>
        <v>21</v>
      </c>
      <c r="B64" s="15" t="str">
        <f>'01_인적정보'!B25</f>
        <v>BSS-021</v>
      </c>
      <c r="C64" s="15" t="str">
        <f>'01_인적정보'!C25</f>
        <v>김가연</v>
      </c>
      <c r="D64" s="15" t="str">
        <f>'01_인적정보'!H25</f>
        <v>G2</v>
      </c>
      <c r="E64" s="15">
        <f>'07_결과취합'!N64</f>
        <v>0</v>
      </c>
      <c r="F64" s="15">
        <f>'07_결과취합'!O64</f>
        <v>0</v>
      </c>
      <c r="G64" s="15">
        <f>'07_결과취합'!P64</f>
        <v>0</v>
      </c>
      <c r="H64" s="15">
        <f>'07_결과취합'!Q64</f>
        <v>0</v>
      </c>
      <c r="I64" s="15">
        <f>'07_결과취합'!R64</f>
        <v>0</v>
      </c>
      <c r="J64" s="15">
        <f>'07_결과취합'!S64</f>
        <v>0</v>
      </c>
      <c r="K64" s="15">
        <f>'07_결과취합'!T64</f>
        <v>0</v>
      </c>
      <c r="L64" s="15">
        <f>'07_결과취합'!U64</f>
        <v>0</v>
      </c>
      <c r="M64" s="15">
        <f>'07_결과취합'!V64</f>
        <v>0</v>
      </c>
      <c r="N64" s="15">
        <f>'07_결과취합'!W64</f>
        <v>0</v>
      </c>
      <c r="O64" s="15">
        <f>'07_결과취합'!X64</f>
        <v>0</v>
      </c>
      <c r="P64" s="24">
        <f>IF(COUNTBLANK(E64:O64)&gt;0,"",'02_의사결정·종합결과'!$E$53*(IF(E64="S",5,IF(E64="A",4,IF(E64="B",3,IF(E64="C",2,IF(E64="D",1,0))))))+'02_의사결정·종합결과'!$E$54*(IF(F64="S",5,IF(F64="A",4,IF(F64="B",3,IF(F64="C",2,IF(F64="D",1,0))))))+'02_의사결정·종합결과'!$E$55*(IF(G64="S",5,IF(G64="A",4,IF(G64="B",3,IF(G64="C",2,IF(G64="D",1,0))))))+'02_의사결정·종합결과'!$E$56*(IF(H64="S",5,IF(H64="A",4,IF(H64="B",3,IF(H64="C",2,IF(H64="D",1,0))))))+'02_의사결정·종합결과'!$E$57*(IF(I64="S",5,IF(I64="A",4,IF(I64="B",3,IF(I64="C",2,IF(I64="D",1,0))))))+'02_의사결정·종합결과'!$E$58*(IF(J64="S",5,IF(J64="A",4,IF(J64="B",3,IF(J64="C",2,IF(J64="D",1,0))))))+'02_의사결정·종합결과'!$E$59*(IF(K64="S",5,IF(K64="A",4,IF(K64="B",3,IF(K64="C",2,IF(K64="D",1,0))))))+'02_의사결정·종합결과'!$E$60*(IF(L64="S",5,IF(L64="A",4,IF(L64="B",3,IF(L64="C",2,IF(L64="D",1,0))))))+'02_의사결정·종합결과'!$E$61*(IF(M64="S",5,IF(M64="A",4,IF(M64="B",3,IF(M64="C",2,IF(M64="D",1,0))))))+'02_의사결정·종합결과'!$E$62*(IF(N64="S",5,IF(N64="A",4,IF(N64="B",3,IF(N64="C",2,IF(N64="D",1,0))))))+'02_의사결정·종합결과'!$E$63*(IF(O64="S",5,IF(O64="A",4,IF(O64="B",3,IF(O64="C",2,IF(O64="D",1,0)))))))</f>
        <v>0</v>
      </c>
      <c r="Q64" s="15" t="str">
        <f t="shared" si="1"/>
        <v>D</v>
      </c>
    </row>
    <row r="65" spans="1:17" x14ac:dyDescent="0.6">
      <c r="A65" s="15">
        <f>'01_인적정보'!A26</f>
        <v>22</v>
      </c>
      <c r="B65" s="15" t="str">
        <f>'01_인적정보'!B26</f>
        <v>BSS-022</v>
      </c>
      <c r="C65" s="15" t="str">
        <f>'01_인적정보'!C26</f>
        <v>한근수</v>
      </c>
      <c r="D65" s="15" t="str">
        <f>'01_인적정보'!H26</f>
        <v>G2</v>
      </c>
      <c r="E65" s="15">
        <f>'07_결과취합'!N65</f>
        <v>0</v>
      </c>
      <c r="F65" s="15">
        <f>'07_결과취합'!O65</f>
        <v>0</v>
      </c>
      <c r="G65" s="15">
        <f>'07_결과취합'!P65</f>
        <v>0</v>
      </c>
      <c r="H65" s="15">
        <f>'07_결과취합'!Q65</f>
        <v>0</v>
      </c>
      <c r="I65" s="15">
        <f>'07_결과취합'!R65</f>
        <v>0</v>
      </c>
      <c r="J65" s="15">
        <f>'07_결과취합'!S65</f>
        <v>0</v>
      </c>
      <c r="K65" s="15">
        <f>'07_결과취합'!T65</f>
        <v>0</v>
      </c>
      <c r="L65" s="15">
        <f>'07_결과취합'!U65</f>
        <v>0</v>
      </c>
      <c r="M65" s="15">
        <f>'07_결과취합'!V65</f>
        <v>0</v>
      </c>
      <c r="N65" s="15">
        <f>'07_결과취합'!W65</f>
        <v>0</v>
      </c>
      <c r="O65" s="15">
        <f>'07_결과취합'!X65</f>
        <v>0</v>
      </c>
      <c r="P65" s="24">
        <f>IF(COUNTBLANK(E65:O65)&gt;0,"",'02_의사결정·종합결과'!$E$53*(IF(E65="S",5,IF(E65="A",4,IF(E65="B",3,IF(E65="C",2,IF(E65="D",1,0))))))+'02_의사결정·종합결과'!$E$54*(IF(F65="S",5,IF(F65="A",4,IF(F65="B",3,IF(F65="C",2,IF(F65="D",1,0))))))+'02_의사결정·종합결과'!$E$55*(IF(G65="S",5,IF(G65="A",4,IF(G65="B",3,IF(G65="C",2,IF(G65="D",1,0))))))+'02_의사결정·종합결과'!$E$56*(IF(H65="S",5,IF(H65="A",4,IF(H65="B",3,IF(H65="C",2,IF(H65="D",1,0))))))+'02_의사결정·종합결과'!$E$57*(IF(I65="S",5,IF(I65="A",4,IF(I65="B",3,IF(I65="C",2,IF(I65="D",1,0))))))+'02_의사결정·종합결과'!$E$58*(IF(J65="S",5,IF(J65="A",4,IF(J65="B",3,IF(J65="C",2,IF(J65="D",1,0))))))+'02_의사결정·종합결과'!$E$59*(IF(K65="S",5,IF(K65="A",4,IF(K65="B",3,IF(K65="C",2,IF(K65="D",1,0))))))+'02_의사결정·종합결과'!$E$60*(IF(L65="S",5,IF(L65="A",4,IF(L65="B",3,IF(L65="C",2,IF(L65="D",1,0))))))+'02_의사결정·종합결과'!$E$61*(IF(M65="S",5,IF(M65="A",4,IF(M65="B",3,IF(M65="C",2,IF(M65="D",1,0))))))+'02_의사결정·종합결과'!$E$62*(IF(N65="S",5,IF(N65="A",4,IF(N65="B",3,IF(N65="C",2,IF(N65="D",1,0))))))+'02_의사결정·종합결과'!$E$63*(IF(O65="S",5,IF(O65="A",4,IF(O65="B",3,IF(O65="C",2,IF(O65="D",1,0)))))))</f>
        <v>0</v>
      </c>
      <c r="Q65" s="15" t="str">
        <f t="shared" si="1"/>
        <v>D</v>
      </c>
    </row>
    <row r="66" spans="1:17" x14ac:dyDescent="0.6">
      <c r="A66" s="15">
        <f>'01_인적정보'!A27</f>
        <v>23</v>
      </c>
      <c r="B66" s="15" t="str">
        <f>'01_인적정보'!B27</f>
        <v>BSS-023</v>
      </c>
      <c r="C66" s="15" t="str">
        <f>'01_인적정보'!C27</f>
        <v>김성민</v>
      </c>
      <c r="D66" s="15" t="str">
        <f>'01_인적정보'!H27</f>
        <v>G2</v>
      </c>
      <c r="E66" s="15">
        <f>'07_결과취합'!N66</f>
        <v>0</v>
      </c>
      <c r="F66" s="15">
        <f>'07_결과취합'!O66</f>
        <v>0</v>
      </c>
      <c r="G66" s="15">
        <f>'07_결과취합'!P66</f>
        <v>0</v>
      </c>
      <c r="H66" s="15">
        <f>'07_결과취합'!Q66</f>
        <v>0</v>
      </c>
      <c r="I66" s="15">
        <f>'07_결과취합'!R66</f>
        <v>0</v>
      </c>
      <c r="J66" s="15">
        <f>'07_결과취합'!S66</f>
        <v>0</v>
      </c>
      <c r="K66" s="15">
        <f>'07_결과취합'!T66</f>
        <v>0</v>
      </c>
      <c r="L66" s="15">
        <f>'07_결과취합'!U66</f>
        <v>0</v>
      </c>
      <c r="M66" s="15">
        <f>'07_결과취합'!V66</f>
        <v>0</v>
      </c>
      <c r="N66" s="15">
        <f>'07_결과취합'!W66</f>
        <v>0</v>
      </c>
      <c r="O66" s="15">
        <f>'07_결과취합'!X66</f>
        <v>0</v>
      </c>
      <c r="P66" s="24">
        <f>IF(COUNTBLANK(E66:O66)&gt;0,"",'02_의사결정·종합결과'!$E$53*(IF(E66="S",5,IF(E66="A",4,IF(E66="B",3,IF(E66="C",2,IF(E66="D",1,0))))))+'02_의사결정·종합결과'!$E$54*(IF(F66="S",5,IF(F66="A",4,IF(F66="B",3,IF(F66="C",2,IF(F66="D",1,0))))))+'02_의사결정·종합결과'!$E$55*(IF(G66="S",5,IF(G66="A",4,IF(G66="B",3,IF(G66="C",2,IF(G66="D",1,0))))))+'02_의사결정·종합결과'!$E$56*(IF(H66="S",5,IF(H66="A",4,IF(H66="B",3,IF(H66="C",2,IF(H66="D",1,0))))))+'02_의사결정·종합결과'!$E$57*(IF(I66="S",5,IF(I66="A",4,IF(I66="B",3,IF(I66="C",2,IF(I66="D",1,0))))))+'02_의사결정·종합결과'!$E$58*(IF(J66="S",5,IF(J66="A",4,IF(J66="B",3,IF(J66="C",2,IF(J66="D",1,0))))))+'02_의사결정·종합결과'!$E$59*(IF(K66="S",5,IF(K66="A",4,IF(K66="B",3,IF(K66="C",2,IF(K66="D",1,0))))))+'02_의사결정·종합결과'!$E$60*(IF(L66="S",5,IF(L66="A",4,IF(L66="B",3,IF(L66="C",2,IF(L66="D",1,0))))))+'02_의사결정·종합결과'!$E$61*(IF(M66="S",5,IF(M66="A",4,IF(M66="B",3,IF(M66="C",2,IF(M66="D",1,0))))))+'02_의사결정·종합결과'!$E$62*(IF(N66="S",5,IF(N66="A",4,IF(N66="B",3,IF(N66="C",2,IF(N66="D",1,0))))))+'02_의사결정·종합결과'!$E$63*(IF(O66="S",5,IF(O66="A",4,IF(O66="B",3,IF(O66="C",2,IF(O66="D",1,0)))))))</f>
        <v>0</v>
      </c>
      <c r="Q66" s="15" t="str">
        <f t="shared" si="1"/>
        <v>D</v>
      </c>
    </row>
    <row r="67" spans="1:17" x14ac:dyDescent="0.6">
      <c r="A67" s="15">
        <f>'01_인적정보'!A28</f>
        <v>24</v>
      </c>
      <c r="B67" s="15" t="str">
        <f>'01_인적정보'!B28</f>
        <v>BSS-024</v>
      </c>
      <c r="C67" s="15" t="str">
        <f>'01_인적정보'!C28</f>
        <v>고광우</v>
      </c>
      <c r="D67" s="15" t="str">
        <f>'01_인적정보'!H28</f>
        <v>G2</v>
      </c>
      <c r="E67" s="15">
        <f>'07_결과취합'!N67</f>
        <v>0</v>
      </c>
      <c r="F67" s="15">
        <f>'07_결과취합'!O67</f>
        <v>0</v>
      </c>
      <c r="G67" s="15">
        <f>'07_결과취합'!P67</f>
        <v>0</v>
      </c>
      <c r="H67" s="15">
        <f>'07_결과취합'!Q67</f>
        <v>0</v>
      </c>
      <c r="I67" s="15">
        <f>'07_결과취합'!R67</f>
        <v>0</v>
      </c>
      <c r="J67" s="15">
        <f>'07_결과취합'!S67</f>
        <v>0</v>
      </c>
      <c r="K67" s="15">
        <f>'07_결과취합'!T67</f>
        <v>0</v>
      </c>
      <c r="L67" s="15">
        <f>'07_결과취합'!U67</f>
        <v>0</v>
      </c>
      <c r="M67" s="15">
        <f>'07_결과취합'!V67</f>
        <v>0</v>
      </c>
      <c r="N67" s="15">
        <f>'07_결과취합'!W67</f>
        <v>0</v>
      </c>
      <c r="O67" s="15">
        <f>'07_결과취합'!X67</f>
        <v>0</v>
      </c>
      <c r="P67" s="24">
        <f>IF(COUNTBLANK(E67:O67)&gt;0,"",'02_의사결정·종합결과'!$E$53*(IF(E67="S",5,IF(E67="A",4,IF(E67="B",3,IF(E67="C",2,IF(E67="D",1,0))))))+'02_의사결정·종합결과'!$E$54*(IF(F67="S",5,IF(F67="A",4,IF(F67="B",3,IF(F67="C",2,IF(F67="D",1,0))))))+'02_의사결정·종합결과'!$E$55*(IF(G67="S",5,IF(G67="A",4,IF(G67="B",3,IF(G67="C",2,IF(G67="D",1,0))))))+'02_의사결정·종합결과'!$E$56*(IF(H67="S",5,IF(H67="A",4,IF(H67="B",3,IF(H67="C",2,IF(H67="D",1,0))))))+'02_의사결정·종합결과'!$E$57*(IF(I67="S",5,IF(I67="A",4,IF(I67="B",3,IF(I67="C",2,IF(I67="D",1,0))))))+'02_의사결정·종합결과'!$E$58*(IF(J67="S",5,IF(J67="A",4,IF(J67="B",3,IF(J67="C",2,IF(J67="D",1,0))))))+'02_의사결정·종합결과'!$E$59*(IF(K67="S",5,IF(K67="A",4,IF(K67="B",3,IF(K67="C",2,IF(K67="D",1,0))))))+'02_의사결정·종합결과'!$E$60*(IF(L67="S",5,IF(L67="A",4,IF(L67="B",3,IF(L67="C",2,IF(L67="D",1,0))))))+'02_의사결정·종합결과'!$E$61*(IF(M67="S",5,IF(M67="A",4,IF(M67="B",3,IF(M67="C",2,IF(M67="D",1,0))))))+'02_의사결정·종합결과'!$E$62*(IF(N67="S",5,IF(N67="A",4,IF(N67="B",3,IF(N67="C",2,IF(N67="D",1,0))))))+'02_의사결정·종합결과'!$E$63*(IF(O67="S",5,IF(O67="A",4,IF(O67="B",3,IF(O67="C",2,IF(O67="D",1,0)))))))</f>
        <v>0</v>
      </c>
      <c r="Q67" s="15" t="str">
        <f t="shared" si="1"/>
        <v>D</v>
      </c>
    </row>
    <row r="68" spans="1:17" x14ac:dyDescent="0.6">
      <c r="A68" s="15">
        <f>'01_인적정보'!A29</f>
        <v>25</v>
      </c>
      <c r="B68" s="15" t="str">
        <f>'01_인적정보'!B29</f>
        <v>BSS-025</v>
      </c>
      <c r="C68" s="15" t="str">
        <f>'01_인적정보'!C29</f>
        <v>김성수</v>
      </c>
      <c r="D68" s="15" t="str">
        <f>'01_인적정보'!H29</f>
        <v>G2</v>
      </c>
      <c r="E68" s="15">
        <f>'07_결과취합'!N68</f>
        <v>0</v>
      </c>
      <c r="F68" s="15">
        <f>'07_결과취합'!O68</f>
        <v>0</v>
      </c>
      <c r="G68" s="15">
        <f>'07_결과취합'!P68</f>
        <v>0</v>
      </c>
      <c r="H68" s="15">
        <f>'07_결과취합'!Q68</f>
        <v>0</v>
      </c>
      <c r="I68" s="15">
        <f>'07_결과취합'!R68</f>
        <v>0</v>
      </c>
      <c r="J68" s="15">
        <f>'07_결과취합'!S68</f>
        <v>0</v>
      </c>
      <c r="K68" s="15">
        <f>'07_결과취합'!T68</f>
        <v>0</v>
      </c>
      <c r="L68" s="15">
        <f>'07_결과취합'!U68</f>
        <v>0</v>
      </c>
      <c r="M68" s="15">
        <f>'07_결과취합'!V68</f>
        <v>0</v>
      </c>
      <c r="N68" s="15">
        <f>'07_결과취합'!W68</f>
        <v>0</v>
      </c>
      <c r="O68" s="15">
        <f>'07_결과취합'!X68</f>
        <v>0</v>
      </c>
      <c r="P68" s="24">
        <f>IF(COUNTBLANK(E68:O68)&gt;0,"",'02_의사결정·종합결과'!$E$53*(IF(E68="S",5,IF(E68="A",4,IF(E68="B",3,IF(E68="C",2,IF(E68="D",1,0))))))+'02_의사결정·종합결과'!$E$54*(IF(F68="S",5,IF(F68="A",4,IF(F68="B",3,IF(F68="C",2,IF(F68="D",1,0))))))+'02_의사결정·종합결과'!$E$55*(IF(G68="S",5,IF(G68="A",4,IF(G68="B",3,IF(G68="C",2,IF(G68="D",1,0))))))+'02_의사결정·종합결과'!$E$56*(IF(H68="S",5,IF(H68="A",4,IF(H68="B",3,IF(H68="C",2,IF(H68="D",1,0))))))+'02_의사결정·종합결과'!$E$57*(IF(I68="S",5,IF(I68="A",4,IF(I68="B",3,IF(I68="C",2,IF(I68="D",1,0))))))+'02_의사결정·종합결과'!$E$58*(IF(J68="S",5,IF(J68="A",4,IF(J68="B",3,IF(J68="C",2,IF(J68="D",1,0))))))+'02_의사결정·종합결과'!$E$59*(IF(K68="S",5,IF(K68="A",4,IF(K68="B",3,IF(K68="C",2,IF(K68="D",1,0))))))+'02_의사결정·종합결과'!$E$60*(IF(L68="S",5,IF(L68="A",4,IF(L68="B",3,IF(L68="C",2,IF(L68="D",1,0))))))+'02_의사결정·종합결과'!$E$61*(IF(M68="S",5,IF(M68="A",4,IF(M68="B",3,IF(M68="C",2,IF(M68="D",1,0))))))+'02_의사결정·종합결과'!$E$62*(IF(N68="S",5,IF(N68="A",4,IF(N68="B",3,IF(N68="C",2,IF(N68="D",1,0))))))+'02_의사결정·종합결과'!$E$63*(IF(O68="S",5,IF(O68="A",4,IF(O68="B",3,IF(O68="C",2,IF(O68="D",1,0)))))))</f>
        <v>0</v>
      </c>
      <c r="Q68" s="15" t="str">
        <f t="shared" si="1"/>
        <v>D</v>
      </c>
    </row>
    <row r="69" spans="1:17" x14ac:dyDescent="0.6">
      <c r="A69" s="15">
        <f>'01_인적정보'!A30</f>
        <v>26</v>
      </c>
      <c r="B69" s="15" t="str">
        <f>'01_인적정보'!B30</f>
        <v>BSS-026</v>
      </c>
      <c r="C69" s="15" t="str">
        <f>'01_인적정보'!C30</f>
        <v>박진희</v>
      </c>
      <c r="D69" s="15" t="str">
        <f>'01_인적정보'!H30</f>
        <v>G1</v>
      </c>
      <c r="E69" s="15">
        <f>'07_결과취합'!N69</f>
        <v>0</v>
      </c>
      <c r="F69" s="15">
        <f>'07_결과취합'!O69</f>
        <v>0</v>
      </c>
      <c r="G69" s="15">
        <f>'07_결과취합'!P69</f>
        <v>0</v>
      </c>
      <c r="H69" s="15">
        <f>'07_결과취합'!Q69</f>
        <v>0</v>
      </c>
      <c r="I69" s="15">
        <f>'07_결과취합'!R69</f>
        <v>0</v>
      </c>
      <c r="J69" s="15">
        <f>'07_결과취합'!S69</f>
        <v>0</v>
      </c>
      <c r="K69" s="15">
        <f>'07_결과취합'!T69</f>
        <v>0</v>
      </c>
      <c r="L69" s="15">
        <f>'07_결과취합'!U69</f>
        <v>0</v>
      </c>
      <c r="M69" s="15">
        <f>'07_결과취합'!V69</f>
        <v>0</v>
      </c>
      <c r="N69" s="15">
        <f>'07_결과취합'!W69</f>
        <v>0</v>
      </c>
      <c r="O69" s="15">
        <f>'07_결과취합'!X69</f>
        <v>0</v>
      </c>
      <c r="P69" s="24">
        <f>IF(COUNTBLANK(E69:O69)&gt;0,"",'02_의사결정·종합결과'!$E$53*(IF(E69="S",5,IF(E69="A",4,IF(E69="B",3,IF(E69="C",2,IF(E69="D",1,0))))))+'02_의사결정·종합결과'!$E$54*(IF(F69="S",5,IF(F69="A",4,IF(F69="B",3,IF(F69="C",2,IF(F69="D",1,0))))))+'02_의사결정·종합결과'!$E$55*(IF(G69="S",5,IF(G69="A",4,IF(G69="B",3,IF(G69="C",2,IF(G69="D",1,0))))))+'02_의사결정·종합결과'!$E$56*(IF(H69="S",5,IF(H69="A",4,IF(H69="B",3,IF(H69="C",2,IF(H69="D",1,0))))))+'02_의사결정·종합결과'!$E$57*(IF(I69="S",5,IF(I69="A",4,IF(I69="B",3,IF(I69="C",2,IF(I69="D",1,0))))))+'02_의사결정·종합결과'!$E$58*(IF(J69="S",5,IF(J69="A",4,IF(J69="B",3,IF(J69="C",2,IF(J69="D",1,0))))))+'02_의사결정·종합결과'!$E$59*(IF(K69="S",5,IF(K69="A",4,IF(K69="B",3,IF(K69="C",2,IF(K69="D",1,0))))))+'02_의사결정·종합결과'!$E$60*(IF(L69="S",5,IF(L69="A",4,IF(L69="B",3,IF(L69="C",2,IF(L69="D",1,0))))))+'02_의사결정·종합결과'!$E$61*(IF(M69="S",5,IF(M69="A",4,IF(M69="B",3,IF(M69="C",2,IF(M69="D",1,0))))))+'02_의사결정·종합결과'!$E$62*(IF(N69="S",5,IF(N69="A",4,IF(N69="B",3,IF(N69="C",2,IF(N69="D",1,0))))))+'02_의사결정·종합결과'!$E$63*(IF(O69="S",5,IF(O69="A",4,IF(O69="B",3,IF(O69="C",2,IF(O69="D",1,0)))))))</f>
        <v>0</v>
      </c>
      <c r="Q69" s="15" t="str">
        <f t="shared" si="1"/>
        <v>D</v>
      </c>
    </row>
    <row r="70" spans="1:17" x14ac:dyDescent="0.6">
      <c r="A70" s="15">
        <f>'01_인적정보'!A31</f>
        <v>27</v>
      </c>
      <c r="B70" s="15" t="str">
        <f>'01_인적정보'!B31</f>
        <v>BSS-027</v>
      </c>
      <c r="C70" s="15" t="str">
        <f>'01_인적정보'!C31</f>
        <v>장은한</v>
      </c>
      <c r="D70" s="15" t="str">
        <f>'01_인적정보'!H31</f>
        <v>G2</v>
      </c>
      <c r="E70" s="15">
        <f>'07_결과취합'!N70</f>
        <v>0</v>
      </c>
      <c r="F70" s="15">
        <f>'07_결과취합'!O70</f>
        <v>0</v>
      </c>
      <c r="G70" s="15">
        <f>'07_결과취합'!P70</f>
        <v>0</v>
      </c>
      <c r="H70" s="15">
        <f>'07_결과취합'!Q70</f>
        <v>0</v>
      </c>
      <c r="I70" s="15">
        <f>'07_결과취합'!R70</f>
        <v>0</v>
      </c>
      <c r="J70" s="15">
        <f>'07_결과취합'!S70</f>
        <v>0</v>
      </c>
      <c r="K70" s="15">
        <f>'07_결과취합'!T70</f>
        <v>0</v>
      </c>
      <c r="L70" s="15">
        <f>'07_결과취합'!U70</f>
        <v>0</v>
      </c>
      <c r="M70" s="15">
        <f>'07_결과취합'!V70</f>
        <v>0</v>
      </c>
      <c r="N70" s="15">
        <f>'07_결과취합'!W70</f>
        <v>0</v>
      </c>
      <c r="O70" s="15">
        <f>'07_결과취합'!X70</f>
        <v>0</v>
      </c>
      <c r="P70" s="24">
        <f>IF(COUNTBLANK(E70:O70)&gt;0,"",'02_의사결정·종합결과'!$E$53*(IF(E70="S",5,IF(E70="A",4,IF(E70="B",3,IF(E70="C",2,IF(E70="D",1,0))))))+'02_의사결정·종합결과'!$E$54*(IF(F70="S",5,IF(F70="A",4,IF(F70="B",3,IF(F70="C",2,IF(F70="D",1,0))))))+'02_의사결정·종합결과'!$E$55*(IF(G70="S",5,IF(G70="A",4,IF(G70="B",3,IF(G70="C",2,IF(G70="D",1,0))))))+'02_의사결정·종합결과'!$E$56*(IF(H70="S",5,IF(H70="A",4,IF(H70="B",3,IF(H70="C",2,IF(H70="D",1,0))))))+'02_의사결정·종합결과'!$E$57*(IF(I70="S",5,IF(I70="A",4,IF(I70="B",3,IF(I70="C",2,IF(I70="D",1,0))))))+'02_의사결정·종합결과'!$E$58*(IF(J70="S",5,IF(J70="A",4,IF(J70="B",3,IF(J70="C",2,IF(J70="D",1,0))))))+'02_의사결정·종합결과'!$E$59*(IF(K70="S",5,IF(K70="A",4,IF(K70="B",3,IF(K70="C",2,IF(K70="D",1,0))))))+'02_의사결정·종합결과'!$E$60*(IF(L70="S",5,IF(L70="A",4,IF(L70="B",3,IF(L70="C",2,IF(L70="D",1,0))))))+'02_의사결정·종합결과'!$E$61*(IF(M70="S",5,IF(M70="A",4,IF(M70="B",3,IF(M70="C",2,IF(M70="D",1,0))))))+'02_의사결정·종합결과'!$E$62*(IF(N70="S",5,IF(N70="A",4,IF(N70="B",3,IF(N70="C",2,IF(N70="D",1,0))))))+'02_의사결정·종합결과'!$E$63*(IF(O70="S",5,IF(O70="A",4,IF(O70="B",3,IF(O70="C",2,IF(O70="D",1,0)))))))</f>
        <v>0</v>
      </c>
      <c r="Q70" s="15" t="str">
        <f t="shared" si="1"/>
        <v>D</v>
      </c>
    </row>
    <row r="71" spans="1:17" x14ac:dyDescent="0.6">
      <c r="A71" s="15">
        <f>'01_인적정보'!A32</f>
        <v>28</v>
      </c>
      <c r="B71" s="15" t="str">
        <f>'01_인적정보'!B32</f>
        <v>BSS-028</v>
      </c>
      <c r="C71" s="15" t="str">
        <f>'01_인적정보'!C32</f>
        <v>김현수</v>
      </c>
      <c r="D71" s="15" t="str">
        <f>'01_인적정보'!H32</f>
        <v>G1</v>
      </c>
      <c r="E71" s="15">
        <f>'07_결과취합'!N71</f>
        <v>0</v>
      </c>
      <c r="F71" s="15">
        <f>'07_결과취합'!O71</f>
        <v>0</v>
      </c>
      <c r="G71" s="15">
        <f>'07_결과취합'!P71</f>
        <v>0</v>
      </c>
      <c r="H71" s="15">
        <f>'07_결과취합'!Q71</f>
        <v>0</v>
      </c>
      <c r="I71" s="15">
        <f>'07_결과취합'!R71</f>
        <v>0</v>
      </c>
      <c r="J71" s="15">
        <f>'07_결과취합'!S71</f>
        <v>0</v>
      </c>
      <c r="K71" s="15">
        <f>'07_결과취합'!T71</f>
        <v>0</v>
      </c>
      <c r="L71" s="15">
        <f>'07_결과취합'!U71</f>
        <v>0</v>
      </c>
      <c r="M71" s="15">
        <f>'07_결과취합'!V71</f>
        <v>0</v>
      </c>
      <c r="N71" s="15">
        <f>'07_결과취합'!W71</f>
        <v>0</v>
      </c>
      <c r="O71" s="15">
        <f>'07_결과취합'!X71</f>
        <v>0</v>
      </c>
      <c r="P71" s="24">
        <f>IF(COUNTBLANK(E71:O71)&gt;0,"",'02_의사결정·종합결과'!$E$53*(IF(E71="S",5,IF(E71="A",4,IF(E71="B",3,IF(E71="C",2,IF(E71="D",1,0))))))+'02_의사결정·종합결과'!$E$54*(IF(F71="S",5,IF(F71="A",4,IF(F71="B",3,IF(F71="C",2,IF(F71="D",1,0))))))+'02_의사결정·종합결과'!$E$55*(IF(G71="S",5,IF(G71="A",4,IF(G71="B",3,IF(G71="C",2,IF(G71="D",1,0))))))+'02_의사결정·종합결과'!$E$56*(IF(H71="S",5,IF(H71="A",4,IF(H71="B",3,IF(H71="C",2,IF(H71="D",1,0))))))+'02_의사결정·종합결과'!$E$57*(IF(I71="S",5,IF(I71="A",4,IF(I71="B",3,IF(I71="C",2,IF(I71="D",1,0))))))+'02_의사결정·종합결과'!$E$58*(IF(J71="S",5,IF(J71="A",4,IF(J71="B",3,IF(J71="C",2,IF(J71="D",1,0))))))+'02_의사결정·종합결과'!$E$59*(IF(K71="S",5,IF(K71="A",4,IF(K71="B",3,IF(K71="C",2,IF(K71="D",1,0))))))+'02_의사결정·종합결과'!$E$60*(IF(L71="S",5,IF(L71="A",4,IF(L71="B",3,IF(L71="C",2,IF(L71="D",1,0))))))+'02_의사결정·종합결과'!$E$61*(IF(M71="S",5,IF(M71="A",4,IF(M71="B",3,IF(M71="C",2,IF(M71="D",1,0))))))+'02_의사결정·종합결과'!$E$62*(IF(N71="S",5,IF(N71="A",4,IF(N71="B",3,IF(N71="C",2,IF(N71="D",1,0))))))+'02_의사결정·종합결과'!$E$63*(IF(O71="S",5,IF(O71="A",4,IF(O71="B",3,IF(O71="C",2,IF(O71="D",1,0)))))))</f>
        <v>0</v>
      </c>
      <c r="Q71" s="15" t="str">
        <f t="shared" si="1"/>
        <v>D</v>
      </c>
    </row>
    <row r="72" spans="1:17" x14ac:dyDescent="0.6">
      <c r="A72" s="15">
        <f>'01_인적정보'!A33</f>
        <v>29</v>
      </c>
      <c r="B72" s="15" t="str">
        <f>'01_인적정보'!B33</f>
        <v>BSS-029</v>
      </c>
      <c r="C72" s="15" t="str">
        <f>'01_인적정보'!C33</f>
        <v>콜셍홍</v>
      </c>
      <c r="D72" s="15" t="str">
        <f>'01_인적정보'!H33</f>
        <v>G1</v>
      </c>
      <c r="E72" s="15">
        <f>'07_결과취합'!N72</f>
        <v>0</v>
      </c>
      <c r="F72" s="15">
        <f>'07_결과취합'!O72</f>
        <v>0</v>
      </c>
      <c r="G72" s="15">
        <f>'07_결과취합'!P72</f>
        <v>0</v>
      </c>
      <c r="H72" s="15">
        <f>'07_결과취합'!Q72</f>
        <v>0</v>
      </c>
      <c r="I72" s="15">
        <f>'07_결과취합'!R72</f>
        <v>0</v>
      </c>
      <c r="J72" s="15">
        <f>'07_결과취합'!S72</f>
        <v>0</v>
      </c>
      <c r="K72" s="15">
        <f>'07_결과취합'!T72</f>
        <v>0</v>
      </c>
      <c r="L72" s="15">
        <f>'07_결과취합'!U72</f>
        <v>0</v>
      </c>
      <c r="M72" s="15">
        <f>'07_결과취합'!V72</f>
        <v>0</v>
      </c>
      <c r="N72" s="15">
        <f>'07_결과취합'!W72</f>
        <v>0</v>
      </c>
      <c r="O72" s="15">
        <f>'07_결과취합'!X72</f>
        <v>0</v>
      </c>
      <c r="P72" s="24">
        <f>IF(COUNTBLANK(E72:O72)&gt;0,"",'02_의사결정·종합결과'!$E$53*(IF(E72="S",5,IF(E72="A",4,IF(E72="B",3,IF(E72="C",2,IF(E72="D",1,0))))))+'02_의사결정·종합결과'!$E$54*(IF(F72="S",5,IF(F72="A",4,IF(F72="B",3,IF(F72="C",2,IF(F72="D",1,0))))))+'02_의사결정·종합결과'!$E$55*(IF(G72="S",5,IF(G72="A",4,IF(G72="B",3,IF(G72="C",2,IF(G72="D",1,0))))))+'02_의사결정·종합결과'!$E$56*(IF(H72="S",5,IF(H72="A",4,IF(H72="B",3,IF(H72="C",2,IF(H72="D",1,0))))))+'02_의사결정·종합결과'!$E$57*(IF(I72="S",5,IF(I72="A",4,IF(I72="B",3,IF(I72="C",2,IF(I72="D",1,0))))))+'02_의사결정·종합결과'!$E$58*(IF(J72="S",5,IF(J72="A",4,IF(J72="B",3,IF(J72="C",2,IF(J72="D",1,0))))))+'02_의사결정·종합결과'!$E$59*(IF(K72="S",5,IF(K72="A",4,IF(K72="B",3,IF(K72="C",2,IF(K72="D",1,0))))))+'02_의사결정·종합결과'!$E$60*(IF(L72="S",5,IF(L72="A",4,IF(L72="B",3,IF(L72="C",2,IF(L72="D",1,0))))))+'02_의사결정·종합결과'!$E$61*(IF(M72="S",5,IF(M72="A",4,IF(M72="B",3,IF(M72="C",2,IF(M72="D",1,0))))))+'02_의사결정·종합결과'!$E$62*(IF(N72="S",5,IF(N72="A",4,IF(N72="B",3,IF(N72="C",2,IF(N72="D",1,0))))))+'02_의사결정·종합결과'!$E$63*(IF(O72="S",5,IF(O72="A",4,IF(O72="B",3,IF(O72="C",2,IF(O72="D",1,0)))))))</f>
        <v>0</v>
      </c>
      <c r="Q72" s="15" t="str">
        <f t="shared" si="1"/>
        <v>D</v>
      </c>
    </row>
    <row r="73" spans="1:17" x14ac:dyDescent="0.6">
      <c r="A73" s="15">
        <f>'01_인적정보'!A34</f>
        <v>30</v>
      </c>
      <c r="B73" s="15" t="str">
        <f>'01_인적정보'!B34</f>
        <v>BSS-030</v>
      </c>
      <c r="C73" s="15" t="str">
        <f>'01_인적정보'!C34</f>
        <v>안성진</v>
      </c>
      <c r="D73" s="15" t="str">
        <f>'01_인적정보'!H34</f>
        <v>G1</v>
      </c>
      <c r="E73" s="15">
        <f>'07_결과취합'!N73</f>
        <v>0</v>
      </c>
      <c r="F73" s="15">
        <f>'07_결과취합'!O73</f>
        <v>0</v>
      </c>
      <c r="G73" s="15">
        <f>'07_결과취합'!P73</f>
        <v>0</v>
      </c>
      <c r="H73" s="15">
        <f>'07_결과취합'!Q73</f>
        <v>0</v>
      </c>
      <c r="I73" s="15">
        <f>'07_결과취합'!R73</f>
        <v>0</v>
      </c>
      <c r="J73" s="15">
        <f>'07_결과취합'!S73</f>
        <v>0</v>
      </c>
      <c r="K73" s="15">
        <f>'07_결과취합'!T73</f>
        <v>0</v>
      </c>
      <c r="L73" s="15">
        <f>'07_결과취합'!U73</f>
        <v>0</v>
      </c>
      <c r="M73" s="15">
        <f>'07_결과취합'!V73</f>
        <v>0</v>
      </c>
      <c r="N73" s="15">
        <f>'07_결과취합'!W73</f>
        <v>0</v>
      </c>
      <c r="O73" s="15">
        <f>'07_결과취합'!X73</f>
        <v>0</v>
      </c>
      <c r="P73" s="24">
        <f>IF(COUNTBLANK(E73:O73)&gt;0,"",'02_의사결정·종합결과'!$E$53*(IF(E73="S",5,IF(E73="A",4,IF(E73="B",3,IF(E73="C",2,IF(E73="D",1,0))))))+'02_의사결정·종합결과'!$E$54*(IF(F73="S",5,IF(F73="A",4,IF(F73="B",3,IF(F73="C",2,IF(F73="D",1,0))))))+'02_의사결정·종합결과'!$E$55*(IF(G73="S",5,IF(G73="A",4,IF(G73="B",3,IF(G73="C",2,IF(G73="D",1,0))))))+'02_의사결정·종합결과'!$E$56*(IF(H73="S",5,IF(H73="A",4,IF(H73="B",3,IF(H73="C",2,IF(H73="D",1,0))))))+'02_의사결정·종합결과'!$E$57*(IF(I73="S",5,IF(I73="A",4,IF(I73="B",3,IF(I73="C",2,IF(I73="D",1,0))))))+'02_의사결정·종합결과'!$E$58*(IF(J73="S",5,IF(J73="A",4,IF(J73="B",3,IF(J73="C",2,IF(J73="D",1,0))))))+'02_의사결정·종합결과'!$E$59*(IF(K73="S",5,IF(K73="A",4,IF(K73="B",3,IF(K73="C",2,IF(K73="D",1,0))))))+'02_의사결정·종합결과'!$E$60*(IF(L73="S",5,IF(L73="A",4,IF(L73="B",3,IF(L73="C",2,IF(L73="D",1,0))))))+'02_의사결정·종합결과'!$E$61*(IF(M73="S",5,IF(M73="A",4,IF(M73="B",3,IF(M73="C",2,IF(M73="D",1,0))))))+'02_의사결정·종합결과'!$E$62*(IF(N73="S",5,IF(N73="A",4,IF(N73="B",3,IF(N73="C",2,IF(N73="D",1,0))))))+'02_의사결정·종합결과'!$E$63*(IF(O73="S",5,IF(O73="A",4,IF(O73="B",3,IF(O73="C",2,IF(O73="D",1,0)))))))</f>
        <v>0</v>
      </c>
      <c r="Q73" s="15" t="str">
        <f t="shared" si="1"/>
        <v>D</v>
      </c>
    </row>
    <row r="74" spans="1:17" x14ac:dyDescent="0.6">
      <c r="A74" s="15">
        <f>'01_인적정보'!A35</f>
        <v>31</v>
      </c>
      <c r="B74" s="15" t="str">
        <f>'01_인적정보'!B35</f>
        <v>BSS-031</v>
      </c>
      <c r="C74" s="15" t="str">
        <f>'01_인적정보'!C35</f>
        <v>이정일</v>
      </c>
      <c r="D74" s="15" t="str">
        <f>'01_인적정보'!H35</f>
        <v>G1</v>
      </c>
      <c r="E74" s="15">
        <f>'07_결과취합'!N74</f>
        <v>0</v>
      </c>
      <c r="F74" s="15">
        <f>'07_결과취합'!O74</f>
        <v>0</v>
      </c>
      <c r="G74" s="15">
        <f>'07_결과취합'!P74</f>
        <v>0</v>
      </c>
      <c r="H74" s="15">
        <f>'07_결과취합'!Q74</f>
        <v>0</v>
      </c>
      <c r="I74" s="15">
        <f>'07_결과취합'!R74</f>
        <v>0</v>
      </c>
      <c r="J74" s="15">
        <f>'07_결과취합'!S74</f>
        <v>0</v>
      </c>
      <c r="K74" s="15">
        <f>'07_결과취합'!T74</f>
        <v>0</v>
      </c>
      <c r="L74" s="15">
        <f>'07_결과취합'!U74</f>
        <v>0</v>
      </c>
      <c r="M74" s="15">
        <f>'07_결과취합'!V74</f>
        <v>0</v>
      </c>
      <c r="N74" s="15">
        <f>'07_결과취합'!W74</f>
        <v>0</v>
      </c>
      <c r="O74" s="15">
        <f>'07_결과취합'!X74</f>
        <v>0</v>
      </c>
      <c r="P74" s="24">
        <f>IF(COUNTBLANK(E74:O74)&gt;0,"",'02_의사결정·종합결과'!$E$53*(IF(E74="S",5,IF(E74="A",4,IF(E74="B",3,IF(E74="C",2,IF(E74="D",1,0))))))+'02_의사결정·종합결과'!$E$54*(IF(F74="S",5,IF(F74="A",4,IF(F74="B",3,IF(F74="C",2,IF(F74="D",1,0))))))+'02_의사결정·종합결과'!$E$55*(IF(G74="S",5,IF(G74="A",4,IF(G74="B",3,IF(G74="C",2,IF(G74="D",1,0))))))+'02_의사결정·종합결과'!$E$56*(IF(H74="S",5,IF(H74="A",4,IF(H74="B",3,IF(H74="C",2,IF(H74="D",1,0))))))+'02_의사결정·종합결과'!$E$57*(IF(I74="S",5,IF(I74="A",4,IF(I74="B",3,IF(I74="C",2,IF(I74="D",1,0))))))+'02_의사결정·종합결과'!$E$58*(IF(J74="S",5,IF(J74="A",4,IF(J74="B",3,IF(J74="C",2,IF(J74="D",1,0))))))+'02_의사결정·종합결과'!$E$59*(IF(K74="S",5,IF(K74="A",4,IF(K74="B",3,IF(K74="C",2,IF(K74="D",1,0))))))+'02_의사결정·종합결과'!$E$60*(IF(L74="S",5,IF(L74="A",4,IF(L74="B",3,IF(L74="C",2,IF(L74="D",1,0))))))+'02_의사결정·종합결과'!$E$61*(IF(M74="S",5,IF(M74="A",4,IF(M74="B",3,IF(M74="C",2,IF(M74="D",1,0))))))+'02_의사결정·종합결과'!$E$62*(IF(N74="S",5,IF(N74="A",4,IF(N74="B",3,IF(N74="C",2,IF(N74="D",1,0))))))+'02_의사결정·종합결과'!$E$63*(IF(O74="S",5,IF(O74="A",4,IF(O74="B",3,IF(O74="C",2,IF(O74="D",1,0)))))))</f>
        <v>0</v>
      </c>
      <c r="Q74" s="15" t="str">
        <f t="shared" si="1"/>
        <v>D</v>
      </c>
    </row>
    <row r="75" spans="1:17" x14ac:dyDescent="0.6">
      <c r="A75" s="15">
        <f>'01_인적정보'!A36</f>
        <v>32</v>
      </c>
      <c r="B75" s="15" t="str">
        <f>'01_인적정보'!B36</f>
        <v>BSS-032</v>
      </c>
      <c r="C75" s="15" t="str">
        <f>'01_인적정보'!C36</f>
        <v>안재성</v>
      </c>
      <c r="D75" s="15" t="str">
        <f>'01_인적정보'!H36</f>
        <v>G1</v>
      </c>
      <c r="E75" s="15">
        <f>'07_결과취합'!N75</f>
        <v>0</v>
      </c>
      <c r="F75" s="15">
        <f>'07_결과취합'!O75</f>
        <v>0</v>
      </c>
      <c r="G75" s="15">
        <f>'07_결과취합'!P75</f>
        <v>0</v>
      </c>
      <c r="H75" s="15">
        <f>'07_결과취합'!Q75</f>
        <v>0</v>
      </c>
      <c r="I75" s="15">
        <f>'07_결과취합'!R75</f>
        <v>0</v>
      </c>
      <c r="J75" s="15">
        <f>'07_결과취합'!S75</f>
        <v>0</v>
      </c>
      <c r="K75" s="15">
        <f>'07_결과취합'!T75</f>
        <v>0</v>
      </c>
      <c r="L75" s="15">
        <f>'07_결과취합'!U75</f>
        <v>0</v>
      </c>
      <c r="M75" s="15">
        <f>'07_결과취합'!V75</f>
        <v>0</v>
      </c>
      <c r="N75" s="15">
        <f>'07_결과취합'!W75</f>
        <v>0</v>
      </c>
      <c r="O75" s="15">
        <f>'07_결과취합'!X75</f>
        <v>0</v>
      </c>
      <c r="P75" s="24">
        <f>IF(COUNTBLANK(E75:O75)&gt;0,"",'02_의사결정·종합결과'!$E$53*(IF(E75="S",5,IF(E75="A",4,IF(E75="B",3,IF(E75="C",2,IF(E75="D",1,0))))))+'02_의사결정·종합결과'!$E$54*(IF(F75="S",5,IF(F75="A",4,IF(F75="B",3,IF(F75="C",2,IF(F75="D",1,0))))))+'02_의사결정·종합결과'!$E$55*(IF(G75="S",5,IF(G75="A",4,IF(G75="B",3,IF(G75="C",2,IF(G75="D",1,0))))))+'02_의사결정·종합결과'!$E$56*(IF(H75="S",5,IF(H75="A",4,IF(H75="B",3,IF(H75="C",2,IF(H75="D",1,0))))))+'02_의사결정·종합결과'!$E$57*(IF(I75="S",5,IF(I75="A",4,IF(I75="B",3,IF(I75="C",2,IF(I75="D",1,0))))))+'02_의사결정·종합결과'!$E$58*(IF(J75="S",5,IF(J75="A",4,IF(J75="B",3,IF(J75="C",2,IF(J75="D",1,0))))))+'02_의사결정·종합결과'!$E$59*(IF(K75="S",5,IF(K75="A",4,IF(K75="B",3,IF(K75="C",2,IF(K75="D",1,0))))))+'02_의사결정·종합결과'!$E$60*(IF(L75="S",5,IF(L75="A",4,IF(L75="B",3,IF(L75="C",2,IF(L75="D",1,0))))))+'02_의사결정·종합결과'!$E$61*(IF(M75="S",5,IF(M75="A",4,IF(M75="B",3,IF(M75="C",2,IF(M75="D",1,0))))))+'02_의사결정·종합결과'!$E$62*(IF(N75="S",5,IF(N75="A",4,IF(N75="B",3,IF(N75="C",2,IF(N75="D",1,0))))))+'02_의사결정·종합결과'!$E$63*(IF(O75="S",5,IF(O75="A",4,IF(O75="B",3,IF(O75="C",2,IF(O75="D",1,0)))))))</f>
        <v>0</v>
      </c>
      <c r="Q75" s="15" t="str">
        <f t="shared" si="1"/>
        <v>D</v>
      </c>
    </row>
    <row r="76" spans="1:17" x14ac:dyDescent="0.6">
      <c r="A76" s="15">
        <f>'01_인적정보'!A37</f>
        <v>33</v>
      </c>
      <c r="B76" s="15" t="str">
        <f>'01_인적정보'!B37</f>
        <v>BSS-033</v>
      </c>
      <c r="C76" s="15" t="str">
        <f>'01_인적정보'!C37</f>
        <v>유태석</v>
      </c>
      <c r="D76" s="15" t="str">
        <f>'01_인적정보'!H37</f>
        <v>G1</v>
      </c>
      <c r="E76" s="15">
        <f>'07_결과취합'!N76</f>
        <v>0</v>
      </c>
      <c r="F76" s="15">
        <f>'07_결과취합'!O76</f>
        <v>0</v>
      </c>
      <c r="G76" s="15">
        <f>'07_결과취합'!P76</f>
        <v>0</v>
      </c>
      <c r="H76" s="15">
        <f>'07_결과취합'!Q76</f>
        <v>0</v>
      </c>
      <c r="I76" s="15">
        <f>'07_결과취합'!R76</f>
        <v>0</v>
      </c>
      <c r="J76" s="15">
        <f>'07_결과취합'!S76</f>
        <v>0</v>
      </c>
      <c r="K76" s="15">
        <f>'07_결과취합'!T76</f>
        <v>0</v>
      </c>
      <c r="L76" s="15">
        <f>'07_결과취합'!U76</f>
        <v>0</v>
      </c>
      <c r="M76" s="15">
        <f>'07_결과취합'!V76</f>
        <v>0</v>
      </c>
      <c r="N76" s="15">
        <f>'07_결과취합'!W76</f>
        <v>0</v>
      </c>
      <c r="O76" s="15">
        <f>'07_결과취합'!X76</f>
        <v>0</v>
      </c>
      <c r="P76" s="24">
        <f>IF(COUNTBLANK(E76:O76)&gt;0,"",'02_의사결정·종합결과'!$E$53*(IF(E76="S",5,IF(E76="A",4,IF(E76="B",3,IF(E76="C",2,IF(E76="D",1,0))))))+'02_의사결정·종합결과'!$E$54*(IF(F76="S",5,IF(F76="A",4,IF(F76="B",3,IF(F76="C",2,IF(F76="D",1,0))))))+'02_의사결정·종합결과'!$E$55*(IF(G76="S",5,IF(G76="A",4,IF(G76="B",3,IF(G76="C",2,IF(G76="D",1,0))))))+'02_의사결정·종합결과'!$E$56*(IF(H76="S",5,IF(H76="A",4,IF(H76="B",3,IF(H76="C",2,IF(H76="D",1,0))))))+'02_의사결정·종합결과'!$E$57*(IF(I76="S",5,IF(I76="A",4,IF(I76="B",3,IF(I76="C",2,IF(I76="D",1,0))))))+'02_의사결정·종합결과'!$E$58*(IF(J76="S",5,IF(J76="A",4,IF(J76="B",3,IF(J76="C",2,IF(J76="D",1,0))))))+'02_의사결정·종합결과'!$E$59*(IF(K76="S",5,IF(K76="A",4,IF(K76="B",3,IF(K76="C",2,IF(K76="D",1,0))))))+'02_의사결정·종합결과'!$E$60*(IF(L76="S",5,IF(L76="A",4,IF(L76="B",3,IF(L76="C",2,IF(L76="D",1,0))))))+'02_의사결정·종합결과'!$E$61*(IF(M76="S",5,IF(M76="A",4,IF(M76="B",3,IF(M76="C",2,IF(M76="D",1,0))))))+'02_의사결정·종합결과'!$E$62*(IF(N76="S",5,IF(N76="A",4,IF(N76="B",3,IF(N76="C",2,IF(N76="D",1,0))))))+'02_의사결정·종합결과'!$E$63*(IF(O76="S",5,IF(O76="A",4,IF(O76="B",3,IF(O76="C",2,IF(O76="D",1,0)))))))</f>
        <v>0</v>
      </c>
      <c r="Q76" s="15" t="str">
        <f t="shared" si="1"/>
        <v>D</v>
      </c>
    </row>
    <row r="77" spans="1:17" x14ac:dyDescent="0.6">
      <c r="A77" s="15">
        <f>'01_인적정보'!A38</f>
        <v>34</v>
      </c>
      <c r="B77" s="15" t="str">
        <f>'01_인적정보'!B38</f>
        <v>BSS-034</v>
      </c>
      <c r="C77" s="15" t="str">
        <f>'01_인적정보'!C38</f>
        <v>엄보근</v>
      </c>
      <c r="D77" s="15" t="str">
        <f>'01_인적정보'!H38</f>
        <v>G1</v>
      </c>
      <c r="E77" s="15">
        <f>'07_결과취합'!N77</f>
        <v>0</v>
      </c>
      <c r="F77" s="15">
        <f>'07_결과취합'!O77</f>
        <v>0</v>
      </c>
      <c r="G77" s="15">
        <f>'07_결과취합'!P77</f>
        <v>0</v>
      </c>
      <c r="H77" s="15">
        <f>'07_결과취합'!Q77</f>
        <v>0</v>
      </c>
      <c r="I77" s="15">
        <f>'07_결과취합'!R77</f>
        <v>0</v>
      </c>
      <c r="J77" s="15">
        <f>'07_결과취합'!S77</f>
        <v>0</v>
      </c>
      <c r="K77" s="15">
        <f>'07_결과취합'!T77</f>
        <v>0</v>
      </c>
      <c r="L77" s="15">
        <f>'07_결과취합'!U77</f>
        <v>0</v>
      </c>
      <c r="M77" s="15">
        <f>'07_결과취합'!V77</f>
        <v>0</v>
      </c>
      <c r="N77" s="15">
        <f>'07_결과취합'!W77</f>
        <v>0</v>
      </c>
      <c r="O77" s="15">
        <f>'07_결과취합'!X77</f>
        <v>0</v>
      </c>
      <c r="P77" s="24">
        <f>IF(COUNTBLANK(E77:O77)&gt;0,"",'02_의사결정·종합결과'!$E$53*(IF(E77="S",5,IF(E77="A",4,IF(E77="B",3,IF(E77="C",2,IF(E77="D",1,0))))))+'02_의사결정·종합결과'!$E$54*(IF(F77="S",5,IF(F77="A",4,IF(F77="B",3,IF(F77="C",2,IF(F77="D",1,0))))))+'02_의사결정·종합결과'!$E$55*(IF(G77="S",5,IF(G77="A",4,IF(G77="B",3,IF(G77="C",2,IF(G77="D",1,0))))))+'02_의사결정·종합결과'!$E$56*(IF(H77="S",5,IF(H77="A",4,IF(H77="B",3,IF(H77="C",2,IF(H77="D",1,0))))))+'02_의사결정·종합결과'!$E$57*(IF(I77="S",5,IF(I77="A",4,IF(I77="B",3,IF(I77="C",2,IF(I77="D",1,0))))))+'02_의사결정·종합결과'!$E$58*(IF(J77="S",5,IF(J77="A",4,IF(J77="B",3,IF(J77="C",2,IF(J77="D",1,0))))))+'02_의사결정·종합결과'!$E$59*(IF(K77="S",5,IF(K77="A",4,IF(K77="B",3,IF(K77="C",2,IF(K77="D",1,0))))))+'02_의사결정·종합결과'!$E$60*(IF(L77="S",5,IF(L77="A",4,IF(L77="B",3,IF(L77="C",2,IF(L77="D",1,0))))))+'02_의사결정·종합결과'!$E$61*(IF(M77="S",5,IF(M77="A",4,IF(M77="B",3,IF(M77="C",2,IF(M77="D",1,0))))))+'02_의사결정·종합결과'!$E$62*(IF(N77="S",5,IF(N77="A",4,IF(N77="B",3,IF(N77="C",2,IF(N77="D",1,0))))))+'02_의사결정·종합결과'!$E$63*(IF(O77="S",5,IF(O77="A",4,IF(O77="B",3,IF(O77="C",2,IF(O77="D",1,0)))))))</f>
        <v>0</v>
      </c>
      <c r="Q77" s="15" t="str">
        <f t="shared" si="1"/>
        <v>D</v>
      </c>
    </row>
  </sheetData>
  <mergeCells count="4">
    <mergeCell ref="A42:Q42"/>
    <mergeCell ref="A2:Q2"/>
    <mergeCell ref="A1:Q1"/>
    <mergeCell ref="A4:Q4"/>
  </mergeCells>
  <phoneticPr fontId="16" type="noConversion"/>
  <conditionalFormatting sqref="E6:O77">
    <cfRule type="cellIs" dxfId="67" priority="1" operator="equal">
      <formula>"S"</formula>
    </cfRule>
    <cfRule type="cellIs" dxfId="66" priority="2" operator="equal">
      <formula>"A"</formula>
    </cfRule>
    <cfRule type="cellIs" dxfId="65" priority="3" operator="equal">
      <formula>"C"</formula>
    </cfRule>
    <cfRule type="cellIs" dxfId="64" priority="4" operator="equal">
      <formula>"D"</formula>
    </cfRule>
  </conditionalFormatting>
  <conditionalFormatting sqref="Q6:Q77">
    <cfRule type="cellIs" dxfId="63" priority="45" operator="equal">
      <formula>"S"</formula>
    </cfRule>
    <cfRule type="cellIs" dxfId="62" priority="46" operator="equal">
      <formula>"A"</formula>
    </cfRule>
    <cfRule type="cellIs" dxfId="61" priority="47" operator="equal">
      <formula>"C"</formula>
    </cfRule>
    <cfRule type="cellIs" dxfId="60" priority="48" operator="equal">
      <formula>"D"</formula>
    </cfRule>
  </conditionalFormatting>
  <dataValidations count="1">
    <dataValidation type="list" allowBlank="1" sqref="E6:O39 E44:O77" xr:uid="{00000000-0002-0000-0500-000000000000}">
      <formula1>"S,A,B,C,D"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77"/>
  <sheetViews>
    <sheetView showGridLines="0" workbookViewId="0">
      <pane xSplit="3" ySplit="5" topLeftCell="D36" activePane="bottomRight" state="frozen"/>
      <selection pane="topRight"/>
      <selection pane="bottomLeft"/>
      <selection pane="bottomRight" activeCell="G5" sqref="G5"/>
    </sheetView>
  </sheetViews>
  <sheetFormatPr defaultRowHeight="16.899999999999999" x14ac:dyDescent="0.6"/>
  <cols>
    <col min="1" max="1" width="5" customWidth="1"/>
    <col min="2" max="3" width="11" customWidth="1"/>
    <col min="4" max="4" width="16" customWidth="1"/>
    <col min="5" max="5" width="10" customWidth="1"/>
    <col min="6" max="11" width="13.125" customWidth="1"/>
    <col min="12" max="12" width="20" customWidth="1"/>
  </cols>
  <sheetData>
    <row r="1" spans="1:12" ht="28.05" customHeight="1" x14ac:dyDescent="0.6">
      <c r="A1" s="51" t="s">
        <v>404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</row>
    <row r="2" spans="1:12" ht="18" customHeight="1" x14ac:dyDescent="0.6">
      <c r="A2" s="48" t="s">
        <v>405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</row>
    <row r="4" spans="1:12" ht="22.05" customHeight="1" x14ac:dyDescent="0.6">
      <c r="A4" s="45" t="s">
        <v>406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</row>
    <row r="5" spans="1:12" ht="33.75" x14ac:dyDescent="0.6">
      <c r="A5" s="2" t="s">
        <v>131</v>
      </c>
      <c r="B5" s="2" t="s">
        <v>132</v>
      </c>
      <c r="C5" s="2" t="s">
        <v>133</v>
      </c>
      <c r="D5" s="2" t="s">
        <v>135</v>
      </c>
      <c r="E5" s="2" t="s">
        <v>105</v>
      </c>
      <c r="F5" s="2" t="s">
        <v>407</v>
      </c>
      <c r="G5" s="2" t="s">
        <v>408</v>
      </c>
      <c r="H5" s="2" t="s">
        <v>409</v>
      </c>
      <c r="I5" s="2" t="s">
        <v>410</v>
      </c>
      <c r="J5" s="2" t="s">
        <v>383</v>
      </c>
      <c r="K5" s="2" t="s">
        <v>411</v>
      </c>
      <c r="L5" s="2" t="s">
        <v>402</v>
      </c>
    </row>
    <row r="6" spans="1:12" x14ac:dyDescent="0.6">
      <c r="A6" s="15">
        <f>'01_인적정보'!A5</f>
        <v>1</v>
      </c>
      <c r="B6" s="15" t="str">
        <f>'01_인적정보'!B5</f>
        <v>BSS-001</v>
      </c>
      <c r="C6" s="15" t="str">
        <f>'01_인적정보'!C5</f>
        <v>이화형</v>
      </c>
      <c r="D6" s="15" t="str">
        <f>'01_인적정보'!E5</f>
        <v>프로젝트영업</v>
      </c>
      <c r="E6" s="15" t="str">
        <f>'01_인적정보'!H5</f>
        <v>G6</v>
      </c>
      <c r="F6" s="25">
        <f>COUNTIF('14_직무책무DB'!$B$5:$B$70,D6)</f>
        <v>5</v>
      </c>
      <c r="G6" s="12"/>
      <c r="H6" s="15">
        <f>'07_결과취합'!Y6</f>
        <v>0</v>
      </c>
      <c r="I6" s="15">
        <f>'07_결과취합'!Z6</f>
        <v>0</v>
      </c>
      <c r="J6" s="15">
        <f t="shared" ref="J6:J39" si="0">IF(I6&lt;&gt;"",I6,H6)</f>
        <v>0</v>
      </c>
      <c r="K6" s="24">
        <f t="shared" ref="K6:K39" si="1">IF(J6="","",IF(J6="S",5,IF(J6="A",4,IF(J6="B",3,IF(J6="C",2,IF(J6="D",1,0))))))</f>
        <v>0</v>
      </c>
      <c r="L6" s="12"/>
    </row>
    <row r="7" spans="1:12" x14ac:dyDescent="0.6">
      <c r="A7" s="15">
        <f>'01_인적정보'!A6</f>
        <v>2</v>
      </c>
      <c r="B7" s="15" t="str">
        <f>'01_인적정보'!B6</f>
        <v>BSS-002</v>
      </c>
      <c r="C7" s="15" t="str">
        <f>'01_인적정보'!C6</f>
        <v>강전용</v>
      </c>
      <c r="D7" s="15" t="str">
        <f>'01_인적정보'!E6</f>
        <v>연구개발(R&amp;D)</v>
      </c>
      <c r="E7" s="15" t="str">
        <f>'01_인적정보'!H6</f>
        <v>G6</v>
      </c>
      <c r="F7" s="25">
        <f>COUNTIF('14_직무책무DB'!$B$5:$B$70,D7)</f>
        <v>10</v>
      </c>
      <c r="G7" s="12"/>
      <c r="H7" s="15">
        <f>'07_결과취합'!Y7</f>
        <v>0</v>
      </c>
      <c r="I7" s="15">
        <f>'07_결과취합'!Z7</f>
        <v>0</v>
      </c>
      <c r="J7" s="15">
        <f t="shared" si="0"/>
        <v>0</v>
      </c>
      <c r="K7" s="24">
        <f t="shared" si="1"/>
        <v>0</v>
      </c>
      <c r="L7" s="12"/>
    </row>
    <row r="8" spans="1:12" x14ac:dyDescent="0.6">
      <c r="A8" s="15">
        <f>'01_인적정보'!A7</f>
        <v>3</v>
      </c>
      <c r="B8" s="15" t="str">
        <f>'01_인적정보'!B7</f>
        <v>BSS-003</v>
      </c>
      <c r="C8" s="15" t="str">
        <f>'01_인적정보'!C7</f>
        <v>김현민</v>
      </c>
      <c r="D8" s="15" t="str">
        <f>'01_인적정보'!E7</f>
        <v>BIM컨설팅</v>
      </c>
      <c r="E8" s="15" t="str">
        <f>'01_인적정보'!H7</f>
        <v>G6</v>
      </c>
      <c r="F8" s="25">
        <f>COUNTIF('14_직무책무DB'!$B$5:$B$70,D8)</f>
        <v>14</v>
      </c>
      <c r="G8" s="12"/>
      <c r="H8" s="15">
        <f>'07_결과취합'!Y8</f>
        <v>0</v>
      </c>
      <c r="I8" s="15">
        <f>'07_결과취합'!Z8</f>
        <v>0</v>
      </c>
      <c r="J8" s="15">
        <f t="shared" si="0"/>
        <v>0</v>
      </c>
      <c r="K8" s="24">
        <f t="shared" si="1"/>
        <v>0</v>
      </c>
      <c r="L8" s="12"/>
    </row>
    <row r="9" spans="1:12" x14ac:dyDescent="0.6">
      <c r="A9" s="15">
        <f>'01_인적정보'!A8</f>
        <v>4</v>
      </c>
      <c r="B9" s="15" t="str">
        <f>'01_인적정보'!B8</f>
        <v>BSS-004</v>
      </c>
      <c r="C9" s="15" t="str">
        <f>'01_인적정보'!C8</f>
        <v>이일곤</v>
      </c>
      <c r="D9" s="15" t="str">
        <f>'01_인적정보'!E8</f>
        <v>경영전략기획</v>
      </c>
      <c r="E9" s="15" t="str">
        <f>'01_인적정보'!H8</f>
        <v>G6</v>
      </c>
      <c r="F9" s="25">
        <f>COUNTIF('14_직무책무DB'!$B$5:$B$70,D9)</f>
        <v>19</v>
      </c>
      <c r="G9" s="12"/>
      <c r="H9" s="15">
        <f>'07_결과취합'!Y9</f>
        <v>0</v>
      </c>
      <c r="I9" s="15">
        <f>'07_결과취합'!Z9</f>
        <v>0</v>
      </c>
      <c r="J9" s="15">
        <f t="shared" si="0"/>
        <v>0</v>
      </c>
      <c r="K9" s="24">
        <f t="shared" si="1"/>
        <v>0</v>
      </c>
      <c r="L9" s="12"/>
    </row>
    <row r="10" spans="1:12" x14ac:dyDescent="0.6">
      <c r="A10" s="15">
        <f>'01_인적정보'!A9</f>
        <v>5</v>
      </c>
      <c r="B10" s="15" t="str">
        <f>'01_인적정보'!B9</f>
        <v>BSS-005</v>
      </c>
      <c r="C10" s="15" t="str">
        <f>'01_인적정보'!C9</f>
        <v>송헌영</v>
      </c>
      <c r="D10" s="15" t="str">
        <f>'01_인적정보'!E9</f>
        <v>경영전략기획</v>
      </c>
      <c r="E10" s="15" t="str">
        <f>'01_인적정보'!H9</f>
        <v>G6</v>
      </c>
      <c r="F10" s="25">
        <f>COUNTIF('14_직무책무DB'!$B$5:$B$70,D10)</f>
        <v>19</v>
      </c>
      <c r="G10" s="12"/>
      <c r="H10" s="15">
        <f>'07_결과취합'!Y10</f>
        <v>0</v>
      </c>
      <c r="I10" s="15">
        <f>'07_결과취합'!Z10</f>
        <v>0</v>
      </c>
      <c r="J10" s="15">
        <f t="shared" si="0"/>
        <v>0</v>
      </c>
      <c r="K10" s="24">
        <f t="shared" si="1"/>
        <v>0</v>
      </c>
      <c r="L10" s="12"/>
    </row>
    <row r="11" spans="1:12" x14ac:dyDescent="0.6">
      <c r="A11" s="15">
        <f>'01_인적정보'!A10</f>
        <v>6</v>
      </c>
      <c r="B11" s="15" t="str">
        <f>'01_인적정보'!B10</f>
        <v>BSS-006</v>
      </c>
      <c r="C11" s="15" t="str">
        <f>'01_인적정보'!C10</f>
        <v>이재용</v>
      </c>
      <c r="D11" s="15" t="str">
        <f>'01_인적정보'!E10</f>
        <v>경영전략기획</v>
      </c>
      <c r="E11" s="15" t="str">
        <f>'01_인적정보'!H10</f>
        <v>G6</v>
      </c>
      <c r="F11" s="25">
        <f>COUNTIF('14_직무책무DB'!$B$5:$B$70,D11)</f>
        <v>19</v>
      </c>
      <c r="G11" s="12"/>
      <c r="H11" s="15">
        <f>'07_결과취합'!Y11</f>
        <v>0</v>
      </c>
      <c r="I11" s="15">
        <f>'07_결과취합'!Z11</f>
        <v>0</v>
      </c>
      <c r="J11" s="15">
        <f t="shared" si="0"/>
        <v>0</v>
      </c>
      <c r="K11" s="24">
        <f t="shared" si="1"/>
        <v>0</v>
      </c>
      <c r="L11" s="12"/>
    </row>
    <row r="12" spans="1:12" x14ac:dyDescent="0.6">
      <c r="A12" s="15">
        <f>'01_인적정보'!A11</f>
        <v>7</v>
      </c>
      <c r="B12" s="15" t="str">
        <f>'01_인적정보'!B11</f>
        <v>BSS-007</v>
      </c>
      <c r="C12" s="15" t="str">
        <f>'01_인적정보'!C11</f>
        <v>이진행</v>
      </c>
      <c r="D12" s="15" t="str">
        <f>'01_인적정보'!E11</f>
        <v>교육·기술지원</v>
      </c>
      <c r="E12" s="15" t="str">
        <f>'01_인적정보'!H11</f>
        <v>G5</v>
      </c>
      <c r="F12" s="25">
        <f>COUNTIF('14_직무책무DB'!$B$5:$B$70,D12)</f>
        <v>0</v>
      </c>
      <c r="G12" s="12"/>
      <c r="H12" s="15">
        <f>'07_결과취합'!Y12</f>
        <v>0</v>
      </c>
      <c r="I12" s="15">
        <f>'07_결과취합'!Z12</f>
        <v>0</v>
      </c>
      <c r="J12" s="15">
        <f t="shared" si="0"/>
        <v>0</v>
      </c>
      <c r="K12" s="24">
        <f t="shared" si="1"/>
        <v>0</v>
      </c>
      <c r="L12" s="12"/>
    </row>
    <row r="13" spans="1:12" x14ac:dyDescent="0.6">
      <c r="A13" s="15">
        <f>'01_인적정보'!A12</f>
        <v>8</v>
      </c>
      <c r="B13" s="15" t="str">
        <f>'01_인적정보'!B12</f>
        <v>BSS-008</v>
      </c>
      <c r="C13" s="15" t="str">
        <f>'01_인적정보'!C12</f>
        <v>김민수</v>
      </c>
      <c r="D13" s="15" t="str">
        <f>'01_인적정보'!E12</f>
        <v>교육·기술지원</v>
      </c>
      <c r="E13" s="15" t="str">
        <f>'01_인적정보'!H12</f>
        <v>G5</v>
      </c>
      <c r="F13" s="25">
        <f>COUNTIF('14_직무책무DB'!$B$5:$B$70,D13)</f>
        <v>0</v>
      </c>
      <c r="G13" s="12"/>
      <c r="H13" s="15">
        <f>'07_결과취합'!Y13</f>
        <v>0</v>
      </c>
      <c r="I13" s="15">
        <f>'07_결과취합'!Z13</f>
        <v>0</v>
      </c>
      <c r="J13" s="15">
        <f t="shared" si="0"/>
        <v>0</v>
      </c>
      <c r="K13" s="24">
        <f t="shared" si="1"/>
        <v>0</v>
      </c>
      <c r="L13" s="12"/>
    </row>
    <row r="14" spans="1:12" x14ac:dyDescent="0.6">
      <c r="A14" s="15">
        <f>'01_인적정보'!A13</f>
        <v>9</v>
      </c>
      <c r="B14" s="15" t="str">
        <f>'01_인적정보'!B13</f>
        <v>BSS-009</v>
      </c>
      <c r="C14" s="15" t="str">
        <f>'01_인적정보'!C13</f>
        <v>박남식</v>
      </c>
      <c r="D14" s="15" t="str">
        <f>'01_인적정보'!E13</f>
        <v>BIM컨설팅</v>
      </c>
      <c r="E14" s="15" t="str">
        <f>'01_인적정보'!H13</f>
        <v>G5</v>
      </c>
      <c r="F14" s="25">
        <f>COUNTIF('14_직무책무DB'!$B$5:$B$70,D14)</f>
        <v>14</v>
      </c>
      <c r="G14" s="12"/>
      <c r="H14" s="15">
        <f>'07_결과취합'!Y14</f>
        <v>0</v>
      </c>
      <c r="I14" s="15">
        <f>'07_결과취합'!Z14</f>
        <v>0</v>
      </c>
      <c r="J14" s="15">
        <f t="shared" si="0"/>
        <v>0</v>
      </c>
      <c r="K14" s="24">
        <f t="shared" si="1"/>
        <v>0</v>
      </c>
      <c r="L14" s="12"/>
    </row>
    <row r="15" spans="1:12" x14ac:dyDescent="0.6">
      <c r="A15" s="15">
        <f>'01_인적정보'!A14</f>
        <v>10</v>
      </c>
      <c r="B15" s="15" t="str">
        <f>'01_인적정보'!B14</f>
        <v>BSS-010</v>
      </c>
      <c r="C15" s="15" t="str">
        <f>'01_인적정보'!C14</f>
        <v>신재민</v>
      </c>
      <c r="D15" s="15" t="str">
        <f>'01_인적정보'!E14</f>
        <v>BIM컨설팅</v>
      </c>
      <c r="E15" s="15" t="str">
        <f>'01_인적정보'!H14</f>
        <v>G5</v>
      </c>
      <c r="F15" s="25">
        <f>COUNTIF('14_직무책무DB'!$B$5:$B$70,D15)</f>
        <v>14</v>
      </c>
      <c r="G15" s="12"/>
      <c r="H15" s="15">
        <f>'07_결과취합'!Y15</f>
        <v>0</v>
      </c>
      <c r="I15" s="15">
        <f>'07_결과취합'!Z15</f>
        <v>0</v>
      </c>
      <c r="J15" s="15">
        <f t="shared" si="0"/>
        <v>0</v>
      </c>
      <c r="K15" s="24">
        <f t="shared" si="1"/>
        <v>0</v>
      </c>
      <c r="L15" s="12"/>
    </row>
    <row r="16" spans="1:12" x14ac:dyDescent="0.6">
      <c r="A16" s="15">
        <f>'01_인적정보'!A15</f>
        <v>11</v>
      </c>
      <c r="B16" s="15" t="str">
        <f>'01_인적정보'!B15</f>
        <v>BSS-011</v>
      </c>
      <c r="C16" s="15" t="str">
        <f>'01_인적정보'!C15</f>
        <v>마장엽</v>
      </c>
      <c r="D16" s="15" t="str">
        <f>'01_인적정보'!E15</f>
        <v>BIM컨설팅</v>
      </c>
      <c r="E16" s="15" t="str">
        <f>'01_인적정보'!H15</f>
        <v>G5</v>
      </c>
      <c r="F16" s="25">
        <f>COUNTIF('14_직무책무DB'!$B$5:$B$70,D16)</f>
        <v>14</v>
      </c>
      <c r="G16" s="12"/>
      <c r="H16" s="15">
        <f>'07_결과취합'!Y16</f>
        <v>0</v>
      </c>
      <c r="I16" s="15">
        <f>'07_결과취합'!Z16</f>
        <v>0</v>
      </c>
      <c r="J16" s="15">
        <f t="shared" si="0"/>
        <v>0</v>
      </c>
      <c r="K16" s="24">
        <f t="shared" si="1"/>
        <v>0</v>
      </c>
      <c r="L16" s="12"/>
    </row>
    <row r="17" spans="1:12" x14ac:dyDescent="0.6">
      <c r="A17" s="15">
        <f>'01_인적정보'!A16</f>
        <v>12</v>
      </c>
      <c r="B17" s="15" t="str">
        <f>'01_인적정보'!B16</f>
        <v>BSS-012</v>
      </c>
      <c r="C17" s="15" t="str">
        <f>'01_인적정보'!C16</f>
        <v>하은주</v>
      </c>
      <c r="D17" s="15" t="str">
        <f>'01_인적정보'!E16</f>
        <v>경영전략기획</v>
      </c>
      <c r="E17" s="15" t="str">
        <f>'01_인적정보'!H16</f>
        <v>G5</v>
      </c>
      <c r="F17" s="25">
        <f>COUNTIF('14_직무책무DB'!$B$5:$B$70,D17)</f>
        <v>19</v>
      </c>
      <c r="G17" s="12"/>
      <c r="H17" s="15">
        <f>'07_결과취합'!Y17</f>
        <v>0</v>
      </c>
      <c r="I17" s="15">
        <f>'07_결과취합'!Z17</f>
        <v>0</v>
      </c>
      <c r="J17" s="15">
        <f t="shared" si="0"/>
        <v>0</v>
      </c>
      <c r="K17" s="24">
        <f t="shared" si="1"/>
        <v>0</v>
      </c>
      <c r="L17" s="12"/>
    </row>
    <row r="18" spans="1:12" x14ac:dyDescent="0.6">
      <c r="A18" s="15">
        <f>'01_인적정보'!A17</f>
        <v>13</v>
      </c>
      <c r="B18" s="15" t="str">
        <f>'01_인적정보'!B17</f>
        <v>BSS-013</v>
      </c>
      <c r="C18" s="15" t="str">
        <f>'01_인적정보'!C17</f>
        <v>홍사훈</v>
      </c>
      <c r="D18" s="15" t="str">
        <f>'01_인적정보'!E17</f>
        <v>BIM컨설팅</v>
      </c>
      <c r="E18" s="15" t="str">
        <f>'01_인적정보'!H17</f>
        <v>G5</v>
      </c>
      <c r="F18" s="25">
        <f>COUNTIF('14_직무책무DB'!$B$5:$B$70,D18)</f>
        <v>14</v>
      </c>
      <c r="G18" s="12"/>
      <c r="H18" s="15">
        <f>'07_결과취합'!Y18</f>
        <v>0</v>
      </c>
      <c r="I18" s="15">
        <f>'07_결과취합'!Z18</f>
        <v>0</v>
      </c>
      <c r="J18" s="15">
        <f t="shared" si="0"/>
        <v>0</v>
      </c>
      <c r="K18" s="24">
        <f t="shared" si="1"/>
        <v>0</v>
      </c>
      <c r="L18" s="12"/>
    </row>
    <row r="19" spans="1:12" x14ac:dyDescent="0.6">
      <c r="A19" s="15">
        <f>'01_인적정보'!A18</f>
        <v>14</v>
      </c>
      <c r="B19" s="15" t="str">
        <f>'01_인적정보'!B18</f>
        <v>BSS-014</v>
      </c>
      <c r="C19" s="15" t="str">
        <f>'01_인적정보'!C18</f>
        <v>유자영</v>
      </c>
      <c r="D19" s="15" t="str">
        <f>'01_인적정보'!E18</f>
        <v>BIM컨설팅</v>
      </c>
      <c r="E19" s="15" t="str">
        <f>'01_인적정보'!H18</f>
        <v>G5</v>
      </c>
      <c r="F19" s="25">
        <f>COUNTIF('14_직무책무DB'!$B$5:$B$70,D19)</f>
        <v>14</v>
      </c>
      <c r="G19" s="12"/>
      <c r="H19" s="15">
        <f>'07_결과취합'!Y19</f>
        <v>0</v>
      </c>
      <c r="I19" s="15">
        <f>'07_결과취합'!Z19</f>
        <v>0</v>
      </c>
      <c r="J19" s="15">
        <f t="shared" si="0"/>
        <v>0</v>
      </c>
      <c r="K19" s="24">
        <f t="shared" si="1"/>
        <v>0</v>
      </c>
      <c r="L19" s="12"/>
    </row>
    <row r="20" spans="1:12" x14ac:dyDescent="0.6">
      <c r="A20" s="15">
        <f>'01_인적정보'!A19</f>
        <v>15</v>
      </c>
      <c r="B20" s="15" t="str">
        <f>'01_인적정보'!B19</f>
        <v>BSS-015</v>
      </c>
      <c r="C20" s="15" t="str">
        <f>'01_인적정보'!C19</f>
        <v>민지선</v>
      </c>
      <c r="D20" s="15" t="str">
        <f>'01_인적정보'!E19</f>
        <v>BIM컨설팅</v>
      </c>
      <c r="E20" s="15" t="str">
        <f>'01_인적정보'!H19</f>
        <v>G5</v>
      </c>
      <c r="F20" s="25">
        <f>COUNTIF('14_직무책무DB'!$B$5:$B$70,D20)</f>
        <v>14</v>
      </c>
      <c r="G20" s="12"/>
      <c r="H20" s="15">
        <f>'07_결과취합'!Y20</f>
        <v>0</v>
      </c>
      <c r="I20" s="15">
        <f>'07_결과취합'!Z20</f>
        <v>0</v>
      </c>
      <c r="J20" s="15">
        <f t="shared" si="0"/>
        <v>0</v>
      </c>
      <c r="K20" s="24">
        <f t="shared" si="1"/>
        <v>0</v>
      </c>
      <c r="L20" s="12"/>
    </row>
    <row r="21" spans="1:12" x14ac:dyDescent="0.6">
      <c r="A21" s="15">
        <f>'01_인적정보'!A20</f>
        <v>16</v>
      </c>
      <c r="B21" s="15" t="str">
        <f>'01_인적정보'!B20</f>
        <v>BSS-016</v>
      </c>
      <c r="C21" s="15" t="str">
        <f>'01_인적정보'!C20</f>
        <v>장훈</v>
      </c>
      <c r="D21" s="15" t="str">
        <f>'01_인적정보'!E20</f>
        <v>BIM컨설팅</v>
      </c>
      <c r="E21" s="15" t="str">
        <f>'01_인적정보'!H20</f>
        <v>G5</v>
      </c>
      <c r="F21" s="25">
        <f>COUNTIF('14_직무책무DB'!$B$5:$B$70,D21)</f>
        <v>14</v>
      </c>
      <c r="G21" s="12"/>
      <c r="H21" s="15">
        <f>'07_결과취합'!Y21</f>
        <v>0</v>
      </c>
      <c r="I21" s="15">
        <f>'07_결과취합'!Z21</f>
        <v>0</v>
      </c>
      <c r="J21" s="15">
        <f t="shared" si="0"/>
        <v>0</v>
      </c>
      <c r="K21" s="24">
        <f t="shared" si="1"/>
        <v>0</v>
      </c>
      <c r="L21" s="12"/>
    </row>
    <row r="22" spans="1:12" x14ac:dyDescent="0.6">
      <c r="A22" s="15">
        <f>'01_인적정보'!A21</f>
        <v>17</v>
      </c>
      <c r="B22" s="15" t="str">
        <f>'01_인적정보'!B21</f>
        <v>BSS-017</v>
      </c>
      <c r="C22" s="15" t="str">
        <f>'01_인적정보'!C21</f>
        <v>김우람</v>
      </c>
      <c r="D22" s="15" t="str">
        <f>'01_인적정보'!E21</f>
        <v>교육·기술지원</v>
      </c>
      <c r="E22" s="15" t="str">
        <f>'01_인적정보'!H21</f>
        <v>G4</v>
      </c>
      <c r="F22" s="25">
        <f>COUNTIF('14_직무책무DB'!$B$5:$B$70,D22)</f>
        <v>0</v>
      </c>
      <c r="G22" s="12"/>
      <c r="H22" s="15">
        <f>'07_결과취합'!Y22</f>
        <v>0</v>
      </c>
      <c r="I22" s="15">
        <f>'07_결과취합'!Z22</f>
        <v>0</v>
      </c>
      <c r="J22" s="15">
        <f t="shared" si="0"/>
        <v>0</v>
      </c>
      <c r="K22" s="24">
        <f t="shared" si="1"/>
        <v>0</v>
      </c>
      <c r="L22" s="12"/>
    </row>
    <row r="23" spans="1:12" x14ac:dyDescent="0.6">
      <c r="A23" s="15">
        <f>'01_인적정보'!A22</f>
        <v>18</v>
      </c>
      <c r="B23" s="15" t="str">
        <f>'01_인적정보'!B22</f>
        <v>BSS-018</v>
      </c>
      <c r="C23" s="15" t="str">
        <f>'01_인적정보'!C22</f>
        <v>조성준</v>
      </c>
      <c r="D23" s="15" t="str">
        <f>'01_인적정보'!E22</f>
        <v>BIM컨설팅</v>
      </c>
      <c r="E23" s="15" t="str">
        <f>'01_인적정보'!H22</f>
        <v>G4</v>
      </c>
      <c r="F23" s="25">
        <f>COUNTIF('14_직무책무DB'!$B$5:$B$70,D23)</f>
        <v>14</v>
      </c>
      <c r="G23" s="12"/>
      <c r="H23" s="15">
        <f>'07_결과취합'!Y23</f>
        <v>0</v>
      </c>
      <c r="I23" s="15">
        <f>'07_결과취합'!Z23</f>
        <v>0</v>
      </c>
      <c r="J23" s="15">
        <f t="shared" si="0"/>
        <v>0</v>
      </c>
      <c r="K23" s="24">
        <f t="shared" si="1"/>
        <v>0</v>
      </c>
      <c r="L23" s="12"/>
    </row>
    <row r="24" spans="1:12" x14ac:dyDescent="0.6">
      <c r="A24" s="15">
        <f>'01_인적정보'!A23</f>
        <v>19</v>
      </c>
      <c r="B24" s="15" t="str">
        <f>'01_인적정보'!B23</f>
        <v>BSS-019</v>
      </c>
      <c r="C24" s="15" t="str">
        <f>'01_인적정보'!C23</f>
        <v>구서현</v>
      </c>
      <c r="D24" s="15" t="str">
        <f>'01_인적정보'!E23</f>
        <v>BIM컨설팅</v>
      </c>
      <c r="E24" s="15" t="str">
        <f>'01_인적정보'!H23</f>
        <v>G2</v>
      </c>
      <c r="F24" s="25">
        <f>COUNTIF('14_직무책무DB'!$B$5:$B$70,D24)</f>
        <v>14</v>
      </c>
      <c r="G24" s="12"/>
      <c r="H24" s="15">
        <f>'07_결과취합'!Y24</f>
        <v>0</v>
      </c>
      <c r="I24" s="15">
        <f>'07_결과취합'!Z24</f>
        <v>0</v>
      </c>
      <c r="J24" s="15">
        <f t="shared" si="0"/>
        <v>0</v>
      </c>
      <c r="K24" s="24">
        <f t="shared" si="1"/>
        <v>0</v>
      </c>
      <c r="L24" s="12"/>
    </row>
    <row r="25" spans="1:12" x14ac:dyDescent="0.6">
      <c r="A25" s="15">
        <f>'01_인적정보'!A24</f>
        <v>20</v>
      </c>
      <c r="B25" s="15" t="str">
        <f>'01_인적정보'!B24</f>
        <v>BSS-020</v>
      </c>
      <c r="C25" s="15" t="str">
        <f>'01_인적정보'!C24</f>
        <v>박진용</v>
      </c>
      <c r="D25" s="15" t="str">
        <f>'01_인적정보'!E24</f>
        <v>교육·기술지원</v>
      </c>
      <c r="E25" s="15" t="str">
        <f>'01_인적정보'!H24</f>
        <v>G3</v>
      </c>
      <c r="F25" s="25">
        <f>COUNTIF('14_직무책무DB'!$B$5:$B$70,D25)</f>
        <v>0</v>
      </c>
      <c r="G25" s="12"/>
      <c r="H25" s="15">
        <f>'07_결과취합'!Y25</f>
        <v>0</v>
      </c>
      <c r="I25" s="15">
        <f>'07_결과취합'!Z25</f>
        <v>0</v>
      </c>
      <c r="J25" s="15">
        <f t="shared" si="0"/>
        <v>0</v>
      </c>
      <c r="K25" s="24">
        <f t="shared" si="1"/>
        <v>0</v>
      </c>
      <c r="L25" s="12"/>
    </row>
    <row r="26" spans="1:12" x14ac:dyDescent="0.6">
      <c r="A26" s="15">
        <f>'01_인적정보'!A25</f>
        <v>21</v>
      </c>
      <c r="B26" s="15" t="str">
        <f>'01_인적정보'!B25</f>
        <v>BSS-021</v>
      </c>
      <c r="C26" s="15" t="str">
        <f>'01_인적정보'!C25</f>
        <v>김가연</v>
      </c>
      <c r="D26" s="15" t="str">
        <f>'01_인적정보'!E25</f>
        <v>BIM컨설팅</v>
      </c>
      <c r="E26" s="15" t="str">
        <f>'01_인적정보'!H25</f>
        <v>G2</v>
      </c>
      <c r="F26" s="25">
        <f>COUNTIF('14_직무책무DB'!$B$5:$B$70,D26)</f>
        <v>14</v>
      </c>
      <c r="G26" s="12"/>
      <c r="H26" s="15">
        <f>'07_결과취합'!Y26</f>
        <v>0</v>
      </c>
      <c r="I26" s="15">
        <f>'07_결과취합'!Z26</f>
        <v>0</v>
      </c>
      <c r="J26" s="15">
        <f t="shared" si="0"/>
        <v>0</v>
      </c>
      <c r="K26" s="24">
        <f t="shared" si="1"/>
        <v>0</v>
      </c>
      <c r="L26" s="12"/>
    </row>
    <row r="27" spans="1:12" x14ac:dyDescent="0.6">
      <c r="A27" s="15">
        <f>'01_인적정보'!A26</f>
        <v>22</v>
      </c>
      <c r="B27" s="15" t="str">
        <f>'01_인적정보'!B26</f>
        <v>BSS-022</v>
      </c>
      <c r="C27" s="15" t="str">
        <f>'01_인적정보'!C26</f>
        <v>한근수</v>
      </c>
      <c r="D27" s="15" t="str">
        <f>'01_인적정보'!E26</f>
        <v>BIM컨설팅</v>
      </c>
      <c r="E27" s="15" t="str">
        <f>'01_인적정보'!H26</f>
        <v>G2</v>
      </c>
      <c r="F27" s="25">
        <f>COUNTIF('14_직무책무DB'!$B$5:$B$70,D27)</f>
        <v>14</v>
      </c>
      <c r="G27" s="12"/>
      <c r="H27" s="15">
        <f>'07_결과취합'!Y27</f>
        <v>0</v>
      </c>
      <c r="I27" s="15">
        <f>'07_결과취합'!Z27</f>
        <v>0</v>
      </c>
      <c r="J27" s="15">
        <f t="shared" si="0"/>
        <v>0</v>
      </c>
      <c r="K27" s="24">
        <f t="shared" si="1"/>
        <v>0</v>
      </c>
      <c r="L27" s="12"/>
    </row>
    <row r="28" spans="1:12" x14ac:dyDescent="0.6">
      <c r="A28" s="15">
        <f>'01_인적정보'!A27</f>
        <v>23</v>
      </c>
      <c r="B28" s="15" t="str">
        <f>'01_인적정보'!B27</f>
        <v>BSS-023</v>
      </c>
      <c r="C28" s="15" t="str">
        <f>'01_인적정보'!C27</f>
        <v>김성민</v>
      </c>
      <c r="D28" s="15" t="str">
        <f>'01_인적정보'!E27</f>
        <v>BIM컨설팅</v>
      </c>
      <c r="E28" s="15" t="str">
        <f>'01_인적정보'!H27</f>
        <v>G2</v>
      </c>
      <c r="F28" s="25">
        <f>COUNTIF('14_직무책무DB'!$B$5:$B$70,D28)</f>
        <v>14</v>
      </c>
      <c r="G28" s="12"/>
      <c r="H28" s="15">
        <f>'07_결과취합'!Y28</f>
        <v>0</v>
      </c>
      <c r="I28" s="15">
        <f>'07_결과취합'!Z28</f>
        <v>0</v>
      </c>
      <c r="J28" s="15">
        <f t="shared" si="0"/>
        <v>0</v>
      </c>
      <c r="K28" s="24">
        <f t="shared" si="1"/>
        <v>0</v>
      </c>
      <c r="L28" s="12"/>
    </row>
    <row r="29" spans="1:12" x14ac:dyDescent="0.6">
      <c r="A29" s="15">
        <f>'01_인적정보'!A28</f>
        <v>24</v>
      </c>
      <c r="B29" s="15" t="str">
        <f>'01_인적정보'!B28</f>
        <v>BSS-024</v>
      </c>
      <c r="C29" s="15" t="str">
        <f>'01_인적정보'!C28</f>
        <v>고광우</v>
      </c>
      <c r="D29" s="15" t="str">
        <f>'01_인적정보'!E28</f>
        <v>BIM컨설팅</v>
      </c>
      <c r="E29" s="15" t="str">
        <f>'01_인적정보'!H28</f>
        <v>G2</v>
      </c>
      <c r="F29" s="25">
        <f>COUNTIF('14_직무책무DB'!$B$5:$B$70,D29)</f>
        <v>14</v>
      </c>
      <c r="G29" s="12"/>
      <c r="H29" s="15">
        <f>'07_결과취합'!Y29</f>
        <v>0</v>
      </c>
      <c r="I29" s="15">
        <f>'07_결과취합'!Z29</f>
        <v>0</v>
      </c>
      <c r="J29" s="15">
        <f t="shared" si="0"/>
        <v>0</v>
      </c>
      <c r="K29" s="24">
        <f t="shared" si="1"/>
        <v>0</v>
      </c>
      <c r="L29" s="12"/>
    </row>
    <row r="30" spans="1:12" x14ac:dyDescent="0.6">
      <c r="A30" s="15">
        <f>'01_인적정보'!A29</f>
        <v>25</v>
      </c>
      <c r="B30" s="15" t="str">
        <f>'01_인적정보'!B29</f>
        <v>BSS-025</v>
      </c>
      <c r="C30" s="15" t="str">
        <f>'01_인적정보'!C29</f>
        <v>김성수</v>
      </c>
      <c r="D30" s="15" t="str">
        <f>'01_인적정보'!E29</f>
        <v>연구개발(R&amp;D)</v>
      </c>
      <c r="E30" s="15" t="str">
        <f>'01_인적정보'!H29</f>
        <v>G2</v>
      </c>
      <c r="F30" s="25">
        <f>COUNTIF('14_직무책무DB'!$B$5:$B$70,D30)</f>
        <v>10</v>
      </c>
      <c r="G30" s="12"/>
      <c r="H30" s="15">
        <f>'07_결과취합'!Y30</f>
        <v>0</v>
      </c>
      <c r="I30" s="15">
        <f>'07_결과취합'!Z30</f>
        <v>0</v>
      </c>
      <c r="J30" s="15">
        <f t="shared" si="0"/>
        <v>0</v>
      </c>
      <c r="K30" s="24">
        <f t="shared" si="1"/>
        <v>0</v>
      </c>
      <c r="L30" s="12"/>
    </row>
    <row r="31" spans="1:12" x14ac:dyDescent="0.6">
      <c r="A31" s="15">
        <f>'01_인적정보'!A30</f>
        <v>26</v>
      </c>
      <c r="B31" s="15" t="str">
        <f>'01_인적정보'!B30</f>
        <v>BSS-026</v>
      </c>
      <c r="C31" s="15" t="str">
        <f>'01_인적정보'!C30</f>
        <v>박진희</v>
      </c>
      <c r="D31" s="15" t="str">
        <f>'01_인적정보'!E30</f>
        <v>경영전략기획</v>
      </c>
      <c r="E31" s="15" t="str">
        <f>'01_인적정보'!H30</f>
        <v>G1</v>
      </c>
      <c r="F31" s="25">
        <f>COUNTIF('14_직무책무DB'!$B$5:$B$70,D31)</f>
        <v>19</v>
      </c>
      <c r="G31" s="12"/>
      <c r="H31" s="15">
        <f>'07_결과취합'!Y31</f>
        <v>0</v>
      </c>
      <c r="I31" s="15">
        <f>'07_결과취합'!Z31</f>
        <v>0</v>
      </c>
      <c r="J31" s="15">
        <f t="shared" si="0"/>
        <v>0</v>
      </c>
      <c r="K31" s="24">
        <f t="shared" si="1"/>
        <v>0</v>
      </c>
      <c r="L31" s="12"/>
    </row>
    <row r="32" spans="1:12" x14ac:dyDescent="0.6">
      <c r="A32" s="15">
        <f>'01_인적정보'!A31</f>
        <v>27</v>
      </c>
      <c r="B32" s="15" t="str">
        <f>'01_인적정보'!B31</f>
        <v>BSS-027</v>
      </c>
      <c r="C32" s="15" t="str">
        <f>'01_인적정보'!C31</f>
        <v>장은한</v>
      </c>
      <c r="D32" s="15" t="str">
        <f>'01_인적정보'!E31</f>
        <v>교육·기술지원</v>
      </c>
      <c r="E32" s="15" t="str">
        <f>'01_인적정보'!H31</f>
        <v>G2</v>
      </c>
      <c r="F32" s="25">
        <f>COUNTIF('14_직무책무DB'!$B$5:$B$70,D32)</f>
        <v>0</v>
      </c>
      <c r="G32" s="12"/>
      <c r="H32" s="15">
        <f>'07_결과취합'!Y32</f>
        <v>0</v>
      </c>
      <c r="I32" s="15">
        <f>'07_결과취합'!Z32</f>
        <v>0</v>
      </c>
      <c r="J32" s="15">
        <f t="shared" si="0"/>
        <v>0</v>
      </c>
      <c r="K32" s="24">
        <f t="shared" si="1"/>
        <v>0</v>
      </c>
      <c r="L32" s="12"/>
    </row>
    <row r="33" spans="1:12" x14ac:dyDescent="0.6">
      <c r="A33" s="15">
        <f>'01_인적정보'!A32</f>
        <v>28</v>
      </c>
      <c r="B33" s="15" t="str">
        <f>'01_인적정보'!B32</f>
        <v>BSS-028</v>
      </c>
      <c r="C33" s="15" t="str">
        <f>'01_인적정보'!C32</f>
        <v>김현수</v>
      </c>
      <c r="D33" s="15" t="str">
        <f>'01_인적정보'!E32</f>
        <v>BIM컨설팅</v>
      </c>
      <c r="E33" s="15" t="str">
        <f>'01_인적정보'!H32</f>
        <v>G1</v>
      </c>
      <c r="F33" s="25">
        <f>COUNTIF('14_직무책무DB'!$B$5:$B$70,D33)</f>
        <v>14</v>
      </c>
      <c r="G33" s="12"/>
      <c r="H33" s="15">
        <f>'07_결과취합'!Y33</f>
        <v>0</v>
      </c>
      <c r="I33" s="15">
        <f>'07_결과취합'!Z33</f>
        <v>0</v>
      </c>
      <c r="J33" s="15">
        <f t="shared" si="0"/>
        <v>0</v>
      </c>
      <c r="K33" s="24">
        <f t="shared" si="1"/>
        <v>0</v>
      </c>
      <c r="L33" s="12"/>
    </row>
    <row r="34" spans="1:12" x14ac:dyDescent="0.6">
      <c r="A34" s="15">
        <f>'01_인적정보'!A33</f>
        <v>29</v>
      </c>
      <c r="B34" s="15" t="str">
        <f>'01_인적정보'!B33</f>
        <v>BSS-029</v>
      </c>
      <c r="C34" s="15" t="str">
        <f>'01_인적정보'!C33</f>
        <v>콜셍홍</v>
      </c>
      <c r="D34" s="15" t="str">
        <f>'01_인적정보'!E33</f>
        <v>BIM컨설팅</v>
      </c>
      <c r="E34" s="15" t="str">
        <f>'01_인적정보'!H33</f>
        <v>G1</v>
      </c>
      <c r="F34" s="25">
        <f>COUNTIF('14_직무책무DB'!$B$5:$B$70,D34)</f>
        <v>14</v>
      </c>
      <c r="G34" s="12"/>
      <c r="H34" s="15">
        <f>'07_결과취합'!Y34</f>
        <v>0</v>
      </c>
      <c r="I34" s="15">
        <f>'07_결과취합'!Z34</f>
        <v>0</v>
      </c>
      <c r="J34" s="15">
        <f t="shared" si="0"/>
        <v>0</v>
      </c>
      <c r="K34" s="24">
        <f t="shared" si="1"/>
        <v>0</v>
      </c>
      <c r="L34" s="12"/>
    </row>
    <row r="35" spans="1:12" x14ac:dyDescent="0.6">
      <c r="A35" s="15">
        <f>'01_인적정보'!A34</f>
        <v>30</v>
      </c>
      <c r="B35" s="15" t="str">
        <f>'01_인적정보'!B34</f>
        <v>BSS-030</v>
      </c>
      <c r="C35" s="15" t="str">
        <f>'01_인적정보'!C34</f>
        <v>안성진</v>
      </c>
      <c r="D35" s="15" t="str">
        <f>'01_인적정보'!E34</f>
        <v>BIM컨설팅</v>
      </c>
      <c r="E35" s="15" t="str">
        <f>'01_인적정보'!H34</f>
        <v>G1</v>
      </c>
      <c r="F35" s="25">
        <f>COUNTIF('14_직무책무DB'!$B$5:$B$70,D35)</f>
        <v>14</v>
      </c>
      <c r="G35" s="12"/>
      <c r="H35" s="15">
        <f>'07_결과취합'!Y35</f>
        <v>0</v>
      </c>
      <c r="I35" s="15">
        <f>'07_결과취합'!Z35</f>
        <v>0</v>
      </c>
      <c r="J35" s="15">
        <f t="shared" si="0"/>
        <v>0</v>
      </c>
      <c r="K35" s="24">
        <f t="shared" si="1"/>
        <v>0</v>
      </c>
      <c r="L35" s="12"/>
    </row>
    <row r="36" spans="1:12" x14ac:dyDescent="0.6">
      <c r="A36" s="15">
        <f>'01_인적정보'!A35</f>
        <v>31</v>
      </c>
      <c r="B36" s="15" t="str">
        <f>'01_인적정보'!B35</f>
        <v>BSS-031</v>
      </c>
      <c r="C36" s="15" t="str">
        <f>'01_인적정보'!C35</f>
        <v>이정일</v>
      </c>
      <c r="D36" s="15" t="str">
        <f>'01_인적정보'!E35</f>
        <v>BIM컨설팅</v>
      </c>
      <c r="E36" s="15" t="str">
        <f>'01_인적정보'!H35</f>
        <v>G1</v>
      </c>
      <c r="F36" s="25">
        <f>COUNTIF('14_직무책무DB'!$B$5:$B$70,D36)</f>
        <v>14</v>
      </c>
      <c r="G36" s="12"/>
      <c r="H36" s="15">
        <f>'07_결과취합'!Y36</f>
        <v>0</v>
      </c>
      <c r="I36" s="15">
        <f>'07_결과취합'!Z36</f>
        <v>0</v>
      </c>
      <c r="J36" s="15">
        <f t="shared" si="0"/>
        <v>0</v>
      </c>
      <c r="K36" s="24">
        <f t="shared" si="1"/>
        <v>0</v>
      </c>
      <c r="L36" s="12"/>
    </row>
    <row r="37" spans="1:12" x14ac:dyDescent="0.6">
      <c r="A37" s="15">
        <f>'01_인적정보'!A36</f>
        <v>32</v>
      </c>
      <c r="B37" s="15" t="str">
        <f>'01_인적정보'!B36</f>
        <v>BSS-032</v>
      </c>
      <c r="C37" s="15" t="str">
        <f>'01_인적정보'!C36</f>
        <v>안재성</v>
      </c>
      <c r="D37" s="15" t="str">
        <f>'01_인적정보'!E36</f>
        <v>BIM컨설팅</v>
      </c>
      <c r="E37" s="15" t="str">
        <f>'01_인적정보'!H36</f>
        <v>G1</v>
      </c>
      <c r="F37" s="25">
        <f>COUNTIF('14_직무책무DB'!$B$5:$B$70,D37)</f>
        <v>14</v>
      </c>
      <c r="G37" s="12"/>
      <c r="H37" s="15">
        <f>'07_결과취합'!Y37</f>
        <v>0</v>
      </c>
      <c r="I37" s="15">
        <f>'07_결과취합'!Z37</f>
        <v>0</v>
      </c>
      <c r="J37" s="15">
        <f t="shared" si="0"/>
        <v>0</v>
      </c>
      <c r="K37" s="24">
        <f t="shared" si="1"/>
        <v>0</v>
      </c>
      <c r="L37" s="12"/>
    </row>
    <row r="38" spans="1:12" x14ac:dyDescent="0.6">
      <c r="A38" s="15">
        <f>'01_인적정보'!A37</f>
        <v>33</v>
      </c>
      <c r="B38" s="15" t="str">
        <f>'01_인적정보'!B37</f>
        <v>BSS-033</v>
      </c>
      <c r="C38" s="15" t="str">
        <f>'01_인적정보'!C37</f>
        <v>유태석</v>
      </c>
      <c r="D38" s="15" t="str">
        <f>'01_인적정보'!E37</f>
        <v>BIM컨설팅</v>
      </c>
      <c r="E38" s="15" t="str">
        <f>'01_인적정보'!H37</f>
        <v>G1</v>
      </c>
      <c r="F38" s="25">
        <f>COUNTIF('14_직무책무DB'!$B$5:$B$70,D38)</f>
        <v>14</v>
      </c>
      <c r="G38" s="12"/>
      <c r="H38" s="15">
        <f>'07_결과취합'!Y38</f>
        <v>0</v>
      </c>
      <c r="I38" s="15">
        <f>'07_결과취합'!Z38</f>
        <v>0</v>
      </c>
      <c r="J38" s="15">
        <f t="shared" si="0"/>
        <v>0</v>
      </c>
      <c r="K38" s="24">
        <f t="shared" si="1"/>
        <v>0</v>
      </c>
      <c r="L38" s="12"/>
    </row>
    <row r="39" spans="1:12" x14ac:dyDescent="0.6">
      <c r="A39" s="15">
        <f>'01_인적정보'!A38</f>
        <v>34</v>
      </c>
      <c r="B39" s="15" t="str">
        <f>'01_인적정보'!B38</f>
        <v>BSS-034</v>
      </c>
      <c r="C39" s="15" t="str">
        <f>'01_인적정보'!C38</f>
        <v>엄보근</v>
      </c>
      <c r="D39" s="15" t="str">
        <f>'01_인적정보'!E38</f>
        <v>BIM컨설팅</v>
      </c>
      <c r="E39" s="15" t="str">
        <f>'01_인적정보'!H38</f>
        <v>G1</v>
      </c>
      <c r="F39" s="25">
        <f>COUNTIF('14_직무책무DB'!$B$5:$B$70,D39)</f>
        <v>14</v>
      </c>
      <c r="G39" s="12"/>
      <c r="H39" s="15">
        <f>'07_결과취합'!Y39</f>
        <v>0</v>
      </c>
      <c r="I39" s="15">
        <f>'07_결과취합'!Z39</f>
        <v>0</v>
      </c>
      <c r="J39" s="15">
        <f t="shared" si="0"/>
        <v>0</v>
      </c>
      <c r="K39" s="24">
        <f t="shared" si="1"/>
        <v>0</v>
      </c>
      <c r="L39" s="12"/>
    </row>
    <row r="42" spans="1:12" ht="22.05" customHeight="1" x14ac:dyDescent="0.6">
      <c r="A42" s="45" t="s">
        <v>412</v>
      </c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43"/>
    </row>
    <row r="43" spans="1:12" ht="33.75" x14ac:dyDescent="0.6">
      <c r="A43" s="2" t="s">
        <v>131</v>
      </c>
      <c r="B43" s="2" t="s">
        <v>132</v>
      </c>
      <c r="C43" s="2" t="s">
        <v>133</v>
      </c>
      <c r="D43" s="2" t="s">
        <v>135</v>
      </c>
      <c r="E43" s="2" t="s">
        <v>105</v>
      </c>
      <c r="F43" s="2" t="s">
        <v>407</v>
      </c>
      <c r="G43" s="2" t="s">
        <v>408</v>
      </c>
      <c r="H43" s="2" t="s">
        <v>409</v>
      </c>
      <c r="I43" s="2" t="s">
        <v>410</v>
      </c>
      <c r="J43" s="2" t="s">
        <v>383</v>
      </c>
      <c r="K43" s="2" t="s">
        <v>411</v>
      </c>
      <c r="L43" s="2" t="s">
        <v>402</v>
      </c>
    </row>
    <row r="44" spans="1:12" x14ac:dyDescent="0.6">
      <c r="A44" s="15">
        <f>'01_인적정보'!A5</f>
        <v>1</v>
      </c>
      <c r="B44" s="15" t="str">
        <f>'01_인적정보'!B5</f>
        <v>BSS-001</v>
      </c>
      <c r="C44" s="15" t="str">
        <f>'01_인적정보'!C5</f>
        <v>이화형</v>
      </c>
      <c r="D44" s="15" t="str">
        <f>'01_인적정보'!E5</f>
        <v>프로젝트영업</v>
      </c>
      <c r="E44" s="15" t="str">
        <f>'01_인적정보'!H5</f>
        <v>G6</v>
      </c>
      <c r="F44" s="25">
        <f>COUNTIF('14_직무책무DB'!$B$5:$B$70,D44)</f>
        <v>5</v>
      </c>
      <c r="G44" s="12"/>
      <c r="H44" s="15">
        <f>'07_결과취합'!Y44</f>
        <v>0</v>
      </c>
      <c r="I44" s="15">
        <f>'07_결과취합'!Z44</f>
        <v>0</v>
      </c>
      <c r="J44" s="15">
        <f t="shared" ref="J44:J77" si="2">IF(I44&lt;&gt;"",I44,H44)</f>
        <v>0</v>
      </c>
      <c r="K44" s="24">
        <f t="shared" ref="K44:K77" si="3">IF(J44="","",IF(J44="S",5,IF(J44="A",4,IF(J44="B",3,IF(J44="C",2,IF(J44="D",1,0))))))</f>
        <v>0</v>
      </c>
      <c r="L44" s="12"/>
    </row>
    <row r="45" spans="1:12" x14ac:dyDescent="0.6">
      <c r="A45" s="15">
        <f>'01_인적정보'!A6</f>
        <v>2</v>
      </c>
      <c r="B45" s="15" t="str">
        <f>'01_인적정보'!B6</f>
        <v>BSS-002</v>
      </c>
      <c r="C45" s="15" t="str">
        <f>'01_인적정보'!C6</f>
        <v>강전용</v>
      </c>
      <c r="D45" s="15" t="str">
        <f>'01_인적정보'!E6</f>
        <v>연구개발(R&amp;D)</v>
      </c>
      <c r="E45" s="15" t="str">
        <f>'01_인적정보'!H6</f>
        <v>G6</v>
      </c>
      <c r="F45" s="25">
        <f>COUNTIF('14_직무책무DB'!$B$5:$B$70,D45)</f>
        <v>10</v>
      </c>
      <c r="G45" s="12"/>
      <c r="H45" s="15">
        <f>'07_결과취합'!Y45</f>
        <v>0</v>
      </c>
      <c r="I45" s="15">
        <f>'07_결과취합'!Z45</f>
        <v>0</v>
      </c>
      <c r="J45" s="15">
        <f t="shared" si="2"/>
        <v>0</v>
      </c>
      <c r="K45" s="24">
        <f t="shared" si="3"/>
        <v>0</v>
      </c>
      <c r="L45" s="12"/>
    </row>
    <row r="46" spans="1:12" x14ac:dyDescent="0.6">
      <c r="A46" s="15">
        <f>'01_인적정보'!A7</f>
        <v>3</v>
      </c>
      <c r="B46" s="15" t="str">
        <f>'01_인적정보'!B7</f>
        <v>BSS-003</v>
      </c>
      <c r="C46" s="15" t="str">
        <f>'01_인적정보'!C7</f>
        <v>김현민</v>
      </c>
      <c r="D46" s="15" t="str">
        <f>'01_인적정보'!E7</f>
        <v>BIM컨설팅</v>
      </c>
      <c r="E46" s="15" t="str">
        <f>'01_인적정보'!H7</f>
        <v>G6</v>
      </c>
      <c r="F46" s="25">
        <f>COUNTIF('14_직무책무DB'!$B$5:$B$70,D46)</f>
        <v>14</v>
      </c>
      <c r="G46" s="12"/>
      <c r="H46" s="15">
        <f>'07_결과취합'!Y46</f>
        <v>0</v>
      </c>
      <c r="I46" s="15">
        <f>'07_결과취합'!Z46</f>
        <v>0</v>
      </c>
      <c r="J46" s="15">
        <f t="shared" si="2"/>
        <v>0</v>
      </c>
      <c r="K46" s="24">
        <f t="shared" si="3"/>
        <v>0</v>
      </c>
      <c r="L46" s="12"/>
    </row>
    <row r="47" spans="1:12" x14ac:dyDescent="0.6">
      <c r="A47" s="15">
        <f>'01_인적정보'!A8</f>
        <v>4</v>
      </c>
      <c r="B47" s="15" t="str">
        <f>'01_인적정보'!B8</f>
        <v>BSS-004</v>
      </c>
      <c r="C47" s="15" t="str">
        <f>'01_인적정보'!C8</f>
        <v>이일곤</v>
      </c>
      <c r="D47" s="15" t="str">
        <f>'01_인적정보'!E8</f>
        <v>경영전략기획</v>
      </c>
      <c r="E47" s="15" t="str">
        <f>'01_인적정보'!H8</f>
        <v>G6</v>
      </c>
      <c r="F47" s="25">
        <f>COUNTIF('14_직무책무DB'!$B$5:$B$70,D47)</f>
        <v>19</v>
      </c>
      <c r="G47" s="12"/>
      <c r="H47" s="15">
        <f>'07_결과취합'!Y47</f>
        <v>0</v>
      </c>
      <c r="I47" s="15">
        <f>'07_결과취합'!Z47</f>
        <v>0</v>
      </c>
      <c r="J47" s="15">
        <f t="shared" si="2"/>
        <v>0</v>
      </c>
      <c r="K47" s="24">
        <f t="shared" si="3"/>
        <v>0</v>
      </c>
      <c r="L47" s="12"/>
    </row>
    <row r="48" spans="1:12" x14ac:dyDescent="0.6">
      <c r="A48" s="15">
        <f>'01_인적정보'!A9</f>
        <v>5</v>
      </c>
      <c r="B48" s="15" t="str">
        <f>'01_인적정보'!B9</f>
        <v>BSS-005</v>
      </c>
      <c r="C48" s="15" t="str">
        <f>'01_인적정보'!C9</f>
        <v>송헌영</v>
      </c>
      <c r="D48" s="15" t="str">
        <f>'01_인적정보'!E9</f>
        <v>경영전략기획</v>
      </c>
      <c r="E48" s="15" t="str">
        <f>'01_인적정보'!H9</f>
        <v>G6</v>
      </c>
      <c r="F48" s="25">
        <f>COUNTIF('14_직무책무DB'!$B$5:$B$70,D48)</f>
        <v>19</v>
      </c>
      <c r="G48" s="12"/>
      <c r="H48" s="15">
        <f>'07_결과취합'!Y48</f>
        <v>0</v>
      </c>
      <c r="I48" s="15">
        <f>'07_결과취합'!Z48</f>
        <v>0</v>
      </c>
      <c r="J48" s="15">
        <f t="shared" si="2"/>
        <v>0</v>
      </c>
      <c r="K48" s="24">
        <f t="shared" si="3"/>
        <v>0</v>
      </c>
      <c r="L48" s="12"/>
    </row>
    <row r="49" spans="1:12" x14ac:dyDescent="0.6">
      <c r="A49" s="15">
        <f>'01_인적정보'!A10</f>
        <v>6</v>
      </c>
      <c r="B49" s="15" t="str">
        <f>'01_인적정보'!B10</f>
        <v>BSS-006</v>
      </c>
      <c r="C49" s="15" t="str">
        <f>'01_인적정보'!C10</f>
        <v>이재용</v>
      </c>
      <c r="D49" s="15" t="str">
        <f>'01_인적정보'!E10</f>
        <v>경영전략기획</v>
      </c>
      <c r="E49" s="15" t="str">
        <f>'01_인적정보'!H10</f>
        <v>G6</v>
      </c>
      <c r="F49" s="25">
        <f>COUNTIF('14_직무책무DB'!$B$5:$B$70,D49)</f>
        <v>19</v>
      </c>
      <c r="G49" s="12"/>
      <c r="H49" s="15">
        <f>'07_결과취합'!Y49</f>
        <v>0</v>
      </c>
      <c r="I49" s="15">
        <f>'07_결과취합'!Z49</f>
        <v>0</v>
      </c>
      <c r="J49" s="15">
        <f t="shared" si="2"/>
        <v>0</v>
      </c>
      <c r="K49" s="24">
        <f t="shared" si="3"/>
        <v>0</v>
      </c>
      <c r="L49" s="12"/>
    </row>
    <row r="50" spans="1:12" x14ac:dyDescent="0.6">
      <c r="A50" s="15">
        <f>'01_인적정보'!A11</f>
        <v>7</v>
      </c>
      <c r="B50" s="15" t="str">
        <f>'01_인적정보'!B11</f>
        <v>BSS-007</v>
      </c>
      <c r="C50" s="15" t="str">
        <f>'01_인적정보'!C11</f>
        <v>이진행</v>
      </c>
      <c r="D50" s="15" t="str">
        <f>'01_인적정보'!E11</f>
        <v>교육·기술지원</v>
      </c>
      <c r="E50" s="15" t="str">
        <f>'01_인적정보'!H11</f>
        <v>G5</v>
      </c>
      <c r="F50" s="25">
        <f>COUNTIF('14_직무책무DB'!$B$5:$B$70,D50)</f>
        <v>0</v>
      </c>
      <c r="G50" s="12"/>
      <c r="H50" s="15">
        <f>'07_결과취합'!Y50</f>
        <v>0</v>
      </c>
      <c r="I50" s="15">
        <f>'07_결과취합'!Z50</f>
        <v>0</v>
      </c>
      <c r="J50" s="15">
        <f t="shared" si="2"/>
        <v>0</v>
      </c>
      <c r="K50" s="24">
        <f t="shared" si="3"/>
        <v>0</v>
      </c>
      <c r="L50" s="12"/>
    </row>
    <row r="51" spans="1:12" x14ac:dyDescent="0.6">
      <c r="A51" s="15">
        <f>'01_인적정보'!A12</f>
        <v>8</v>
      </c>
      <c r="B51" s="15" t="str">
        <f>'01_인적정보'!B12</f>
        <v>BSS-008</v>
      </c>
      <c r="C51" s="15" t="str">
        <f>'01_인적정보'!C12</f>
        <v>김민수</v>
      </c>
      <c r="D51" s="15" t="str">
        <f>'01_인적정보'!E12</f>
        <v>교육·기술지원</v>
      </c>
      <c r="E51" s="15" t="str">
        <f>'01_인적정보'!H12</f>
        <v>G5</v>
      </c>
      <c r="F51" s="25">
        <f>COUNTIF('14_직무책무DB'!$B$5:$B$70,D51)</f>
        <v>0</v>
      </c>
      <c r="G51" s="12"/>
      <c r="H51" s="15">
        <f>'07_결과취합'!Y51</f>
        <v>0</v>
      </c>
      <c r="I51" s="15">
        <f>'07_결과취합'!Z51</f>
        <v>0</v>
      </c>
      <c r="J51" s="15">
        <f t="shared" si="2"/>
        <v>0</v>
      </c>
      <c r="K51" s="24">
        <f t="shared" si="3"/>
        <v>0</v>
      </c>
      <c r="L51" s="12"/>
    </row>
    <row r="52" spans="1:12" x14ac:dyDescent="0.6">
      <c r="A52" s="15">
        <f>'01_인적정보'!A13</f>
        <v>9</v>
      </c>
      <c r="B52" s="15" t="str">
        <f>'01_인적정보'!B13</f>
        <v>BSS-009</v>
      </c>
      <c r="C52" s="15" t="str">
        <f>'01_인적정보'!C13</f>
        <v>박남식</v>
      </c>
      <c r="D52" s="15" t="str">
        <f>'01_인적정보'!E13</f>
        <v>BIM컨설팅</v>
      </c>
      <c r="E52" s="15" t="str">
        <f>'01_인적정보'!H13</f>
        <v>G5</v>
      </c>
      <c r="F52" s="25">
        <f>COUNTIF('14_직무책무DB'!$B$5:$B$70,D52)</f>
        <v>14</v>
      </c>
      <c r="G52" s="12"/>
      <c r="H52" s="15">
        <f>'07_결과취합'!Y52</f>
        <v>0</v>
      </c>
      <c r="I52" s="15">
        <f>'07_결과취합'!Z52</f>
        <v>0</v>
      </c>
      <c r="J52" s="15">
        <f t="shared" si="2"/>
        <v>0</v>
      </c>
      <c r="K52" s="24">
        <f t="shared" si="3"/>
        <v>0</v>
      </c>
      <c r="L52" s="12"/>
    </row>
    <row r="53" spans="1:12" x14ac:dyDescent="0.6">
      <c r="A53" s="15">
        <f>'01_인적정보'!A14</f>
        <v>10</v>
      </c>
      <c r="B53" s="15" t="str">
        <f>'01_인적정보'!B14</f>
        <v>BSS-010</v>
      </c>
      <c r="C53" s="15" t="str">
        <f>'01_인적정보'!C14</f>
        <v>신재민</v>
      </c>
      <c r="D53" s="15" t="str">
        <f>'01_인적정보'!E14</f>
        <v>BIM컨설팅</v>
      </c>
      <c r="E53" s="15" t="str">
        <f>'01_인적정보'!H14</f>
        <v>G5</v>
      </c>
      <c r="F53" s="25">
        <f>COUNTIF('14_직무책무DB'!$B$5:$B$70,D53)</f>
        <v>14</v>
      </c>
      <c r="G53" s="12"/>
      <c r="H53" s="15">
        <f>'07_결과취합'!Y53</f>
        <v>0</v>
      </c>
      <c r="I53" s="15">
        <f>'07_결과취합'!Z53</f>
        <v>0</v>
      </c>
      <c r="J53" s="15">
        <f t="shared" si="2"/>
        <v>0</v>
      </c>
      <c r="K53" s="24">
        <f t="shared" si="3"/>
        <v>0</v>
      </c>
      <c r="L53" s="12"/>
    </row>
    <row r="54" spans="1:12" x14ac:dyDescent="0.6">
      <c r="A54" s="15">
        <f>'01_인적정보'!A15</f>
        <v>11</v>
      </c>
      <c r="B54" s="15" t="str">
        <f>'01_인적정보'!B15</f>
        <v>BSS-011</v>
      </c>
      <c r="C54" s="15" t="str">
        <f>'01_인적정보'!C15</f>
        <v>마장엽</v>
      </c>
      <c r="D54" s="15" t="str">
        <f>'01_인적정보'!E15</f>
        <v>BIM컨설팅</v>
      </c>
      <c r="E54" s="15" t="str">
        <f>'01_인적정보'!H15</f>
        <v>G5</v>
      </c>
      <c r="F54" s="25">
        <f>COUNTIF('14_직무책무DB'!$B$5:$B$70,D54)</f>
        <v>14</v>
      </c>
      <c r="G54" s="12"/>
      <c r="H54" s="15">
        <f>'07_결과취합'!Y54</f>
        <v>0</v>
      </c>
      <c r="I54" s="15">
        <f>'07_결과취합'!Z54</f>
        <v>0</v>
      </c>
      <c r="J54" s="15">
        <f t="shared" si="2"/>
        <v>0</v>
      </c>
      <c r="K54" s="24">
        <f t="shared" si="3"/>
        <v>0</v>
      </c>
      <c r="L54" s="12"/>
    </row>
    <row r="55" spans="1:12" x14ac:dyDescent="0.6">
      <c r="A55" s="15">
        <f>'01_인적정보'!A16</f>
        <v>12</v>
      </c>
      <c r="B55" s="15" t="str">
        <f>'01_인적정보'!B16</f>
        <v>BSS-012</v>
      </c>
      <c r="C55" s="15" t="str">
        <f>'01_인적정보'!C16</f>
        <v>하은주</v>
      </c>
      <c r="D55" s="15" t="str">
        <f>'01_인적정보'!E16</f>
        <v>경영전략기획</v>
      </c>
      <c r="E55" s="15" t="str">
        <f>'01_인적정보'!H16</f>
        <v>G5</v>
      </c>
      <c r="F55" s="25">
        <f>COUNTIF('14_직무책무DB'!$B$5:$B$70,D55)</f>
        <v>19</v>
      </c>
      <c r="G55" s="12"/>
      <c r="H55" s="15">
        <f>'07_결과취합'!Y55</f>
        <v>0</v>
      </c>
      <c r="I55" s="15">
        <f>'07_결과취합'!Z55</f>
        <v>0</v>
      </c>
      <c r="J55" s="15">
        <f t="shared" si="2"/>
        <v>0</v>
      </c>
      <c r="K55" s="24">
        <f t="shared" si="3"/>
        <v>0</v>
      </c>
      <c r="L55" s="12"/>
    </row>
    <row r="56" spans="1:12" x14ac:dyDescent="0.6">
      <c r="A56" s="15">
        <f>'01_인적정보'!A17</f>
        <v>13</v>
      </c>
      <c r="B56" s="15" t="str">
        <f>'01_인적정보'!B17</f>
        <v>BSS-013</v>
      </c>
      <c r="C56" s="15" t="str">
        <f>'01_인적정보'!C17</f>
        <v>홍사훈</v>
      </c>
      <c r="D56" s="15" t="str">
        <f>'01_인적정보'!E17</f>
        <v>BIM컨설팅</v>
      </c>
      <c r="E56" s="15" t="str">
        <f>'01_인적정보'!H17</f>
        <v>G5</v>
      </c>
      <c r="F56" s="25">
        <f>COUNTIF('14_직무책무DB'!$B$5:$B$70,D56)</f>
        <v>14</v>
      </c>
      <c r="G56" s="12"/>
      <c r="H56" s="15">
        <f>'07_결과취합'!Y56</f>
        <v>0</v>
      </c>
      <c r="I56" s="15">
        <f>'07_결과취합'!Z56</f>
        <v>0</v>
      </c>
      <c r="J56" s="15">
        <f t="shared" si="2"/>
        <v>0</v>
      </c>
      <c r="K56" s="24">
        <f t="shared" si="3"/>
        <v>0</v>
      </c>
      <c r="L56" s="12"/>
    </row>
    <row r="57" spans="1:12" x14ac:dyDescent="0.6">
      <c r="A57" s="15">
        <f>'01_인적정보'!A18</f>
        <v>14</v>
      </c>
      <c r="B57" s="15" t="str">
        <f>'01_인적정보'!B18</f>
        <v>BSS-014</v>
      </c>
      <c r="C57" s="15" t="str">
        <f>'01_인적정보'!C18</f>
        <v>유자영</v>
      </c>
      <c r="D57" s="15" t="str">
        <f>'01_인적정보'!E18</f>
        <v>BIM컨설팅</v>
      </c>
      <c r="E57" s="15" t="str">
        <f>'01_인적정보'!H18</f>
        <v>G5</v>
      </c>
      <c r="F57" s="25">
        <f>COUNTIF('14_직무책무DB'!$B$5:$B$70,D57)</f>
        <v>14</v>
      </c>
      <c r="G57" s="12"/>
      <c r="H57" s="15">
        <f>'07_결과취합'!Y57</f>
        <v>0</v>
      </c>
      <c r="I57" s="15">
        <f>'07_결과취합'!Z57</f>
        <v>0</v>
      </c>
      <c r="J57" s="15">
        <f t="shared" si="2"/>
        <v>0</v>
      </c>
      <c r="K57" s="24">
        <f t="shared" si="3"/>
        <v>0</v>
      </c>
      <c r="L57" s="12"/>
    </row>
    <row r="58" spans="1:12" x14ac:dyDescent="0.6">
      <c r="A58" s="15">
        <f>'01_인적정보'!A19</f>
        <v>15</v>
      </c>
      <c r="B58" s="15" t="str">
        <f>'01_인적정보'!B19</f>
        <v>BSS-015</v>
      </c>
      <c r="C58" s="15" t="str">
        <f>'01_인적정보'!C19</f>
        <v>민지선</v>
      </c>
      <c r="D58" s="15" t="str">
        <f>'01_인적정보'!E19</f>
        <v>BIM컨설팅</v>
      </c>
      <c r="E58" s="15" t="str">
        <f>'01_인적정보'!H19</f>
        <v>G5</v>
      </c>
      <c r="F58" s="25">
        <f>COUNTIF('14_직무책무DB'!$B$5:$B$70,D58)</f>
        <v>14</v>
      </c>
      <c r="G58" s="12"/>
      <c r="H58" s="15">
        <f>'07_결과취합'!Y58</f>
        <v>0</v>
      </c>
      <c r="I58" s="15">
        <f>'07_결과취합'!Z58</f>
        <v>0</v>
      </c>
      <c r="J58" s="15">
        <f t="shared" si="2"/>
        <v>0</v>
      </c>
      <c r="K58" s="24">
        <f t="shared" si="3"/>
        <v>0</v>
      </c>
      <c r="L58" s="12"/>
    </row>
    <row r="59" spans="1:12" x14ac:dyDescent="0.6">
      <c r="A59" s="15">
        <f>'01_인적정보'!A20</f>
        <v>16</v>
      </c>
      <c r="B59" s="15" t="str">
        <f>'01_인적정보'!B20</f>
        <v>BSS-016</v>
      </c>
      <c r="C59" s="15" t="str">
        <f>'01_인적정보'!C20</f>
        <v>장훈</v>
      </c>
      <c r="D59" s="15" t="str">
        <f>'01_인적정보'!E20</f>
        <v>BIM컨설팅</v>
      </c>
      <c r="E59" s="15" t="str">
        <f>'01_인적정보'!H20</f>
        <v>G5</v>
      </c>
      <c r="F59" s="25">
        <f>COUNTIF('14_직무책무DB'!$B$5:$B$70,D59)</f>
        <v>14</v>
      </c>
      <c r="G59" s="12"/>
      <c r="H59" s="15">
        <f>'07_결과취합'!Y59</f>
        <v>0</v>
      </c>
      <c r="I59" s="15">
        <f>'07_결과취합'!Z59</f>
        <v>0</v>
      </c>
      <c r="J59" s="15">
        <f t="shared" si="2"/>
        <v>0</v>
      </c>
      <c r="K59" s="24">
        <f t="shared" si="3"/>
        <v>0</v>
      </c>
      <c r="L59" s="12"/>
    </row>
    <row r="60" spans="1:12" x14ac:dyDescent="0.6">
      <c r="A60" s="15">
        <f>'01_인적정보'!A21</f>
        <v>17</v>
      </c>
      <c r="B60" s="15" t="str">
        <f>'01_인적정보'!B21</f>
        <v>BSS-017</v>
      </c>
      <c r="C60" s="15" t="str">
        <f>'01_인적정보'!C21</f>
        <v>김우람</v>
      </c>
      <c r="D60" s="15" t="str">
        <f>'01_인적정보'!E21</f>
        <v>교육·기술지원</v>
      </c>
      <c r="E60" s="15" t="str">
        <f>'01_인적정보'!H21</f>
        <v>G4</v>
      </c>
      <c r="F60" s="25">
        <f>COUNTIF('14_직무책무DB'!$B$5:$B$70,D60)</f>
        <v>0</v>
      </c>
      <c r="G60" s="12"/>
      <c r="H60" s="15">
        <f>'07_결과취합'!Y60</f>
        <v>0</v>
      </c>
      <c r="I60" s="15">
        <f>'07_결과취합'!Z60</f>
        <v>0</v>
      </c>
      <c r="J60" s="15">
        <f t="shared" si="2"/>
        <v>0</v>
      </c>
      <c r="K60" s="24">
        <f t="shared" si="3"/>
        <v>0</v>
      </c>
      <c r="L60" s="12"/>
    </row>
    <row r="61" spans="1:12" x14ac:dyDescent="0.6">
      <c r="A61" s="15">
        <f>'01_인적정보'!A22</f>
        <v>18</v>
      </c>
      <c r="B61" s="15" t="str">
        <f>'01_인적정보'!B22</f>
        <v>BSS-018</v>
      </c>
      <c r="C61" s="15" t="str">
        <f>'01_인적정보'!C22</f>
        <v>조성준</v>
      </c>
      <c r="D61" s="15" t="str">
        <f>'01_인적정보'!E22</f>
        <v>BIM컨설팅</v>
      </c>
      <c r="E61" s="15" t="str">
        <f>'01_인적정보'!H22</f>
        <v>G4</v>
      </c>
      <c r="F61" s="25">
        <f>COUNTIF('14_직무책무DB'!$B$5:$B$70,D61)</f>
        <v>14</v>
      </c>
      <c r="G61" s="12"/>
      <c r="H61" s="15">
        <f>'07_결과취합'!Y61</f>
        <v>0</v>
      </c>
      <c r="I61" s="15">
        <f>'07_결과취합'!Z61</f>
        <v>0</v>
      </c>
      <c r="J61" s="15">
        <f t="shared" si="2"/>
        <v>0</v>
      </c>
      <c r="K61" s="24">
        <f t="shared" si="3"/>
        <v>0</v>
      </c>
      <c r="L61" s="12"/>
    </row>
    <row r="62" spans="1:12" x14ac:dyDescent="0.6">
      <c r="A62" s="15">
        <f>'01_인적정보'!A23</f>
        <v>19</v>
      </c>
      <c r="B62" s="15" t="str">
        <f>'01_인적정보'!B23</f>
        <v>BSS-019</v>
      </c>
      <c r="C62" s="15" t="str">
        <f>'01_인적정보'!C23</f>
        <v>구서현</v>
      </c>
      <c r="D62" s="15" t="str">
        <f>'01_인적정보'!E23</f>
        <v>BIM컨설팅</v>
      </c>
      <c r="E62" s="15" t="str">
        <f>'01_인적정보'!H23</f>
        <v>G2</v>
      </c>
      <c r="F62" s="25">
        <f>COUNTIF('14_직무책무DB'!$B$5:$B$70,D62)</f>
        <v>14</v>
      </c>
      <c r="G62" s="12"/>
      <c r="H62" s="15">
        <f>'07_결과취합'!Y62</f>
        <v>0</v>
      </c>
      <c r="I62" s="15">
        <f>'07_결과취합'!Z62</f>
        <v>0</v>
      </c>
      <c r="J62" s="15">
        <f t="shared" si="2"/>
        <v>0</v>
      </c>
      <c r="K62" s="24">
        <f t="shared" si="3"/>
        <v>0</v>
      </c>
      <c r="L62" s="12"/>
    </row>
    <row r="63" spans="1:12" x14ac:dyDescent="0.6">
      <c r="A63" s="15">
        <f>'01_인적정보'!A24</f>
        <v>20</v>
      </c>
      <c r="B63" s="15" t="str">
        <f>'01_인적정보'!B24</f>
        <v>BSS-020</v>
      </c>
      <c r="C63" s="15" t="str">
        <f>'01_인적정보'!C24</f>
        <v>박진용</v>
      </c>
      <c r="D63" s="15" t="str">
        <f>'01_인적정보'!E24</f>
        <v>교육·기술지원</v>
      </c>
      <c r="E63" s="15" t="str">
        <f>'01_인적정보'!H24</f>
        <v>G3</v>
      </c>
      <c r="F63" s="25">
        <f>COUNTIF('14_직무책무DB'!$B$5:$B$70,D63)</f>
        <v>0</v>
      </c>
      <c r="G63" s="12"/>
      <c r="H63" s="15">
        <f>'07_결과취합'!Y63</f>
        <v>0</v>
      </c>
      <c r="I63" s="15">
        <f>'07_결과취합'!Z63</f>
        <v>0</v>
      </c>
      <c r="J63" s="15">
        <f t="shared" si="2"/>
        <v>0</v>
      </c>
      <c r="K63" s="24">
        <f t="shared" si="3"/>
        <v>0</v>
      </c>
      <c r="L63" s="12"/>
    </row>
    <row r="64" spans="1:12" x14ac:dyDescent="0.6">
      <c r="A64" s="15">
        <f>'01_인적정보'!A25</f>
        <v>21</v>
      </c>
      <c r="B64" s="15" t="str">
        <f>'01_인적정보'!B25</f>
        <v>BSS-021</v>
      </c>
      <c r="C64" s="15" t="str">
        <f>'01_인적정보'!C25</f>
        <v>김가연</v>
      </c>
      <c r="D64" s="15" t="str">
        <f>'01_인적정보'!E25</f>
        <v>BIM컨설팅</v>
      </c>
      <c r="E64" s="15" t="str">
        <f>'01_인적정보'!H25</f>
        <v>G2</v>
      </c>
      <c r="F64" s="25">
        <f>COUNTIF('14_직무책무DB'!$B$5:$B$70,D64)</f>
        <v>14</v>
      </c>
      <c r="G64" s="12"/>
      <c r="H64" s="15">
        <f>'07_결과취합'!Y64</f>
        <v>0</v>
      </c>
      <c r="I64" s="15">
        <f>'07_결과취합'!Z64</f>
        <v>0</v>
      </c>
      <c r="J64" s="15">
        <f t="shared" si="2"/>
        <v>0</v>
      </c>
      <c r="K64" s="24">
        <f t="shared" si="3"/>
        <v>0</v>
      </c>
      <c r="L64" s="12"/>
    </row>
    <row r="65" spans="1:12" x14ac:dyDescent="0.6">
      <c r="A65" s="15">
        <f>'01_인적정보'!A26</f>
        <v>22</v>
      </c>
      <c r="B65" s="15" t="str">
        <f>'01_인적정보'!B26</f>
        <v>BSS-022</v>
      </c>
      <c r="C65" s="15" t="str">
        <f>'01_인적정보'!C26</f>
        <v>한근수</v>
      </c>
      <c r="D65" s="15" t="str">
        <f>'01_인적정보'!E26</f>
        <v>BIM컨설팅</v>
      </c>
      <c r="E65" s="15" t="str">
        <f>'01_인적정보'!H26</f>
        <v>G2</v>
      </c>
      <c r="F65" s="25">
        <f>COUNTIF('14_직무책무DB'!$B$5:$B$70,D65)</f>
        <v>14</v>
      </c>
      <c r="G65" s="12"/>
      <c r="H65" s="15">
        <f>'07_결과취합'!Y65</f>
        <v>0</v>
      </c>
      <c r="I65" s="15">
        <f>'07_결과취합'!Z65</f>
        <v>0</v>
      </c>
      <c r="J65" s="15">
        <f t="shared" si="2"/>
        <v>0</v>
      </c>
      <c r="K65" s="24">
        <f t="shared" si="3"/>
        <v>0</v>
      </c>
      <c r="L65" s="12"/>
    </row>
    <row r="66" spans="1:12" x14ac:dyDescent="0.6">
      <c r="A66" s="15">
        <f>'01_인적정보'!A27</f>
        <v>23</v>
      </c>
      <c r="B66" s="15" t="str">
        <f>'01_인적정보'!B27</f>
        <v>BSS-023</v>
      </c>
      <c r="C66" s="15" t="str">
        <f>'01_인적정보'!C27</f>
        <v>김성민</v>
      </c>
      <c r="D66" s="15" t="str">
        <f>'01_인적정보'!E27</f>
        <v>BIM컨설팅</v>
      </c>
      <c r="E66" s="15" t="str">
        <f>'01_인적정보'!H27</f>
        <v>G2</v>
      </c>
      <c r="F66" s="25">
        <f>COUNTIF('14_직무책무DB'!$B$5:$B$70,D66)</f>
        <v>14</v>
      </c>
      <c r="G66" s="12"/>
      <c r="H66" s="15">
        <f>'07_결과취합'!Y66</f>
        <v>0</v>
      </c>
      <c r="I66" s="15">
        <f>'07_결과취합'!Z66</f>
        <v>0</v>
      </c>
      <c r="J66" s="15">
        <f t="shared" si="2"/>
        <v>0</v>
      </c>
      <c r="K66" s="24">
        <f t="shared" si="3"/>
        <v>0</v>
      </c>
      <c r="L66" s="12"/>
    </row>
    <row r="67" spans="1:12" x14ac:dyDescent="0.6">
      <c r="A67" s="15">
        <f>'01_인적정보'!A28</f>
        <v>24</v>
      </c>
      <c r="B67" s="15" t="str">
        <f>'01_인적정보'!B28</f>
        <v>BSS-024</v>
      </c>
      <c r="C67" s="15" t="str">
        <f>'01_인적정보'!C28</f>
        <v>고광우</v>
      </c>
      <c r="D67" s="15" t="str">
        <f>'01_인적정보'!E28</f>
        <v>BIM컨설팅</v>
      </c>
      <c r="E67" s="15" t="str">
        <f>'01_인적정보'!H28</f>
        <v>G2</v>
      </c>
      <c r="F67" s="25">
        <f>COUNTIF('14_직무책무DB'!$B$5:$B$70,D67)</f>
        <v>14</v>
      </c>
      <c r="G67" s="12"/>
      <c r="H67" s="15">
        <f>'07_결과취합'!Y67</f>
        <v>0</v>
      </c>
      <c r="I67" s="15">
        <f>'07_결과취합'!Z67</f>
        <v>0</v>
      </c>
      <c r="J67" s="15">
        <f t="shared" si="2"/>
        <v>0</v>
      </c>
      <c r="K67" s="24">
        <f t="shared" si="3"/>
        <v>0</v>
      </c>
      <c r="L67" s="12"/>
    </row>
    <row r="68" spans="1:12" x14ac:dyDescent="0.6">
      <c r="A68" s="15">
        <f>'01_인적정보'!A29</f>
        <v>25</v>
      </c>
      <c r="B68" s="15" t="str">
        <f>'01_인적정보'!B29</f>
        <v>BSS-025</v>
      </c>
      <c r="C68" s="15" t="str">
        <f>'01_인적정보'!C29</f>
        <v>김성수</v>
      </c>
      <c r="D68" s="15" t="str">
        <f>'01_인적정보'!E29</f>
        <v>연구개발(R&amp;D)</v>
      </c>
      <c r="E68" s="15" t="str">
        <f>'01_인적정보'!H29</f>
        <v>G2</v>
      </c>
      <c r="F68" s="25">
        <f>COUNTIF('14_직무책무DB'!$B$5:$B$70,D68)</f>
        <v>10</v>
      </c>
      <c r="G68" s="12"/>
      <c r="H68" s="15">
        <f>'07_결과취합'!Y68</f>
        <v>0</v>
      </c>
      <c r="I68" s="15">
        <f>'07_결과취합'!Z68</f>
        <v>0</v>
      </c>
      <c r="J68" s="15">
        <f t="shared" si="2"/>
        <v>0</v>
      </c>
      <c r="K68" s="24">
        <f t="shared" si="3"/>
        <v>0</v>
      </c>
      <c r="L68" s="12"/>
    </row>
    <row r="69" spans="1:12" x14ac:dyDescent="0.6">
      <c r="A69" s="15">
        <f>'01_인적정보'!A30</f>
        <v>26</v>
      </c>
      <c r="B69" s="15" t="str">
        <f>'01_인적정보'!B30</f>
        <v>BSS-026</v>
      </c>
      <c r="C69" s="15" t="str">
        <f>'01_인적정보'!C30</f>
        <v>박진희</v>
      </c>
      <c r="D69" s="15" t="str">
        <f>'01_인적정보'!E30</f>
        <v>경영전략기획</v>
      </c>
      <c r="E69" s="15" t="str">
        <f>'01_인적정보'!H30</f>
        <v>G1</v>
      </c>
      <c r="F69" s="25">
        <f>COUNTIF('14_직무책무DB'!$B$5:$B$70,D69)</f>
        <v>19</v>
      </c>
      <c r="G69" s="12"/>
      <c r="H69" s="15">
        <f>'07_결과취합'!Y69</f>
        <v>0</v>
      </c>
      <c r="I69" s="15">
        <f>'07_결과취합'!Z69</f>
        <v>0</v>
      </c>
      <c r="J69" s="15">
        <f t="shared" si="2"/>
        <v>0</v>
      </c>
      <c r="K69" s="24">
        <f t="shared" si="3"/>
        <v>0</v>
      </c>
      <c r="L69" s="12"/>
    </row>
    <row r="70" spans="1:12" x14ac:dyDescent="0.6">
      <c r="A70" s="15">
        <f>'01_인적정보'!A31</f>
        <v>27</v>
      </c>
      <c r="B70" s="15" t="str">
        <f>'01_인적정보'!B31</f>
        <v>BSS-027</v>
      </c>
      <c r="C70" s="15" t="str">
        <f>'01_인적정보'!C31</f>
        <v>장은한</v>
      </c>
      <c r="D70" s="15" t="str">
        <f>'01_인적정보'!E31</f>
        <v>교육·기술지원</v>
      </c>
      <c r="E70" s="15" t="str">
        <f>'01_인적정보'!H31</f>
        <v>G2</v>
      </c>
      <c r="F70" s="25">
        <f>COUNTIF('14_직무책무DB'!$B$5:$B$70,D70)</f>
        <v>0</v>
      </c>
      <c r="G70" s="12"/>
      <c r="H70" s="15">
        <f>'07_결과취합'!Y70</f>
        <v>0</v>
      </c>
      <c r="I70" s="15">
        <f>'07_결과취합'!Z70</f>
        <v>0</v>
      </c>
      <c r="J70" s="15">
        <f t="shared" si="2"/>
        <v>0</v>
      </c>
      <c r="K70" s="24">
        <f t="shared" si="3"/>
        <v>0</v>
      </c>
      <c r="L70" s="12"/>
    </row>
    <row r="71" spans="1:12" x14ac:dyDescent="0.6">
      <c r="A71" s="15">
        <f>'01_인적정보'!A32</f>
        <v>28</v>
      </c>
      <c r="B71" s="15" t="str">
        <f>'01_인적정보'!B32</f>
        <v>BSS-028</v>
      </c>
      <c r="C71" s="15" t="str">
        <f>'01_인적정보'!C32</f>
        <v>김현수</v>
      </c>
      <c r="D71" s="15" t="str">
        <f>'01_인적정보'!E32</f>
        <v>BIM컨설팅</v>
      </c>
      <c r="E71" s="15" t="str">
        <f>'01_인적정보'!H32</f>
        <v>G1</v>
      </c>
      <c r="F71" s="25">
        <f>COUNTIF('14_직무책무DB'!$B$5:$B$70,D71)</f>
        <v>14</v>
      </c>
      <c r="G71" s="12"/>
      <c r="H71" s="15">
        <f>'07_결과취합'!Y71</f>
        <v>0</v>
      </c>
      <c r="I71" s="15">
        <f>'07_결과취합'!Z71</f>
        <v>0</v>
      </c>
      <c r="J71" s="15">
        <f t="shared" si="2"/>
        <v>0</v>
      </c>
      <c r="K71" s="24">
        <f t="shared" si="3"/>
        <v>0</v>
      </c>
      <c r="L71" s="12"/>
    </row>
    <row r="72" spans="1:12" x14ac:dyDescent="0.6">
      <c r="A72" s="15">
        <f>'01_인적정보'!A33</f>
        <v>29</v>
      </c>
      <c r="B72" s="15" t="str">
        <f>'01_인적정보'!B33</f>
        <v>BSS-029</v>
      </c>
      <c r="C72" s="15" t="str">
        <f>'01_인적정보'!C33</f>
        <v>콜셍홍</v>
      </c>
      <c r="D72" s="15" t="str">
        <f>'01_인적정보'!E33</f>
        <v>BIM컨설팅</v>
      </c>
      <c r="E72" s="15" t="str">
        <f>'01_인적정보'!H33</f>
        <v>G1</v>
      </c>
      <c r="F72" s="25">
        <f>COUNTIF('14_직무책무DB'!$B$5:$B$70,D72)</f>
        <v>14</v>
      </c>
      <c r="G72" s="12"/>
      <c r="H72" s="15">
        <f>'07_결과취합'!Y72</f>
        <v>0</v>
      </c>
      <c r="I72" s="15">
        <f>'07_결과취합'!Z72</f>
        <v>0</v>
      </c>
      <c r="J72" s="15">
        <f t="shared" si="2"/>
        <v>0</v>
      </c>
      <c r="K72" s="24">
        <f t="shared" si="3"/>
        <v>0</v>
      </c>
      <c r="L72" s="12"/>
    </row>
    <row r="73" spans="1:12" x14ac:dyDescent="0.6">
      <c r="A73" s="15">
        <f>'01_인적정보'!A34</f>
        <v>30</v>
      </c>
      <c r="B73" s="15" t="str">
        <f>'01_인적정보'!B34</f>
        <v>BSS-030</v>
      </c>
      <c r="C73" s="15" t="str">
        <f>'01_인적정보'!C34</f>
        <v>안성진</v>
      </c>
      <c r="D73" s="15" t="str">
        <f>'01_인적정보'!E34</f>
        <v>BIM컨설팅</v>
      </c>
      <c r="E73" s="15" t="str">
        <f>'01_인적정보'!H34</f>
        <v>G1</v>
      </c>
      <c r="F73" s="25">
        <f>COUNTIF('14_직무책무DB'!$B$5:$B$70,D73)</f>
        <v>14</v>
      </c>
      <c r="G73" s="12"/>
      <c r="H73" s="15">
        <f>'07_결과취합'!Y73</f>
        <v>0</v>
      </c>
      <c r="I73" s="15">
        <f>'07_결과취합'!Z73</f>
        <v>0</v>
      </c>
      <c r="J73" s="15">
        <f t="shared" si="2"/>
        <v>0</v>
      </c>
      <c r="K73" s="24">
        <f t="shared" si="3"/>
        <v>0</v>
      </c>
      <c r="L73" s="12"/>
    </row>
    <row r="74" spans="1:12" x14ac:dyDescent="0.6">
      <c r="A74" s="15">
        <f>'01_인적정보'!A35</f>
        <v>31</v>
      </c>
      <c r="B74" s="15" t="str">
        <f>'01_인적정보'!B35</f>
        <v>BSS-031</v>
      </c>
      <c r="C74" s="15" t="str">
        <f>'01_인적정보'!C35</f>
        <v>이정일</v>
      </c>
      <c r="D74" s="15" t="str">
        <f>'01_인적정보'!E35</f>
        <v>BIM컨설팅</v>
      </c>
      <c r="E74" s="15" t="str">
        <f>'01_인적정보'!H35</f>
        <v>G1</v>
      </c>
      <c r="F74" s="25">
        <f>COUNTIF('14_직무책무DB'!$B$5:$B$70,D74)</f>
        <v>14</v>
      </c>
      <c r="G74" s="12"/>
      <c r="H74" s="15">
        <f>'07_결과취합'!Y74</f>
        <v>0</v>
      </c>
      <c r="I74" s="15">
        <f>'07_결과취합'!Z74</f>
        <v>0</v>
      </c>
      <c r="J74" s="15">
        <f t="shared" si="2"/>
        <v>0</v>
      </c>
      <c r="K74" s="24">
        <f t="shared" si="3"/>
        <v>0</v>
      </c>
      <c r="L74" s="12"/>
    </row>
    <row r="75" spans="1:12" x14ac:dyDescent="0.6">
      <c r="A75" s="15">
        <f>'01_인적정보'!A36</f>
        <v>32</v>
      </c>
      <c r="B75" s="15" t="str">
        <f>'01_인적정보'!B36</f>
        <v>BSS-032</v>
      </c>
      <c r="C75" s="15" t="str">
        <f>'01_인적정보'!C36</f>
        <v>안재성</v>
      </c>
      <c r="D75" s="15" t="str">
        <f>'01_인적정보'!E36</f>
        <v>BIM컨설팅</v>
      </c>
      <c r="E75" s="15" t="str">
        <f>'01_인적정보'!H36</f>
        <v>G1</v>
      </c>
      <c r="F75" s="25">
        <f>COUNTIF('14_직무책무DB'!$B$5:$B$70,D75)</f>
        <v>14</v>
      </c>
      <c r="G75" s="12"/>
      <c r="H75" s="15">
        <f>'07_결과취합'!Y75</f>
        <v>0</v>
      </c>
      <c r="I75" s="15">
        <f>'07_결과취합'!Z75</f>
        <v>0</v>
      </c>
      <c r="J75" s="15">
        <f t="shared" si="2"/>
        <v>0</v>
      </c>
      <c r="K75" s="24">
        <f t="shared" si="3"/>
        <v>0</v>
      </c>
      <c r="L75" s="12"/>
    </row>
    <row r="76" spans="1:12" x14ac:dyDescent="0.6">
      <c r="A76" s="15">
        <f>'01_인적정보'!A37</f>
        <v>33</v>
      </c>
      <c r="B76" s="15" t="str">
        <f>'01_인적정보'!B37</f>
        <v>BSS-033</v>
      </c>
      <c r="C76" s="15" t="str">
        <f>'01_인적정보'!C37</f>
        <v>유태석</v>
      </c>
      <c r="D76" s="15" t="str">
        <f>'01_인적정보'!E37</f>
        <v>BIM컨설팅</v>
      </c>
      <c r="E76" s="15" t="str">
        <f>'01_인적정보'!H37</f>
        <v>G1</v>
      </c>
      <c r="F76" s="25">
        <f>COUNTIF('14_직무책무DB'!$B$5:$B$70,D76)</f>
        <v>14</v>
      </c>
      <c r="G76" s="12"/>
      <c r="H76" s="15">
        <f>'07_결과취합'!Y76</f>
        <v>0</v>
      </c>
      <c r="I76" s="15">
        <f>'07_결과취합'!Z76</f>
        <v>0</v>
      </c>
      <c r="J76" s="15">
        <f t="shared" si="2"/>
        <v>0</v>
      </c>
      <c r="K76" s="24">
        <f t="shared" si="3"/>
        <v>0</v>
      </c>
      <c r="L76" s="12"/>
    </row>
    <row r="77" spans="1:12" x14ac:dyDescent="0.6">
      <c r="A77" s="15">
        <f>'01_인적정보'!A38</f>
        <v>34</v>
      </c>
      <c r="B77" s="15" t="str">
        <f>'01_인적정보'!B38</f>
        <v>BSS-034</v>
      </c>
      <c r="C77" s="15" t="str">
        <f>'01_인적정보'!C38</f>
        <v>엄보근</v>
      </c>
      <c r="D77" s="15" t="str">
        <f>'01_인적정보'!E38</f>
        <v>BIM컨설팅</v>
      </c>
      <c r="E77" s="15" t="str">
        <f>'01_인적정보'!H38</f>
        <v>G1</v>
      </c>
      <c r="F77" s="25">
        <f>COUNTIF('14_직무책무DB'!$B$5:$B$70,D77)</f>
        <v>14</v>
      </c>
      <c r="G77" s="12"/>
      <c r="H77" s="15">
        <f>'07_결과취합'!Y77</f>
        <v>0</v>
      </c>
      <c r="I77" s="15">
        <f>'07_결과취합'!Z77</f>
        <v>0</v>
      </c>
      <c r="J77" s="15">
        <f t="shared" si="2"/>
        <v>0</v>
      </c>
      <c r="K77" s="24">
        <f t="shared" si="3"/>
        <v>0</v>
      </c>
      <c r="L77" s="12"/>
    </row>
  </sheetData>
  <mergeCells count="4">
    <mergeCell ref="A42:L42"/>
    <mergeCell ref="A2:L2"/>
    <mergeCell ref="A1:L1"/>
    <mergeCell ref="A4:L4"/>
  </mergeCells>
  <phoneticPr fontId="16" type="noConversion"/>
  <conditionalFormatting sqref="H6:J77">
    <cfRule type="cellIs" dxfId="59" priority="1" operator="equal">
      <formula>"S"</formula>
    </cfRule>
    <cfRule type="cellIs" dxfId="58" priority="2" operator="equal">
      <formula>"A"</formula>
    </cfRule>
    <cfRule type="cellIs" dxfId="57" priority="3" operator="equal">
      <formula>"C"</formula>
    </cfRule>
    <cfRule type="cellIs" dxfId="56" priority="4" operator="equal">
      <formula>"D"</formula>
    </cfRule>
  </conditionalFormatting>
  <dataValidations count="1">
    <dataValidation type="list" allowBlank="1" sqref="H6:J39 H44:J77" xr:uid="{00000000-0002-0000-0600-000000000000}">
      <formula1>"S,A,B,C,D"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A77"/>
  <sheetViews>
    <sheetView showGridLines="0" workbookViewId="0">
      <pane xSplit="6" ySplit="5" topLeftCell="G6" activePane="bottomRight" state="frozen"/>
      <selection pane="topRight"/>
      <selection pane="bottomLeft"/>
      <selection pane="bottomRight" activeCell="G6" sqref="G6"/>
    </sheetView>
  </sheetViews>
  <sheetFormatPr defaultRowHeight="16.899999999999999" x14ac:dyDescent="0.6"/>
  <cols>
    <col min="1" max="1" width="5" customWidth="1"/>
    <col min="2" max="3" width="11" customWidth="1"/>
    <col min="4" max="4" width="14.5625" bestFit="1" customWidth="1"/>
    <col min="5" max="5" width="12.6875" bestFit="1" customWidth="1"/>
    <col min="6" max="6" width="9" customWidth="1"/>
    <col min="7" max="26" width="15.25" customWidth="1"/>
    <col min="27" max="27" width="24" customWidth="1"/>
  </cols>
  <sheetData>
    <row r="1" spans="1:27" ht="28.05" customHeight="1" x14ac:dyDescent="0.6">
      <c r="A1" s="51" t="s">
        <v>413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</row>
    <row r="2" spans="1:27" ht="18" customHeight="1" x14ac:dyDescent="0.6">
      <c r="A2" s="48" t="s">
        <v>414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</row>
    <row r="4" spans="1:27" ht="22.05" customHeight="1" x14ac:dyDescent="0.6">
      <c r="A4" s="45" t="s">
        <v>415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</row>
    <row r="5" spans="1:27" ht="33.75" x14ac:dyDescent="0.6">
      <c r="A5" s="2" t="s">
        <v>131</v>
      </c>
      <c r="B5" s="2" t="s">
        <v>132</v>
      </c>
      <c r="C5" s="2" t="s">
        <v>133</v>
      </c>
      <c r="D5" s="2" t="s">
        <v>134</v>
      </c>
      <c r="E5" s="2" t="s">
        <v>135</v>
      </c>
      <c r="F5" s="2" t="s">
        <v>105</v>
      </c>
      <c r="G5" s="2" t="s">
        <v>416</v>
      </c>
      <c r="H5" s="2" t="s">
        <v>417</v>
      </c>
      <c r="I5" s="2" t="s">
        <v>1077</v>
      </c>
      <c r="J5" s="2" t="s">
        <v>419</v>
      </c>
      <c r="K5" s="2" t="s">
        <v>420</v>
      </c>
      <c r="L5" s="2" t="s">
        <v>421</v>
      </c>
      <c r="M5" s="2" t="s">
        <v>422</v>
      </c>
      <c r="N5" s="2" t="s">
        <v>320</v>
      </c>
      <c r="O5" s="2" t="s">
        <v>322</v>
      </c>
      <c r="P5" s="2" t="s">
        <v>324</v>
      </c>
      <c r="Q5" s="2" t="s">
        <v>327</v>
      </c>
      <c r="R5" s="2" t="s">
        <v>329</v>
      </c>
      <c r="S5" s="2" t="s">
        <v>331</v>
      </c>
      <c r="T5" s="2" t="s">
        <v>334</v>
      </c>
      <c r="U5" s="2" t="s">
        <v>336</v>
      </c>
      <c r="V5" s="2" t="s">
        <v>339</v>
      </c>
      <c r="W5" s="2" t="s">
        <v>341</v>
      </c>
      <c r="X5" s="2" t="s">
        <v>343</v>
      </c>
      <c r="Y5" s="2" t="s">
        <v>423</v>
      </c>
      <c r="Z5" s="2" t="s">
        <v>424</v>
      </c>
      <c r="AA5" s="2" t="s">
        <v>425</v>
      </c>
    </row>
    <row r="6" spans="1:27" ht="17.75" customHeight="1" x14ac:dyDescent="0.6">
      <c r="A6" s="15">
        <f>'01_인적정보'!A5</f>
        <v>1</v>
      </c>
      <c r="B6" s="15" t="str">
        <f>'01_인적정보'!B5</f>
        <v>BSS-001</v>
      </c>
      <c r="C6" s="15" t="str">
        <f>'01_인적정보'!C5</f>
        <v>이화형</v>
      </c>
      <c r="D6" s="15" t="str">
        <f>'01_인적정보'!D5</f>
        <v>영업</v>
      </c>
      <c r="E6" s="15" t="str">
        <f>'01_인적정보'!E5</f>
        <v>프로젝트영업</v>
      </c>
      <c r="F6" s="15" t="str">
        <f>'01_인적정보'!H5</f>
        <v>G6</v>
      </c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</row>
    <row r="7" spans="1:27" ht="17.75" customHeight="1" x14ac:dyDescent="0.6">
      <c r="A7" s="15">
        <f>'01_인적정보'!A6</f>
        <v>2</v>
      </c>
      <c r="B7" s="15" t="str">
        <f>'01_인적정보'!B6</f>
        <v>BSS-002</v>
      </c>
      <c r="C7" s="15" t="str">
        <f>'01_인적정보'!C6</f>
        <v>강전용</v>
      </c>
      <c r="D7" s="15" t="str">
        <f>'01_인적정보'!D6</f>
        <v>연구&amp;개발</v>
      </c>
      <c r="E7" s="15" t="str">
        <f>'01_인적정보'!E6</f>
        <v>연구개발(R&amp;D)</v>
      </c>
      <c r="F7" s="15" t="str">
        <f>'01_인적정보'!H6</f>
        <v>G6</v>
      </c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</row>
    <row r="8" spans="1:27" ht="17.75" customHeight="1" x14ac:dyDescent="0.6">
      <c r="A8" s="15">
        <f>'01_인적정보'!A7</f>
        <v>3</v>
      </c>
      <c r="B8" s="15" t="str">
        <f>'01_인적정보'!B7</f>
        <v>BSS-003</v>
      </c>
      <c r="C8" s="15" t="str">
        <f>'01_인적정보'!C7</f>
        <v>김현민</v>
      </c>
      <c r="D8" s="15" t="str">
        <f>'01_인적정보'!D7</f>
        <v>설계</v>
      </c>
      <c r="E8" s="15" t="str">
        <f>'01_인적정보'!E7</f>
        <v>BIM컨설팅</v>
      </c>
      <c r="F8" s="15" t="str">
        <f>'01_인적정보'!H7</f>
        <v>G6</v>
      </c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</row>
    <row r="9" spans="1:27" ht="17.75" customHeight="1" x14ac:dyDescent="0.6">
      <c r="A9" s="15">
        <f>'01_인적정보'!A8</f>
        <v>4</v>
      </c>
      <c r="B9" s="15" t="str">
        <f>'01_인적정보'!B8</f>
        <v>BSS-004</v>
      </c>
      <c r="C9" s="15" t="str">
        <f>'01_인적정보'!C8</f>
        <v>이일곤</v>
      </c>
      <c r="D9" s="15" t="str">
        <f>'01_인적정보'!D8</f>
        <v>경영관리</v>
      </c>
      <c r="E9" s="15" t="str">
        <f>'01_인적정보'!E8</f>
        <v>경영전략기획</v>
      </c>
      <c r="F9" s="15" t="str">
        <f>'01_인적정보'!H8</f>
        <v>G6</v>
      </c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</row>
    <row r="10" spans="1:27" ht="17.75" customHeight="1" x14ac:dyDescent="0.6">
      <c r="A10" s="15">
        <f>'01_인적정보'!A9</f>
        <v>5</v>
      </c>
      <c r="B10" s="15" t="str">
        <f>'01_인적정보'!B9</f>
        <v>BSS-005</v>
      </c>
      <c r="C10" s="15" t="str">
        <f>'01_인적정보'!C9</f>
        <v>송헌영</v>
      </c>
      <c r="D10" s="15" t="str">
        <f>'01_인적정보'!D9</f>
        <v>경영관리</v>
      </c>
      <c r="E10" s="15" t="str">
        <f>'01_인적정보'!E9</f>
        <v>경영전략기획</v>
      </c>
      <c r="F10" s="15" t="str">
        <f>'01_인적정보'!H9</f>
        <v>G6</v>
      </c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</row>
    <row r="11" spans="1:27" ht="17.75" customHeight="1" x14ac:dyDescent="0.6">
      <c r="A11" s="15">
        <f>'01_인적정보'!A10</f>
        <v>6</v>
      </c>
      <c r="B11" s="15" t="str">
        <f>'01_인적정보'!B10</f>
        <v>BSS-006</v>
      </c>
      <c r="C11" s="15" t="str">
        <f>'01_인적정보'!C10</f>
        <v>이재용</v>
      </c>
      <c r="D11" s="15" t="str">
        <f>'01_인적정보'!D10</f>
        <v>경영관리</v>
      </c>
      <c r="E11" s="15" t="str">
        <f>'01_인적정보'!E10</f>
        <v>경영전략기획</v>
      </c>
      <c r="F11" s="15" t="str">
        <f>'01_인적정보'!H10</f>
        <v>G6</v>
      </c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</row>
    <row r="12" spans="1:27" ht="17.75" customHeight="1" x14ac:dyDescent="0.6">
      <c r="A12" s="15">
        <f>'01_인적정보'!A11</f>
        <v>7</v>
      </c>
      <c r="B12" s="15" t="str">
        <f>'01_인적정보'!B11</f>
        <v>BSS-007</v>
      </c>
      <c r="C12" s="15" t="str">
        <f>'01_인적정보'!C11</f>
        <v>이진행</v>
      </c>
      <c r="D12" s="15" t="str">
        <f>'01_인적정보'!D11</f>
        <v>교육 및 기술지원</v>
      </c>
      <c r="E12" s="15" t="str">
        <f>'01_인적정보'!E11</f>
        <v>교육·기술지원</v>
      </c>
      <c r="F12" s="15" t="str">
        <f>'01_인적정보'!H11</f>
        <v>G5</v>
      </c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</row>
    <row r="13" spans="1:27" ht="17.75" customHeight="1" x14ac:dyDescent="0.6">
      <c r="A13" s="15">
        <f>'01_인적정보'!A12</f>
        <v>8</v>
      </c>
      <c r="B13" s="15" t="str">
        <f>'01_인적정보'!B12</f>
        <v>BSS-008</v>
      </c>
      <c r="C13" s="15" t="str">
        <f>'01_인적정보'!C12</f>
        <v>김민수</v>
      </c>
      <c r="D13" s="15" t="str">
        <f>'01_인적정보'!D12</f>
        <v>교육 및 기술지원</v>
      </c>
      <c r="E13" s="15" t="str">
        <f>'01_인적정보'!E12</f>
        <v>교육·기술지원</v>
      </c>
      <c r="F13" s="15" t="str">
        <f>'01_인적정보'!H12</f>
        <v>G5</v>
      </c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</row>
    <row r="14" spans="1:27" ht="17.75" customHeight="1" x14ac:dyDescent="0.6">
      <c r="A14" s="15">
        <f>'01_인적정보'!A13</f>
        <v>9</v>
      </c>
      <c r="B14" s="15" t="str">
        <f>'01_인적정보'!B13</f>
        <v>BSS-009</v>
      </c>
      <c r="C14" s="15" t="str">
        <f>'01_인적정보'!C13</f>
        <v>박남식</v>
      </c>
      <c r="D14" s="15" t="str">
        <f>'01_인적정보'!D13</f>
        <v>설계</v>
      </c>
      <c r="E14" s="15" t="str">
        <f>'01_인적정보'!E13</f>
        <v>BIM컨설팅</v>
      </c>
      <c r="F14" s="15" t="str">
        <f>'01_인적정보'!H13</f>
        <v>G5</v>
      </c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</row>
    <row r="15" spans="1:27" ht="17.75" customHeight="1" x14ac:dyDescent="0.6">
      <c r="A15" s="15">
        <f>'01_인적정보'!A14</f>
        <v>10</v>
      </c>
      <c r="B15" s="15" t="str">
        <f>'01_인적정보'!B14</f>
        <v>BSS-010</v>
      </c>
      <c r="C15" s="15" t="str">
        <f>'01_인적정보'!C14</f>
        <v>신재민</v>
      </c>
      <c r="D15" s="15" t="str">
        <f>'01_인적정보'!D14</f>
        <v>설계</v>
      </c>
      <c r="E15" s="15" t="str">
        <f>'01_인적정보'!E14</f>
        <v>BIM컨설팅</v>
      </c>
      <c r="F15" s="15" t="str">
        <f>'01_인적정보'!H14</f>
        <v>G5</v>
      </c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</row>
    <row r="16" spans="1:27" ht="17.75" customHeight="1" x14ac:dyDescent="0.6">
      <c r="A16" s="15">
        <f>'01_인적정보'!A15</f>
        <v>11</v>
      </c>
      <c r="B16" s="15" t="str">
        <f>'01_인적정보'!B15</f>
        <v>BSS-011</v>
      </c>
      <c r="C16" s="15" t="str">
        <f>'01_인적정보'!C15</f>
        <v>마장엽</v>
      </c>
      <c r="D16" s="15" t="str">
        <f>'01_인적정보'!D15</f>
        <v>설계</v>
      </c>
      <c r="E16" s="15" t="str">
        <f>'01_인적정보'!E15</f>
        <v>BIM컨설팅</v>
      </c>
      <c r="F16" s="15" t="str">
        <f>'01_인적정보'!H15</f>
        <v>G5</v>
      </c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</row>
    <row r="17" spans="1:27" ht="17.75" customHeight="1" x14ac:dyDescent="0.6">
      <c r="A17" s="15">
        <f>'01_인적정보'!A16</f>
        <v>12</v>
      </c>
      <c r="B17" s="15" t="str">
        <f>'01_인적정보'!B16</f>
        <v>BSS-012</v>
      </c>
      <c r="C17" s="15" t="str">
        <f>'01_인적정보'!C16</f>
        <v>하은주</v>
      </c>
      <c r="D17" s="15" t="str">
        <f>'01_인적정보'!D16</f>
        <v>경영관리</v>
      </c>
      <c r="E17" s="15" t="str">
        <f>'01_인적정보'!E16</f>
        <v>경영전략기획</v>
      </c>
      <c r="F17" s="15" t="str">
        <f>'01_인적정보'!H16</f>
        <v>G5</v>
      </c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</row>
    <row r="18" spans="1:27" ht="17.75" customHeight="1" x14ac:dyDescent="0.6">
      <c r="A18" s="15">
        <f>'01_인적정보'!A17</f>
        <v>13</v>
      </c>
      <c r="B18" s="15" t="str">
        <f>'01_인적정보'!B17</f>
        <v>BSS-013</v>
      </c>
      <c r="C18" s="15" t="str">
        <f>'01_인적정보'!C17</f>
        <v>홍사훈</v>
      </c>
      <c r="D18" s="15" t="str">
        <f>'01_인적정보'!D17</f>
        <v>설계</v>
      </c>
      <c r="E18" s="15" t="str">
        <f>'01_인적정보'!E17</f>
        <v>BIM컨설팅</v>
      </c>
      <c r="F18" s="15" t="str">
        <f>'01_인적정보'!H17</f>
        <v>G5</v>
      </c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</row>
    <row r="19" spans="1:27" ht="17.75" customHeight="1" x14ac:dyDescent="0.6">
      <c r="A19" s="15">
        <f>'01_인적정보'!A18</f>
        <v>14</v>
      </c>
      <c r="B19" s="15" t="str">
        <f>'01_인적정보'!B18</f>
        <v>BSS-014</v>
      </c>
      <c r="C19" s="15" t="str">
        <f>'01_인적정보'!C18</f>
        <v>유자영</v>
      </c>
      <c r="D19" s="15" t="str">
        <f>'01_인적정보'!D18</f>
        <v>설계</v>
      </c>
      <c r="E19" s="15" t="str">
        <f>'01_인적정보'!E18</f>
        <v>BIM컨설팅</v>
      </c>
      <c r="F19" s="15" t="str">
        <f>'01_인적정보'!H18</f>
        <v>G5</v>
      </c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</row>
    <row r="20" spans="1:27" ht="17.75" customHeight="1" x14ac:dyDescent="0.6">
      <c r="A20" s="15">
        <f>'01_인적정보'!A19</f>
        <v>15</v>
      </c>
      <c r="B20" s="15" t="str">
        <f>'01_인적정보'!B19</f>
        <v>BSS-015</v>
      </c>
      <c r="C20" s="15" t="str">
        <f>'01_인적정보'!C19</f>
        <v>민지선</v>
      </c>
      <c r="D20" s="15" t="str">
        <f>'01_인적정보'!D19</f>
        <v>설계</v>
      </c>
      <c r="E20" s="15" t="str">
        <f>'01_인적정보'!E19</f>
        <v>BIM컨설팅</v>
      </c>
      <c r="F20" s="15" t="str">
        <f>'01_인적정보'!H19</f>
        <v>G5</v>
      </c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</row>
    <row r="21" spans="1:27" ht="17.75" customHeight="1" x14ac:dyDescent="0.6">
      <c r="A21" s="15">
        <f>'01_인적정보'!A20</f>
        <v>16</v>
      </c>
      <c r="B21" s="15" t="str">
        <f>'01_인적정보'!B20</f>
        <v>BSS-016</v>
      </c>
      <c r="C21" s="15" t="str">
        <f>'01_인적정보'!C20</f>
        <v>장훈</v>
      </c>
      <c r="D21" s="15" t="str">
        <f>'01_인적정보'!D20</f>
        <v>설계</v>
      </c>
      <c r="E21" s="15" t="str">
        <f>'01_인적정보'!E20</f>
        <v>BIM컨설팅</v>
      </c>
      <c r="F21" s="15" t="str">
        <f>'01_인적정보'!H20</f>
        <v>G5</v>
      </c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</row>
    <row r="22" spans="1:27" ht="17.75" customHeight="1" x14ac:dyDescent="0.6">
      <c r="A22" s="15">
        <f>'01_인적정보'!A21</f>
        <v>17</v>
      </c>
      <c r="B22" s="15" t="str">
        <f>'01_인적정보'!B21</f>
        <v>BSS-017</v>
      </c>
      <c r="C22" s="15" t="str">
        <f>'01_인적정보'!C21</f>
        <v>김우람</v>
      </c>
      <c r="D22" s="15" t="str">
        <f>'01_인적정보'!D21</f>
        <v>교육 및 기술지원</v>
      </c>
      <c r="E22" s="15" t="str">
        <f>'01_인적정보'!E21</f>
        <v>교육·기술지원</v>
      </c>
      <c r="F22" s="15" t="str">
        <f>'01_인적정보'!H21</f>
        <v>G4</v>
      </c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</row>
    <row r="23" spans="1:27" ht="17.75" customHeight="1" x14ac:dyDescent="0.6">
      <c r="A23" s="15">
        <f>'01_인적정보'!A22</f>
        <v>18</v>
      </c>
      <c r="B23" s="15" t="str">
        <f>'01_인적정보'!B22</f>
        <v>BSS-018</v>
      </c>
      <c r="C23" s="15" t="str">
        <f>'01_인적정보'!C22</f>
        <v>조성준</v>
      </c>
      <c r="D23" s="15" t="str">
        <f>'01_인적정보'!D22</f>
        <v>설계</v>
      </c>
      <c r="E23" s="15" t="str">
        <f>'01_인적정보'!E22</f>
        <v>BIM컨설팅</v>
      </c>
      <c r="F23" s="15" t="str">
        <f>'01_인적정보'!H22</f>
        <v>G4</v>
      </c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</row>
    <row r="24" spans="1:27" ht="17.75" customHeight="1" x14ac:dyDescent="0.6">
      <c r="A24" s="15">
        <f>'01_인적정보'!A23</f>
        <v>19</v>
      </c>
      <c r="B24" s="15" t="str">
        <f>'01_인적정보'!B23</f>
        <v>BSS-019</v>
      </c>
      <c r="C24" s="15" t="str">
        <f>'01_인적정보'!C23</f>
        <v>구서현</v>
      </c>
      <c r="D24" s="15" t="str">
        <f>'01_인적정보'!D23</f>
        <v>설계</v>
      </c>
      <c r="E24" s="15" t="str">
        <f>'01_인적정보'!E23</f>
        <v>BIM컨설팅</v>
      </c>
      <c r="F24" s="15" t="str">
        <f>'01_인적정보'!H23</f>
        <v>G2</v>
      </c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</row>
    <row r="25" spans="1:27" ht="17.75" customHeight="1" x14ac:dyDescent="0.6">
      <c r="A25" s="15">
        <f>'01_인적정보'!A24</f>
        <v>20</v>
      </c>
      <c r="B25" s="15" t="str">
        <f>'01_인적정보'!B24</f>
        <v>BSS-020</v>
      </c>
      <c r="C25" s="15" t="str">
        <f>'01_인적정보'!C24</f>
        <v>박진용</v>
      </c>
      <c r="D25" s="15" t="str">
        <f>'01_인적정보'!D24</f>
        <v>교육 및 기술지원</v>
      </c>
      <c r="E25" s="15" t="str">
        <f>'01_인적정보'!E24</f>
        <v>교육·기술지원</v>
      </c>
      <c r="F25" s="15" t="str">
        <f>'01_인적정보'!H24</f>
        <v>G3</v>
      </c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</row>
    <row r="26" spans="1:27" ht="17.75" customHeight="1" x14ac:dyDescent="0.6">
      <c r="A26" s="15">
        <f>'01_인적정보'!A25</f>
        <v>21</v>
      </c>
      <c r="B26" s="15" t="str">
        <f>'01_인적정보'!B25</f>
        <v>BSS-021</v>
      </c>
      <c r="C26" s="15" t="str">
        <f>'01_인적정보'!C25</f>
        <v>김가연</v>
      </c>
      <c r="D26" s="15" t="str">
        <f>'01_인적정보'!D25</f>
        <v>설계</v>
      </c>
      <c r="E26" s="15" t="str">
        <f>'01_인적정보'!E25</f>
        <v>BIM컨설팅</v>
      </c>
      <c r="F26" s="15" t="str">
        <f>'01_인적정보'!H25</f>
        <v>G2</v>
      </c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</row>
    <row r="27" spans="1:27" ht="17.75" customHeight="1" x14ac:dyDescent="0.6">
      <c r="A27" s="15">
        <f>'01_인적정보'!A26</f>
        <v>22</v>
      </c>
      <c r="B27" s="15" t="str">
        <f>'01_인적정보'!B26</f>
        <v>BSS-022</v>
      </c>
      <c r="C27" s="15" t="str">
        <f>'01_인적정보'!C26</f>
        <v>한근수</v>
      </c>
      <c r="D27" s="15" t="str">
        <f>'01_인적정보'!D26</f>
        <v>설계</v>
      </c>
      <c r="E27" s="15" t="str">
        <f>'01_인적정보'!E26</f>
        <v>BIM컨설팅</v>
      </c>
      <c r="F27" s="15" t="str">
        <f>'01_인적정보'!H26</f>
        <v>G2</v>
      </c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</row>
    <row r="28" spans="1:27" ht="17.75" customHeight="1" x14ac:dyDescent="0.6">
      <c r="A28" s="15">
        <f>'01_인적정보'!A27</f>
        <v>23</v>
      </c>
      <c r="B28" s="15" t="str">
        <f>'01_인적정보'!B27</f>
        <v>BSS-023</v>
      </c>
      <c r="C28" s="15" t="str">
        <f>'01_인적정보'!C27</f>
        <v>김성민</v>
      </c>
      <c r="D28" s="15" t="str">
        <f>'01_인적정보'!D27</f>
        <v>설계</v>
      </c>
      <c r="E28" s="15" t="str">
        <f>'01_인적정보'!E27</f>
        <v>BIM컨설팅</v>
      </c>
      <c r="F28" s="15" t="str">
        <f>'01_인적정보'!H27</f>
        <v>G2</v>
      </c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</row>
    <row r="29" spans="1:27" ht="17.75" customHeight="1" x14ac:dyDescent="0.6">
      <c r="A29" s="15">
        <f>'01_인적정보'!A28</f>
        <v>24</v>
      </c>
      <c r="B29" s="15" t="str">
        <f>'01_인적정보'!B28</f>
        <v>BSS-024</v>
      </c>
      <c r="C29" s="15" t="str">
        <f>'01_인적정보'!C28</f>
        <v>고광우</v>
      </c>
      <c r="D29" s="15" t="str">
        <f>'01_인적정보'!D28</f>
        <v>설계</v>
      </c>
      <c r="E29" s="15" t="str">
        <f>'01_인적정보'!E28</f>
        <v>BIM컨설팅</v>
      </c>
      <c r="F29" s="15" t="str">
        <f>'01_인적정보'!H28</f>
        <v>G2</v>
      </c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</row>
    <row r="30" spans="1:27" ht="17.75" customHeight="1" x14ac:dyDescent="0.6">
      <c r="A30" s="15">
        <f>'01_인적정보'!A29</f>
        <v>25</v>
      </c>
      <c r="B30" s="15" t="str">
        <f>'01_인적정보'!B29</f>
        <v>BSS-025</v>
      </c>
      <c r="C30" s="15" t="str">
        <f>'01_인적정보'!C29</f>
        <v>김성수</v>
      </c>
      <c r="D30" s="15" t="str">
        <f>'01_인적정보'!D29</f>
        <v>연구&amp;개발</v>
      </c>
      <c r="E30" s="15" t="str">
        <f>'01_인적정보'!E29</f>
        <v>연구개발(R&amp;D)</v>
      </c>
      <c r="F30" s="15" t="str">
        <f>'01_인적정보'!H29</f>
        <v>G2</v>
      </c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</row>
    <row r="31" spans="1:27" ht="17.75" customHeight="1" x14ac:dyDescent="0.6">
      <c r="A31" s="15">
        <f>'01_인적정보'!A30</f>
        <v>26</v>
      </c>
      <c r="B31" s="15" t="str">
        <f>'01_인적정보'!B30</f>
        <v>BSS-026</v>
      </c>
      <c r="C31" s="15" t="str">
        <f>'01_인적정보'!C30</f>
        <v>박진희</v>
      </c>
      <c r="D31" s="15" t="str">
        <f>'01_인적정보'!D30</f>
        <v>경영관리</v>
      </c>
      <c r="E31" s="15" t="str">
        <f>'01_인적정보'!E30</f>
        <v>경영전략기획</v>
      </c>
      <c r="F31" s="15" t="str">
        <f>'01_인적정보'!H30</f>
        <v>G1</v>
      </c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</row>
    <row r="32" spans="1:27" ht="17.75" customHeight="1" x14ac:dyDescent="0.6">
      <c r="A32" s="15">
        <f>'01_인적정보'!A31</f>
        <v>27</v>
      </c>
      <c r="B32" s="15" t="str">
        <f>'01_인적정보'!B31</f>
        <v>BSS-027</v>
      </c>
      <c r="C32" s="15" t="str">
        <f>'01_인적정보'!C31</f>
        <v>장은한</v>
      </c>
      <c r="D32" s="15" t="str">
        <f>'01_인적정보'!D31</f>
        <v>교육 및 기술지원</v>
      </c>
      <c r="E32" s="15" t="str">
        <f>'01_인적정보'!E31</f>
        <v>교육·기술지원</v>
      </c>
      <c r="F32" s="15" t="str">
        <f>'01_인적정보'!H31</f>
        <v>G2</v>
      </c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</row>
    <row r="33" spans="1:27" ht="17.75" customHeight="1" x14ac:dyDescent="0.6">
      <c r="A33" s="15">
        <f>'01_인적정보'!A32</f>
        <v>28</v>
      </c>
      <c r="B33" s="15" t="str">
        <f>'01_인적정보'!B32</f>
        <v>BSS-028</v>
      </c>
      <c r="C33" s="15" t="str">
        <f>'01_인적정보'!C32</f>
        <v>김현수</v>
      </c>
      <c r="D33" s="15" t="str">
        <f>'01_인적정보'!D32</f>
        <v>설계</v>
      </c>
      <c r="E33" s="15" t="str">
        <f>'01_인적정보'!E32</f>
        <v>BIM컨설팅</v>
      </c>
      <c r="F33" s="15" t="str">
        <f>'01_인적정보'!H32</f>
        <v>G1</v>
      </c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</row>
    <row r="34" spans="1:27" ht="17.75" customHeight="1" x14ac:dyDescent="0.6">
      <c r="A34" s="15">
        <f>'01_인적정보'!A33</f>
        <v>29</v>
      </c>
      <c r="B34" s="15" t="str">
        <f>'01_인적정보'!B33</f>
        <v>BSS-029</v>
      </c>
      <c r="C34" s="15" t="str">
        <f>'01_인적정보'!C33</f>
        <v>콜셍홍</v>
      </c>
      <c r="D34" s="15" t="str">
        <f>'01_인적정보'!D33</f>
        <v>설계</v>
      </c>
      <c r="E34" s="15" t="str">
        <f>'01_인적정보'!E33</f>
        <v>BIM컨설팅</v>
      </c>
      <c r="F34" s="15" t="str">
        <f>'01_인적정보'!H33</f>
        <v>G1</v>
      </c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</row>
    <row r="35" spans="1:27" ht="17.75" customHeight="1" x14ac:dyDescent="0.6">
      <c r="A35" s="15">
        <f>'01_인적정보'!A34</f>
        <v>30</v>
      </c>
      <c r="B35" s="15" t="str">
        <f>'01_인적정보'!B34</f>
        <v>BSS-030</v>
      </c>
      <c r="C35" s="15" t="str">
        <f>'01_인적정보'!C34</f>
        <v>안성진</v>
      </c>
      <c r="D35" s="15" t="str">
        <f>'01_인적정보'!D34</f>
        <v>설계</v>
      </c>
      <c r="E35" s="15" t="str">
        <f>'01_인적정보'!E34</f>
        <v>BIM컨설팅</v>
      </c>
      <c r="F35" s="15" t="str">
        <f>'01_인적정보'!H34</f>
        <v>G1</v>
      </c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</row>
    <row r="36" spans="1:27" ht="17.75" customHeight="1" x14ac:dyDescent="0.6">
      <c r="A36" s="15">
        <f>'01_인적정보'!A35</f>
        <v>31</v>
      </c>
      <c r="B36" s="15" t="str">
        <f>'01_인적정보'!B35</f>
        <v>BSS-031</v>
      </c>
      <c r="C36" s="15" t="str">
        <f>'01_인적정보'!C35</f>
        <v>이정일</v>
      </c>
      <c r="D36" s="15" t="str">
        <f>'01_인적정보'!D35</f>
        <v>설계</v>
      </c>
      <c r="E36" s="15" t="str">
        <f>'01_인적정보'!E35</f>
        <v>BIM컨설팅</v>
      </c>
      <c r="F36" s="15" t="str">
        <f>'01_인적정보'!H35</f>
        <v>G1</v>
      </c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</row>
    <row r="37" spans="1:27" ht="17.75" customHeight="1" x14ac:dyDescent="0.6">
      <c r="A37" s="15">
        <f>'01_인적정보'!A36</f>
        <v>32</v>
      </c>
      <c r="B37" s="15" t="str">
        <f>'01_인적정보'!B36</f>
        <v>BSS-032</v>
      </c>
      <c r="C37" s="15" t="str">
        <f>'01_인적정보'!C36</f>
        <v>안재성</v>
      </c>
      <c r="D37" s="15" t="str">
        <f>'01_인적정보'!D36</f>
        <v>설계</v>
      </c>
      <c r="E37" s="15" t="str">
        <f>'01_인적정보'!E36</f>
        <v>BIM컨설팅</v>
      </c>
      <c r="F37" s="15" t="str">
        <f>'01_인적정보'!H36</f>
        <v>G1</v>
      </c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</row>
    <row r="38" spans="1:27" ht="17.75" customHeight="1" x14ac:dyDescent="0.6">
      <c r="A38" s="15">
        <f>'01_인적정보'!A37</f>
        <v>33</v>
      </c>
      <c r="B38" s="15" t="str">
        <f>'01_인적정보'!B37</f>
        <v>BSS-033</v>
      </c>
      <c r="C38" s="15" t="str">
        <f>'01_인적정보'!C37</f>
        <v>유태석</v>
      </c>
      <c r="D38" s="15" t="str">
        <f>'01_인적정보'!D37</f>
        <v>설계</v>
      </c>
      <c r="E38" s="15" t="str">
        <f>'01_인적정보'!E37</f>
        <v>BIM컨설팅</v>
      </c>
      <c r="F38" s="15" t="str">
        <f>'01_인적정보'!H37</f>
        <v>G1</v>
      </c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</row>
    <row r="39" spans="1:27" ht="17.75" customHeight="1" x14ac:dyDescent="0.6">
      <c r="A39" s="15">
        <f>'01_인적정보'!A38</f>
        <v>34</v>
      </c>
      <c r="B39" s="15" t="str">
        <f>'01_인적정보'!B38</f>
        <v>BSS-034</v>
      </c>
      <c r="C39" s="15" t="str">
        <f>'01_인적정보'!C38</f>
        <v>엄보근</v>
      </c>
      <c r="D39" s="15" t="str">
        <f>'01_인적정보'!D38</f>
        <v>설계</v>
      </c>
      <c r="E39" s="15" t="str">
        <f>'01_인적정보'!E38</f>
        <v>BIM컨설팅</v>
      </c>
      <c r="F39" s="15" t="str">
        <f>'01_인적정보'!H38</f>
        <v>G1</v>
      </c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</row>
    <row r="42" spans="1:27" ht="22.05" customHeight="1" x14ac:dyDescent="0.6">
      <c r="A42" s="45" t="s">
        <v>426</v>
      </c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</row>
    <row r="43" spans="1:27" ht="33.75" x14ac:dyDescent="0.6">
      <c r="A43" s="2" t="s">
        <v>131</v>
      </c>
      <c r="B43" s="2" t="s">
        <v>132</v>
      </c>
      <c r="C43" s="2" t="s">
        <v>133</v>
      </c>
      <c r="D43" s="2" t="s">
        <v>134</v>
      </c>
      <c r="E43" s="2" t="s">
        <v>135</v>
      </c>
      <c r="F43" s="2" t="s">
        <v>105</v>
      </c>
      <c r="G43" s="2" t="s">
        <v>416</v>
      </c>
      <c r="H43" s="2" t="s">
        <v>417</v>
      </c>
      <c r="I43" s="2" t="s">
        <v>418</v>
      </c>
      <c r="J43" s="2" t="s">
        <v>419</v>
      </c>
      <c r="K43" s="2" t="s">
        <v>420</v>
      </c>
      <c r="L43" s="2" t="s">
        <v>421</v>
      </c>
      <c r="M43" s="2" t="s">
        <v>422</v>
      </c>
      <c r="N43" s="2" t="s">
        <v>320</v>
      </c>
      <c r="O43" s="2" t="s">
        <v>322</v>
      </c>
      <c r="P43" s="2" t="s">
        <v>324</v>
      </c>
      <c r="Q43" s="2" t="s">
        <v>327</v>
      </c>
      <c r="R43" s="2" t="s">
        <v>329</v>
      </c>
      <c r="S43" s="2" t="s">
        <v>331</v>
      </c>
      <c r="T43" s="2" t="s">
        <v>334</v>
      </c>
      <c r="U43" s="2" t="s">
        <v>336</v>
      </c>
      <c r="V43" s="2" t="s">
        <v>339</v>
      </c>
      <c r="W43" s="2" t="s">
        <v>341</v>
      </c>
      <c r="X43" s="2" t="s">
        <v>343</v>
      </c>
      <c r="Y43" s="2" t="s">
        <v>423</v>
      </c>
      <c r="Z43" s="2" t="s">
        <v>424</v>
      </c>
      <c r="AA43" s="2" t="s">
        <v>425</v>
      </c>
    </row>
    <row r="44" spans="1:27" ht="17.75" customHeight="1" x14ac:dyDescent="0.6">
      <c r="A44" s="15">
        <f>'01_인적정보'!A5</f>
        <v>1</v>
      </c>
      <c r="B44" s="15" t="str">
        <f>'01_인적정보'!B5</f>
        <v>BSS-001</v>
      </c>
      <c r="C44" s="15" t="str">
        <f>'01_인적정보'!C5</f>
        <v>이화형</v>
      </c>
      <c r="D44" s="15" t="str">
        <f>'01_인적정보'!D5</f>
        <v>영업</v>
      </c>
      <c r="E44" s="15" t="str">
        <f>'01_인적정보'!E5</f>
        <v>프로젝트영업</v>
      </c>
      <c r="F44" s="15" t="str">
        <f>'01_인적정보'!H5</f>
        <v>G6</v>
      </c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</row>
    <row r="45" spans="1:27" ht="17.75" customHeight="1" x14ac:dyDescent="0.6">
      <c r="A45" s="15">
        <f>'01_인적정보'!A6</f>
        <v>2</v>
      </c>
      <c r="B45" s="15" t="str">
        <f>'01_인적정보'!B6</f>
        <v>BSS-002</v>
      </c>
      <c r="C45" s="15" t="str">
        <f>'01_인적정보'!C6</f>
        <v>강전용</v>
      </c>
      <c r="D45" s="15" t="str">
        <f>'01_인적정보'!D6</f>
        <v>연구&amp;개발</v>
      </c>
      <c r="E45" s="15" t="str">
        <f>'01_인적정보'!E6</f>
        <v>연구개발(R&amp;D)</v>
      </c>
      <c r="F45" s="15" t="str">
        <f>'01_인적정보'!H6</f>
        <v>G6</v>
      </c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</row>
    <row r="46" spans="1:27" ht="17.75" customHeight="1" x14ac:dyDescent="0.6">
      <c r="A46" s="15">
        <f>'01_인적정보'!A7</f>
        <v>3</v>
      </c>
      <c r="B46" s="15" t="str">
        <f>'01_인적정보'!B7</f>
        <v>BSS-003</v>
      </c>
      <c r="C46" s="15" t="str">
        <f>'01_인적정보'!C7</f>
        <v>김현민</v>
      </c>
      <c r="D46" s="15" t="str">
        <f>'01_인적정보'!D7</f>
        <v>설계</v>
      </c>
      <c r="E46" s="15" t="str">
        <f>'01_인적정보'!E7</f>
        <v>BIM컨설팅</v>
      </c>
      <c r="F46" s="15" t="str">
        <f>'01_인적정보'!H7</f>
        <v>G6</v>
      </c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</row>
    <row r="47" spans="1:27" ht="17.75" customHeight="1" x14ac:dyDescent="0.6">
      <c r="A47" s="15">
        <f>'01_인적정보'!A8</f>
        <v>4</v>
      </c>
      <c r="B47" s="15" t="str">
        <f>'01_인적정보'!B8</f>
        <v>BSS-004</v>
      </c>
      <c r="C47" s="15" t="str">
        <f>'01_인적정보'!C8</f>
        <v>이일곤</v>
      </c>
      <c r="D47" s="15" t="str">
        <f>'01_인적정보'!D8</f>
        <v>경영관리</v>
      </c>
      <c r="E47" s="15" t="str">
        <f>'01_인적정보'!E8</f>
        <v>경영전략기획</v>
      </c>
      <c r="F47" s="15" t="str">
        <f>'01_인적정보'!H8</f>
        <v>G6</v>
      </c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</row>
    <row r="48" spans="1:27" ht="17.75" customHeight="1" x14ac:dyDescent="0.6">
      <c r="A48" s="15">
        <f>'01_인적정보'!A9</f>
        <v>5</v>
      </c>
      <c r="B48" s="15" t="str">
        <f>'01_인적정보'!B9</f>
        <v>BSS-005</v>
      </c>
      <c r="C48" s="15" t="str">
        <f>'01_인적정보'!C9</f>
        <v>송헌영</v>
      </c>
      <c r="D48" s="15" t="str">
        <f>'01_인적정보'!D9</f>
        <v>경영관리</v>
      </c>
      <c r="E48" s="15" t="str">
        <f>'01_인적정보'!E9</f>
        <v>경영전략기획</v>
      </c>
      <c r="F48" s="15" t="str">
        <f>'01_인적정보'!H9</f>
        <v>G6</v>
      </c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</row>
    <row r="49" spans="1:27" ht="17.75" customHeight="1" x14ac:dyDescent="0.6">
      <c r="A49" s="15">
        <f>'01_인적정보'!A10</f>
        <v>6</v>
      </c>
      <c r="B49" s="15" t="str">
        <f>'01_인적정보'!B10</f>
        <v>BSS-006</v>
      </c>
      <c r="C49" s="15" t="str">
        <f>'01_인적정보'!C10</f>
        <v>이재용</v>
      </c>
      <c r="D49" s="15" t="str">
        <f>'01_인적정보'!D10</f>
        <v>경영관리</v>
      </c>
      <c r="E49" s="15" t="str">
        <f>'01_인적정보'!E10</f>
        <v>경영전략기획</v>
      </c>
      <c r="F49" s="15" t="str">
        <f>'01_인적정보'!H10</f>
        <v>G6</v>
      </c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</row>
    <row r="50" spans="1:27" ht="17.75" customHeight="1" x14ac:dyDescent="0.6">
      <c r="A50" s="15">
        <f>'01_인적정보'!A11</f>
        <v>7</v>
      </c>
      <c r="B50" s="15" t="str">
        <f>'01_인적정보'!B11</f>
        <v>BSS-007</v>
      </c>
      <c r="C50" s="15" t="str">
        <f>'01_인적정보'!C11</f>
        <v>이진행</v>
      </c>
      <c r="D50" s="15" t="str">
        <f>'01_인적정보'!D11</f>
        <v>교육 및 기술지원</v>
      </c>
      <c r="E50" s="15" t="str">
        <f>'01_인적정보'!E11</f>
        <v>교육·기술지원</v>
      </c>
      <c r="F50" s="15" t="str">
        <f>'01_인적정보'!H11</f>
        <v>G5</v>
      </c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</row>
    <row r="51" spans="1:27" ht="17.75" customHeight="1" x14ac:dyDescent="0.6">
      <c r="A51" s="15">
        <f>'01_인적정보'!A12</f>
        <v>8</v>
      </c>
      <c r="B51" s="15" t="str">
        <f>'01_인적정보'!B12</f>
        <v>BSS-008</v>
      </c>
      <c r="C51" s="15" t="str">
        <f>'01_인적정보'!C12</f>
        <v>김민수</v>
      </c>
      <c r="D51" s="15" t="str">
        <f>'01_인적정보'!D12</f>
        <v>교육 및 기술지원</v>
      </c>
      <c r="E51" s="15" t="str">
        <f>'01_인적정보'!E12</f>
        <v>교육·기술지원</v>
      </c>
      <c r="F51" s="15" t="str">
        <f>'01_인적정보'!H12</f>
        <v>G5</v>
      </c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</row>
    <row r="52" spans="1:27" ht="17.75" customHeight="1" x14ac:dyDescent="0.6">
      <c r="A52" s="15">
        <f>'01_인적정보'!A13</f>
        <v>9</v>
      </c>
      <c r="B52" s="15" t="str">
        <f>'01_인적정보'!B13</f>
        <v>BSS-009</v>
      </c>
      <c r="C52" s="15" t="str">
        <f>'01_인적정보'!C13</f>
        <v>박남식</v>
      </c>
      <c r="D52" s="15" t="str">
        <f>'01_인적정보'!D13</f>
        <v>설계</v>
      </c>
      <c r="E52" s="15" t="str">
        <f>'01_인적정보'!E13</f>
        <v>BIM컨설팅</v>
      </c>
      <c r="F52" s="15" t="str">
        <f>'01_인적정보'!H13</f>
        <v>G5</v>
      </c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</row>
    <row r="53" spans="1:27" ht="17.75" customHeight="1" x14ac:dyDescent="0.6">
      <c r="A53" s="15">
        <f>'01_인적정보'!A14</f>
        <v>10</v>
      </c>
      <c r="B53" s="15" t="str">
        <f>'01_인적정보'!B14</f>
        <v>BSS-010</v>
      </c>
      <c r="C53" s="15" t="str">
        <f>'01_인적정보'!C14</f>
        <v>신재민</v>
      </c>
      <c r="D53" s="15" t="str">
        <f>'01_인적정보'!D14</f>
        <v>설계</v>
      </c>
      <c r="E53" s="15" t="str">
        <f>'01_인적정보'!E14</f>
        <v>BIM컨설팅</v>
      </c>
      <c r="F53" s="15" t="str">
        <f>'01_인적정보'!H14</f>
        <v>G5</v>
      </c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</row>
    <row r="54" spans="1:27" ht="17.75" customHeight="1" x14ac:dyDescent="0.6">
      <c r="A54" s="15">
        <f>'01_인적정보'!A15</f>
        <v>11</v>
      </c>
      <c r="B54" s="15" t="str">
        <f>'01_인적정보'!B15</f>
        <v>BSS-011</v>
      </c>
      <c r="C54" s="15" t="str">
        <f>'01_인적정보'!C15</f>
        <v>마장엽</v>
      </c>
      <c r="D54" s="15" t="str">
        <f>'01_인적정보'!D15</f>
        <v>설계</v>
      </c>
      <c r="E54" s="15" t="str">
        <f>'01_인적정보'!E15</f>
        <v>BIM컨설팅</v>
      </c>
      <c r="F54" s="15" t="str">
        <f>'01_인적정보'!H15</f>
        <v>G5</v>
      </c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</row>
    <row r="55" spans="1:27" ht="17.75" customHeight="1" x14ac:dyDescent="0.6">
      <c r="A55" s="15">
        <f>'01_인적정보'!A16</f>
        <v>12</v>
      </c>
      <c r="B55" s="15" t="str">
        <f>'01_인적정보'!B16</f>
        <v>BSS-012</v>
      </c>
      <c r="C55" s="15" t="str">
        <f>'01_인적정보'!C16</f>
        <v>하은주</v>
      </c>
      <c r="D55" s="15" t="str">
        <f>'01_인적정보'!D16</f>
        <v>경영관리</v>
      </c>
      <c r="E55" s="15" t="str">
        <f>'01_인적정보'!E16</f>
        <v>경영전략기획</v>
      </c>
      <c r="F55" s="15" t="str">
        <f>'01_인적정보'!H16</f>
        <v>G5</v>
      </c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</row>
    <row r="56" spans="1:27" ht="17.75" customHeight="1" x14ac:dyDescent="0.6">
      <c r="A56" s="15">
        <f>'01_인적정보'!A17</f>
        <v>13</v>
      </c>
      <c r="B56" s="15" t="str">
        <f>'01_인적정보'!B17</f>
        <v>BSS-013</v>
      </c>
      <c r="C56" s="15" t="str">
        <f>'01_인적정보'!C17</f>
        <v>홍사훈</v>
      </c>
      <c r="D56" s="15" t="str">
        <f>'01_인적정보'!D17</f>
        <v>설계</v>
      </c>
      <c r="E56" s="15" t="str">
        <f>'01_인적정보'!E17</f>
        <v>BIM컨설팅</v>
      </c>
      <c r="F56" s="15" t="str">
        <f>'01_인적정보'!H17</f>
        <v>G5</v>
      </c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</row>
    <row r="57" spans="1:27" ht="17.75" customHeight="1" x14ac:dyDescent="0.6">
      <c r="A57" s="15">
        <f>'01_인적정보'!A18</f>
        <v>14</v>
      </c>
      <c r="B57" s="15" t="str">
        <f>'01_인적정보'!B18</f>
        <v>BSS-014</v>
      </c>
      <c r="C57" s="15" t="str">
        <f>'01_인적정보'!C18</f>
        <v>유자영</v>
      </c>
      <c r="D57" s="15" t="str">
        <f>'01_인적정보'!D18</f>
        <v>설계</v>
      </c>
      <c r="E57" s="15" t="str">
        <f>'01_인적정보'!E18</f>
        <v>BIM컨설팅</v>
      </c>
      <c r="F57" s="15" t="str">
        <f>'01_인적정보'!H18</f>
        <v>G5</v>
      </c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</row>
    <row r="58" spans="1:27" ht="17.75" customHeight="1" x14ac:dyDescent="0.6">
      <c r="A58" s="15">
        <f>'01_인적정보'!A19</f>
        <v>15</v>
      </c>
      <c r="B58" s="15" t="str">
        <f>'01_인적정보'!B19</f>
        <v>BSS-015</v>
      </c>
      <c r="C58" s="15" t="str">
        <f>'01_인적정보'!C19</f>
        <v>민지선</v>
      </c>
      <c r="D58" s="15" t="str">
        <f>'01_인적정보'!D19</f>
        <v>설계</v>
      </c>
      <c r="E58" s="15" t="str">
        <f>'01_인적정보'!E19</f>
        <v>BIM컨설팅</v>
      </c>
      <c r="F58" s="15" t="str">
        <f>'01_인적정보'!H19</f>
        <v>G5</v>
      </c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</row>
    <row r="59" spans="1:27" ht="17.75" customHeight="1" x14ac:dyDescent="0.6">
      <c r="A59" s="15">
        <f>'01_인적정보'!A20</f>
        <v>16</v>
      </c>
      <c r="B59" s="15" t="str">
        <f>'01_인적정보'!B20</f>
        <v>BSS-016</v>
      </c>
      <c r="C59" s="15" t="str">
        <f>'01_인적정보'!C20</f>
        <v>장훈</v>
      </c>
      <c r="D59" s="15" t="str">
        <f>'01_인적정보'!D20</f>
        <v>설계</v>
      </c>
      <c r="E59" s="15" t="str">
        <f>'01_인적정보'!E20</f>
        <v>BIM컨설팅</v>
      </c>
      <c r="F59" s="15" t="str">
        <f>'01_인적정보'!H20</f>
        <v>G5</v>
      </c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</row>
    <row r="60" spans="1:27" ht="17.75" customHeight="1" x14ac:dyDescent="0.6">
      <c r="A60" s="15">
        <f>'01_인적정보'!A21</f>
        <v>17</v>
      </c>
      <c r="B60" s="15" t="str">
        <f>'01_인적정보'!B21</f>
        <v>BSS-017</v>
      </c>
      <c r="C60" s="15" t="str">
        <f>'01_인적정보'!C21</f>
        <v>김우람</v>
      </c>
      <c r="D60" s="15" t="str">
        <f>'01_인적정보'!D21</f>
        <v>교육 및 기술지원</v>
      </c>
      <c r="E60" s="15" t="str">
        <f>'01_인적정보'!E21</f>
        <v>교육·기술지원</v>
      </c>
      <c r="F60" s="15" t="str">
        <f>'01_인적정보'!H21</f>
        <v>G4</v>
      </c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</row>
    <row r="61" spans="1:27" ht="17.75" customHeight="1" x14ac:dyDescent="0.6">
      <c r="A61" s="15">
        <f>'01_인적정보'!A22</f>
        <v>18</v>
      </c>
      <c r="B61" s="15" t="str">
        <f>'01_인적정보'!B22</f>
        <v>BSS-018</v>
      </c>
      <c r="C61" s="15" t="str">
        <f>'01_인적정보'!C22</f>
        <v>조성준</v>
      </c>
      <c r="D61" s="15" t="str">
        <f>'01_인적정보'!D22</f>
        <v>설계</v>
      </c>
      <c r="E61" s="15" t="str">
        <f>'01_인적정보'!E22</f>
        <v>BIM컨설팅</v>
      </c>
      <c r="F61" s="15" t="str">
        <f>'01_인적정보'!H22</f>
        <v>G4</v>
      </c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</row>
    <row r="62" spans="1:27" ht="17.75" customHeight="1" x14ac:dyDescent="0.6">
      <c r="A62" s="15">
        <f>'01_인적정보'!A23</f>
        <v>19</v>
      </c>
      <c r="B62" s="15" t="str">
        <f>'01_인적정보'!B23</f>
        <v>BSS-019</v>
      </c>
      <c r="C62" s="15" t="str">
        <f>'01_인적정보'!C23</f>
        <v>구서현</v>
      </c>
      <c r="D62" s="15" t="str">
        <f>'01_인적정보'!D23</f>
        <v>설계</v>
      </c>
      <c r="E62" s="15" t="str">
        <f>'01_인적정보'!E23</f>
        <v>BIM컨설팅</v>
      </c>
      <c r="F62" s="15" t="str">
        <f>'01_인적정보'!H23</f>
        <v>G2</v>
      </c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</row>
    <row r="63" spans="1:27" ht="17.75" customHeight="1" x14ac:dyDescent="0.6">
      <c r="A63" s="15">
        <f>'01_인적정보'!A24</f>
        <v>20</v>
      </c>
      <c r="B63" s="15" t="str">
        <f>'01_인적정보'!B24</f>
        <v>BSS-020</v>
      </c>
      <c r="C63" s="15" t="str">
        <f>'01_인적정보'!C24</f>
        <v>박진용</v>
      </c>
      <c r="D63" s="15" t="str">
        <f>'01_인적정보'!D24</f>
        <v>교육 및 기술지원</v>
      </c>
      <c r="E63" s="15" t="str">
        <f>'01_인적정보'!E24</f>
        <v>교육·기술지원</v>
      </c>
      <c r="F63" s="15" t="str">
        <f>'01_인적정보'!H24</f>
        <v>G3</v>
      </c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</row>
    <row r="64" spans="1:27" ht="17.75" customHeight="1" x14ac:dyDescent="0.6">
      <c r="A64" s="15">
        <f>'01_인적정보'!A25</f>
        <v>21</v>
      </c>
      <c r="B64" s="15" t="str">
        <f>'01_인적정보'!B25</f>
        <v>BSS-021</v>
      </c>
      <c r="C64" s="15" t="str">
        <f>'01_인적정보'!C25</f>
        <v>김가연</v>
      </c>
      <c r="D64" s="15" t="str">
        <f>'01_인적정보'!D25</f>
        <v>설계</v>
      </c>
      <c r="E64" s="15" t="str">
        <f>'01_인적정보'!E25</f>
        <v>BIM컨설팅</v>
      </c>
      <c r="F64" s="15" t="str">
        <f>'01_인적정보'!H25</f>
        <v>G2</v>
      </c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</row>
    <row r="65" spans="1:27" ht="17.75" customHeight="1" x14ac:dyDescent="0.6">
      <c r="A65" s="15">
        <f>'01_인적정보'!A26</f>
        <v>22</v>
      </c>
      <c r="B65" s="15" t="str">
        <f>'01_인적정보'!B26</f>
        <v>BSS-022</v>
      </c>
      <c r="C65" s="15" t="str">
        <f>'01_인적정보'!C26</f>
        <v>한근수</v>
      </c>
      <c r="D65" s="15" t="str">
        <f>'01_인적정보'!D26</f>
        <v>설계</v>
      </c>
      <c r="E65" s="15" t="str">
        <f>'01_인적정보'!E26</f>
        <v>BIM컨설팅</v>
      </c>
      <c r="F65" s="15" t="str">
        <f>'01_인적정보'!H26</f>
        <v>G2</v>
      </c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</row>
    <row r="66" spans="1:27" ht="17.75" customHeight="1" x14ac:dyDescent="0.6">
      <c r="A66" s="15">
        <f>'01_인적정보'!A27</f>
        <v>23</v>
      </c>
      <c r="B66" s="15" t="str">
        <f>'01_인적정보'!B27</f>
        <v>BSS-023</v>
      </c>
      <c r="C66" s="15" t="str">
        <f>'01_인적정보'!C27</f>
        <v>김성민</v>
      </c>
      <c r="D66" s="15" t="str">
        <f>'01_인적정보'!D27</f>
        <v>설계</v>
      </c>
      <c r="E66" s="15" t="str">
        <f>'01_인적정보'!E27</f>
        <v>BIM컨설팅</v>
      </c>
      <c r="F66" s="15" t="str">
        <f>'01_인적정보'!H27</f>
        <v>G2</v>
      </c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</row>
    <row r="67" spans="1:27" ht="17.75" customHeight="1" x14ac:dyDescent="0.6">
      <c r="A67" s="15">
        <f>'01_인적정보'!A28</f>
        <v>24</v>
      </c>
      <c r="B67" s="15" t="str">
        <f>'01_인적정보'!B28</f>
        <v>BSS-024</v>
      </c>
      <c r="C67" s="15" t="str">
        <f>'01_인적정보'!C28</f>
        <v>고광우</v>
      </c>
      <c r="D67" s="15" t="str">
        <f>'01_인적정보'!D28</f>
        <v>설계</v>
      </c>
      <c r="E67" s="15" t="str">
        <f>'01_인적정보'!E28</f>
        <v>BIM컨설팅</v>
      </c>
      <c r="F67" s="15" t="str">
        <f>'01_인적정보'!H28</f>
        <v>G2</v>
      </c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</row>
    <row r="68" spans="1:27" ht="17.75" customHeight="1" x14ac:dyDescent="0.6">
      <c r="A68" s="15">
        <f>'01_인적정보'!A29</f>
        <v>25</v>
      </c>
      <c r="B68" s="15" t="str">
        <f>'01_인적정보'!B29</f>
        <v>BSS-025</v>
      </c>
      <c r="C68" s="15" t="str">
        <f>'01_인적정보'!C29</f>
        <v>김성수</v>
      </c>
      <c r="D68" s="15" t="str">
        <f>'01_인적정보'!D29</f>
        <v>연구&amp;개발</v>
      </c>
      <c r="E68" s="15" t="str">
        <f>'01_인적정보'!E29</f>
        <v>연구개발(R&amp;D)</v>
      </c>
      <c r="F68" s="15" t="str">
        <f>'01_인적정보'!H29</f>
        <v>G2</v>
      </c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</row>
    <row r="69" spans="1:27" ht="17.75" customHeight="1" x14ac:dyDescent="0.6">
      <c r="A69" s="15">
        <f>'01_인적정보'!A30</f>
        <v>26</v>
      </c>
      <c r="B69" s="15" t="str">
        <f>'01_인적정보'!B30</f>
        <v>BSS-026</v>
      </c>
      <c r="C69" s="15" t="str">
        <f>'01_인적정보'!C30</f>
        <v>박진희</v>
      </c>
      <c r="D69" s="15" t="str">
        <f>'01_인적정보'!D30</f>
        <v>경영관리</v>
      </c>
      <c r="E69" s="15" t="str">
        <f>'01_인적정보'!E30</f>
        <v>경영전략기획</v>
      </c>
      <c r="F69" s="15" t="str">
        <f>'01_인적정보'!H30</f>
        <v>G1</v>
      </c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</row>
    <row r="70" spans="1:27" ht="17.75" customHeight="1" x14ac:dyDescent="0.6">
      <c r="A70" s="15">
        <f>'01_인적정보'!A31</f>
        <v>27</v>
      </c>
      <c r="B70" s="15" t="str">
        <f>'01_인적정보'!B31</f>
        <v>BSS-027</v>
      </c>
      <c r="C70" s="15" t="str">
        <f>'01_인적정보'!C31</f>
        <v>장은한</v>
      </c>
      <c r="D70" s="15" t="str">
        <f>'01_인적정보'!D31</f>
        <v>교육 및 기술지원</v>
      </c>
      <c r="E70" s="15" t="str">
        <f>'01_인적정보'!E31</f>
        <v>교육·기술지원</v>
      </c>
      <c r="F70" s="15" t="str">
        <f>'01_인적정보'!H31</f>
        <v>G2</v>
      </c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</row>
    <row r="71" spans="1:27" ht="17.75" customHeight="1" x14ac:dyDescent="0.6">
      <c r="A71" s="15">
        <f>'01_인적정보'!A32</f>
        <v>28</v>
      </c>
      <c r="B71" s="15" t="str">
        <f>'01_인적정보'!B32</f>
        <v>BSS-028</v>
      </c>
      <c r="C71" s="15" t="str">
        <f>'01_인적정보'!C32</f>
        <v>김현수</v>
      </c>
      <c r="D71" s="15" t="str">
        <f>'01_인적정보'!D32</f>
        <v>설계</v>
      </c>
      <c r="E71" s="15" t="str">
        <f>'01_인적정보'!E32</f>
        <v>BIM컨설팅</v>
      </c>
      <c r="F71" s="15" t="str">
        <f>'01_인적정보'!H32</f>
        <v>G1</v>
      </c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</row>
    <row r="72" spans="1:27" ht="17.75" customHeight="1" x14ac:dyDescent="0.6">
      <c r="A72" s="15">
        <f>'01_인적정보'!A33</f>
        <v>29</v>
      </c>
      <c r="B72" s="15" t="str">
        <f>'01_인적정보'!B33</f>
        <v>BSS-029</v>
      </c>
      <c r="C72" s="15" t="str">
        <f>'01_인적정보'!C33</f>
        <v>콜셍홍</v>
      </c>
      <c r="D72" s="15" t="str">
        <f>'01_인적정보'!D33</f>
        <v>설계</v>
      </c>
      <c r="E72" s="15" t="str">
        <f>'01_인적정보'!E33</f>
        <v>BIM컨설팅</v>
      </c>
      <c r="F72" s="15" t="str">
        <f>'01_인적정보'!H33</f>
        <v>G1</v>
      </c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</row>
    <row r="73" spans="1:27" ht="17.75" customHeight="1" x14ac:dyDescent="0.6">
      <c r="A73" s="15">
        <f>'01_인적정보'!A34</f>
        <v>30</v>
      </c>
      <c r="B73" s="15" t="str">
        <f>'01_인적정보'!B34</f>
        <v>BSS-030</v>
      </c>
      <c r="C73" s="15" t="str">
        <f>'01_인적정보'!C34</f>
        <v>안성진</v>
      </c>
      <c r="D73" s="15" t="str">
        <f>'01_인적정보'!D34</f>
        <v>설계</v>
      </c>
      <c r="E73" s="15" t="str">
        <f>'01_인적정보'!E34</f>
        <v>BIM컨설팅</v>
      </c>
      <c r="F73" s="15" t="str">
        <f>'01_인적정보'!H34</f>
        <v>G1</v>
      </c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</row>
    <row r="74" spans="1:27" ht="17.75" customHeight="1" x14ac:dyDescent="0.6">
      <c r="A74" s="15">
        <f>'01_인적정보'!A35</f>
        <v>31</v>
      </c>
      <c r="B74" s="15" t="str">
        <f>'01_인적정보'!B35</f>
        <v>BSS-031</v>
      </c>
      <c r="C74" s="15" t="str">
        <f>'01_인적정보'!C35</f>
        <v>이정일</v>
      </c>
      <c r="D74" s="15" t="str">
        <f>'01_인적정보'!D35</f>
        <v>설계</v>
      </c>
      <c r="E74" s="15" t="str">
        <f>'01_인적정보'!E35</f>
        <v>BIM컨설팅</v>
      </c>
      <c r="F74" s="15" t="str">
        <f>'01_인적정보'!H35</f>
        <v>G1</v>
      </c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</row>
    <row r="75" spans="1:27" ht="17.75" customHeight="1" x14ac:dyDescent="0.6">
      <c r="A75" s="15">
        <f>'01_인적정보'!A36</f>
        <v>32</v>
      </c>
      <c r="B75" s="15" t="str">
        <f>'01_인적정보'!B36</f>
        <v>BSS-032</v>
      </c>
      <c r="C75" s="15" t="str">
        <f>'01_인적정보'!C36</f>
        <v>안재성</v>
      </c>
      <c r="D75" s="15" t="str">
        <f>'01_인적정보'!D36</f>
        <v>설계</v>
      </c>
      <c r="E75" s="15" t="str">
        <f>'01_인적정보'!E36</f>
        <v>BIM컨설팅</v>
      </c>
      <c r="F75" s="15" t="str">
        <f>'01_인적정보'!H36</f>
        <v>G1</v>
      </c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</row>
    <row r="76" spans="1:27" ht="17.75" customHeight="1" x14ac:dyDescent="0.6">
      <c r="A76" s="15">
        <f>'01_인적정보'!A37</f>
        <v>33</v>
      </c>
      <c r="B76" s="15" t="str">
        <f>'01_인적정보'!B37</f>
        <v>BSS-033</v>
      </c>
      <c r="C76" s="15" t="str">
        <f>'01_인적정보'!C37</f>
        <v>유태석</v>
      </c>
      <c r="D76" s="15" t="str">
        <f>'01_인적정보'!D37</f>
        <v>설계</v>
      </c>
      <c r="E76" s="15" t="str">
        <f>'01_인적정보'!E37</f>
        <v>BIM컨설팅</v>
      </c>
      <c r="F76" s="15" t="str">
        <f>'01_인적정보'!H37</f>
        <v>G1</v>
      </c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</row>
    <row r="77" spans="1:27" ht="17.75" customHeight="1" x14ac:dyDescent="0.6">
      <c r="A77" s="15">
        <f>'01_인적정보'!A38</f>
        <v>34</v>
      </c>
      <c r="B77" s="15" t="str">
        <f>'01_인적정보'!B38</f>
        <v>BSS-034</v>
      </c>
      <c r="C77" s="15" t="str">
        <f>'01_인적정보'!C38</f>
        <v>엄보근</v>
      </c>
      <c r="D77" s="15" t="str">
        <f>'01_인적정보'!D38</f>
        <v>설계</v>
      </c>
      <c r="E77" s="15" t="str">
        <f>'01_인적정보'!E38</f>
        <v>BIM컨설팅</v>
      </c>
      <c r="F77" s="15" t="str">
        <f>'01_인적정보'!H38</f>
        <v>G1</v>
      </c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</row>
  </sheetData>
  <mergeCells count="4">
    <mergeCell ref="A2:W2"/>
    <mergeCell ref="A1:W1"/>
    <mergeCell ref="A42:W42"/>
    <mergeCell ref="A4:W4"/>
  </mergeCells>
  <phoneticPr fontId="16" type="noConversion"/>
  <conditionalFormatting sqref="G6:Z77">
    <cfRule type="cellIs" dxfId="55" priority="1" operator="equal">
      <formula>"S"</formula>
    </cfRule>
    <cfRule type="cellIs" dxfId="54" priority="2" operator="equal">
      <formula>"A"</formula>
    </cfRule>
    <cfRule type="cellIs" dxfId="53" priority="3" operator="equal">
      <formula>"C"</formula>
    </cfRule>
    <cfRule type="cellIs" dxfId="52" priority="4" operator="equal">
      <formula>"D"</formula>
    </cfRule>
  </conditionalFormatting>
  <dataValidations count="1">
    <dataValidation type="list" allowBlank="1" sqref="G6:Z39 G44:Z77" xr:uid="{00000000-0002-0000-0700-000000000000}">
      <formula1>"S,A,B,C,D"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55"/>
  <sheetViews>
    <sheetView showGridLines="0" workbookViewId="0">
      <pane xSplit="2" ySplit="21" topLeftCell="C22" activePane="bottomRight" state="frozen"/>
      <selection pane="topRight"/>
      <selection pane="bottomLeft"/>
      <selection pane="bottomRight" activeCell="L21" sqref="L21"/>
    </sheetView>
  </sheetViews>
  <sheetFormatPr defaultRowHeight="16.899999999999999" x14ac:dyDescent="0.6"/>
  <cols>
    <col min="1" max="1" width="5" customWidth="1"/>
    <col min="2" max="3" width="11" customWidth="1"/>
    <col min="4" max="4" width="14" customWidth="1"/>
    <col min="5" max="5" width="16" customWidth="1"/>
    <col min="6" max="6" width="10" customWidth="1"/>
    <col min="7" max="8" width="13" customWidth="1"/>
    <col min="9" max="9" width="28" customWidth="1"/>
    <col min="10" max="10" width="16" customWidth="1"/>
    <col min="11" max="11" width="14" customWidth="1"/>
    <col min="12" max="12" width="40.1875" customWidth="1"/>
  </cols>
  <sheetData>
    <row r="1" spans="1:12" ht="26" customHeight="1" x14ac:dyDescent="0.6">
      <c r="A1" s="51" t="s">
        <v>427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</row>
    <row r="2" spans="1:12" ht="18" customHeight="1" x14ac:dyDescent="0.6">
      <c r="A2" s="48" t="s">
        <v>428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</row>
    <row r="4" spans="1:12" ht="22.05" customHeight="1" x14ac:dyDescent="0.6">
      <c r="A4" s="45" t="s">
        <v>429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</row>
    <row r="5" spans="1:12" x14ac:dyDescent="0.6">
      <c r="A5" s="66" t="s">
        <v>430</v>
      </c>
      <c r="B5" s="43"/>
      <c r="C5" s="43"/>
      <c r="D5" s="43"/>
      <c r="E5" s="43"/>
      <c r="F5" s="43"/>
      <c r="G5" s="43"/>
      <c r="H5" s="43"/>
      <c r="I5" s="43"/>
      <c r="J5" s="43"/>
      <c r="K5" s="43"/>
      <c r="L5" s="43"/>
    </row>
    <row r="6" spans="1:12" x14ac:dyDescent="0.6">
      <c r="A6" s="66" t="s">
        <v>431</v>
      </c>
      <c r="B6" s="43"/>
      <c r="C6" s="43"/>
      <c r="D6" s="43"/>
      <c r="E6" s="43"/>
      <c r="F6" s="43"/>
      <c r="G6" s="43"/>
      <c r="H6" s="43"/>
      <c r="I6" s="43"/>
      <c r="J6" s="43"/>
      <c r="K6" s="43"/>
      <c r="L6" s="43"/>
    </row>
    <row r="7" spans="1:12" x14ac:dyDescent="0.6">
      <c r="A7" s="66" t="s">
        <v>432</v>
      </c>
      <c r="B7" s="43"/>
      <c r="C7" s="43"/>
      <c r="D7" s="43"/>
      <c r="E7" s="43"/>
      <c r="F7" s="43"/>
      <c r="G7" s="43"/>
      <c r="H7" s="43"/>
      <c r="I7" s="43"/>
      <c r="J7" s="43"/>
      <c r="K7" s="43"/>
      <c r="L7" s="43"/>
    </row>
    <row r="8" spans="1:12" x14ac:dyDescent="0.6">
      <c r="A8" s="66" t="s">
        <v>433</v>
      </c>
      <c r="B8" s="43"/>
      <c r="C8" s="43"/>
      <c r="D8" s="43"/>
      <c r="E8" s="43"/>
      <c r="F8" s="43"/>
      <c r="G8" s="43"/>
      <c r="H8" s="43"/>
      <c r="I8" s="43"/>
      <c r="J8" s="43"/>
      <c r="K8" s="43"/>
      <c r="L8" s="43"/>
    </row>
    <row r="9" spans="1:12" x14ac:dyDescent="0.6">
      <c r="A9" s="66" t="s">
        <v>434</v>
      </c>
      <c r="B9" s="43"/>
      <c r="C9" s="43"/>
      <c r="D9" s="43"/>
      <c r="E9" s="43"/>
      <c r="F9" s="43"/>
      <c r="G9" s="43"/>
      <c r="H9" s="43"/>
      <c r="I9" s="43"/>
      <c r="J9" s="43"/>
      <c r="K9" s="43"/>
      <c r="L9" s="43"/>
    </row>
    <row r="11" spans="1:12" ht="22.05" customHeight="1" x14ac:dyDescent="0.6">
      <c r="A11" s="45" t="s">
        <v>435</v>
      </c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3"/>
    </row>
    <row r="12" spans="1:12" x14ac:dyDescent="0.6">
      <c r="A12" s="57" t="s">
        <v>436</v>
      </c>
      <c r="B12" s="39"/>
      <c r="C12" s="57" t="s">
        <v>437</v>
      </c>
      <c r="D12" s="38"/>
      <c r="E12" s="38"/>
      <c r="F12" s="38"/>
      <c r="G12" s="38"/>
      <c r="H12" s="39"/>
      <c r="I12" s="43"/>
      <c r="J12" s="43"/>
      <c r="K12" s="43"/>
      <c r="L12" s="43"/>
    </row>
    <row r="13" spans="1:12" ht="32" customHeight="1" x14ac:dyDescent="0.6">
      <c r="A13" s="73" t="s">
        <v>438</v>
      </c>
      <c r="B13" s="39"/>
      <c r="C13" s="72" t="s">
        <v>439</v>
      </c>
      <c r="D13" s="38"/>
      <c r="E13" s="38"/>
      <c r="F13" s="38"/>
      <c r="G13" s="38"/>
      <c r="H13" s="39"/>
      <c r="I13" s="69" t="s">
        <v>440</v>
      </c>
      <c r="J13" s="38"/>
      <c r="K13" s="39"/>
      <c r="L13" s="30" t="s">
        <v>1078</v>
      </c>
    </row>
    <row r="14" spans="1:12" ht="32" customHeight="1" x14ac:dyDescent="0.6">
      <c r="A14" s="73" t="s">
        <v>438</v>
      </c>
      <c r="B14" s="39"/>
      <c r="C14" s="72" t="s">
        <v>441</v>
      </c>
      <c r="D14" s="38"/>
      <c r="E14" s="38"/>
      <c r="F14" s="38"/>
      <c r="G14" s="38"/>
      <c r="H14" s="39"/>
      <c r="I14" s="69" t="s">
        <v>442</v>
      </c>
      <c r="J14" s="38"/>
      <c r="K14" s="39"/>
      <c r="L14" s="30" t="s">
        <v>443</v>
      </c>
    </row>
    <row r="15" spans="1:12" ht="32" customHeight="1" x14ac:dyDescent="0.6">
      <c r="A15" s="67" t="s">
        <v>444</v>
      </c>
      <c r="B15" s="39"/>
      <c r="C15" s="76" t="s">
        <v>445</v>
      </c>
      <c r="D15" s="38"/>
      <c r="E15" s="38"/>
      <c r="F15" s="38"/>
      <c r="G15" s="38"/>
      <c r="H15" s="39"/>
      <c r="I15" s="75" t="s">
        <v>446</v>
      </c>
      <c r="J15" s="38"/>
      <c r="K15" s="39"/>
      <c r="L15" s="31" t="s">
        <v>447</v>
      </c>
    </row>
    <row r="16" spans="1:12" ht="32" customHeight="1" x14ac:dyDescent="0.6">
      <c r="A16" s="68" t="s">
        <v>448</v>
      </c>
      <c r="B16" s="39"/>
      <c r="C16" s="65" t="s">
        <v>441</v>
      </c>
      <c r="D16" s="38"/>
      <c r="E16" s="38"/>
      <c r="F16" s="38"/>
      <c r="G16" s="38"/>
      <c r="H16" s="39"/>
      <c r="I16" s="64" t="s">
        <v>449</v>
      </c>
      <c r="J16" s="38"/>
      <c r="K16" s="39"/>
      <c r="L16" s="32" t="s">
        <v>450</v>
      </c>
    </row>
    <row r="17" spans="1:12" ht="32" customHeight="1" x14ac:dyDescent="0.6">
      <c r="A17" s="74" t="s">
        <v>425</v>
      </c>
      <c r="B17" s="39"/>
      <c r="C17" s="71" t="s">
        <v>451</v>
      </c>
      <c r="D17" s="38"/>
      <c r="E17" s="38"/>
      <c r="F17" s="38"/>
      <c r="G17" s="38"/>
      <c r="H17" s="39"/>
      <c r="I17" s="70" t="s">
        <v>452</v>
      </c>
      <c r="J17" s="38"/>
      <c r="K17" s="39"/>
      <c r="L17" s="33" t="s">
        <v>453</v>
      </c>
    </row>
    <row r="20" spans="1:12" ht="22.05" customHeight="1" x14ac:dyDescent="0.6">
      <c r="A20" s="45" t="s">
        <v>454</v>
      </c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</row>
    <row r="21" spans="1:12" x14ac:dyDescent="0.6">
      <c r="A21" s="29" t="s">
        <v>131</v>
      </c>
      <c r="B21" s="29" t="s">
        <v>132</v>
      </c>
      <c r="C21" s="29" t="s">
        <v>133</v>
      </c>
      <c r="D21" s="29" t="s">
        <v>136</v>
      </c>
      <c r="E21" s="29" t="s">
        <v>135</v>
      </c>
      <c r="F21" s="29" t="s">
        <v>105</v>
      </c>
      <c r="G21" s="29" t="s">
        <v>455</v>
      </c>
      <c r="H21" s="29" t="s">
        <v>456</v>
      </c>
      <c r="I21" s="57" t="s">
        <v>457</v>
      </c>
      <c r="J21" s="39"/>
    </row>
    <row r="22" spans="1:12" x14ac:dyDescent="0.6">
      <c r="A22" s="6">
        <v>1</v>
      </c>
      <c r="B22" s="5" t="s">
        <v>144</v>
      </c>
      <c r="C22" s="3" t="s">
        <v>145</v>
      </c>
      <c r="D22" s="6" t="s">
        <v>148</v>
      </c>
      <c r="E22" s="6" t="s">
        <v>147</v>
      </c>
      <c r="F22" s="5" t="s">
        <v>109</v>
      </c>
      <c r="G22" s="34" t="s">
        <v>458</v>
      </c>
      <c r="H22" s="34" t="s">
        <v>459</v>
      </c>
      <c r="I22" s="63" t="s">
        <v>460</v>
      </c>
      <c r="J22" s="39"/>
    </row>
    <row r="23" spans="1:12" x14ac:dyDescent="0.6">
      <c r="A23" s="6">
        <v>2</v>
      </c>
      <c r="B23" s="5" t="s">
        <v>150</v>
      </c>
      <c r="C23" s="3" t="s">
        <v>151</v>
      </c>
      <c r="D23" s="6" t="s">
        <v>154</v>
      </c>
      <c r="E23" s="6" t="s">
        <v>153</v>
      </c>
      <c r="F23" s="5" t="s">
        <v>109</v>
      </c>
      <c r="G23" s="34" t="s">
        <v>461</v>
      </c>
      <c r="H23" s="34" t="s">
        <v>462</v>
      </c>
      <c r="I23" s="63" t="s">
        <v>463</v>
      </c>
      <c r="J23" s="39"/>
    </row>
    <row r="24" spans="1:12" x14ac:dyDescent="0.6">
      <c r="A24" s="6">
        <v>3</v>
      </c>
      <c r="B24" s="5" t="s">
        <v>156</v>
      </c>
      <c r="C24" s="3" t="s">
        <v>157</v>
      </c>
      <c r="D24" s="6" t="s">
        <v>160</v>
      </c>
      <c r="E24" s="6" t="s">
        <v>159</v>
      </c>
      <c r="F24" s="5" t="s">
        <v>109</v>
      </c>
      <c r="G24" s="34" t="s">
        <v>464</v>
      </c>
      <c r="H24" s="34" t="s">
        <v>465</v>
      </c>
      <c r="I24" s="63" t="s">
        <v>466</v>
      </c>
      <c r="J24" s="39"/>
    </row>
    <row r="25" spans="1:12" x14ac:dyDescent="0.6">
      <c r="A25" s="6">
        <v>4</v>
      </c>
      <c r="B25" s="5" t="s">
        <v>161</v>
      </c>
      <c r="C25" s="3" t="s">
        <v>162</v>
      </c>
      <c r="D25" s="6" t="s">
        <v>165</v>
      </c>
      <c r="E25" s="6" t="s">
        <v>164</v>
      </c>
      <c r="F25" s="5" t="s">
        <v>109</v>
      </c>
      <c r="G25" s="34" t="s">
        <v>467</v>
      </c>
      <c r="H25" s="34" t="s">
        <v>468</v>
      </c>
      <c r="I25" s="63" t="s">
        <v>469</v>
      </c>
      <c r="J25" s="39"/>
    </row>
    <row r="26" spans="1:12" x14ac:dyDescent="0.6">
      <c r="A26" s="6">
        <v>5</v>
      </c>
      <c r="B26" s="5" t="s">
        <v>167</v>
      </c>
      <c r="C26" s="3" t="s">
        <v>168</v>
      </c>
      <c r="D26" s="6" t="s">
        <v>165</v>
      </c>
      <c r="E26" s="6" t="s">
        <v>164</v>
      </c>
      <c r="F26" s="5" t="s">
        <v>109</v>
      </c>
      <c r="G26" s="34" t="s">
        <v>470</v>
      </c>
      <c r="H26" s="34" t="s">
        <v>471</v>
      </c>
      <c r="I26" s="63" t="s">
        <v>469</v>
      </c>
      <c r="J26" s="39"/>
    </row>
    <row r="27" spans="1:12" x14ac:dyDescent="0.6">
      <c r="A27" s="6">
        <v>6</v>
      </c>
      <c r="B27" s="5" t="s">
        <v>169</v>
      </c>
      <c r="C27" s="3" t="s">
        <v>170</v>
      </c>
      <c r="D27" s="6" t="s">
        <v>165</v>
      </c>
      <c r="E27" s="6" t="s">
        <v>164</v>
      </c>
      <c r="F27" s="5" t="s">
        <v>109</v>
      </c>
      <c r="G27" s="34" t="s">
        <v>472</v>
      </c>
      <c r="H27" s="34" t="s">
        <v>473</v>
      </c>
      <c r="I27" s="63" t="s">
        <v>469</v>
      </c>
      <c r="J27" s="39"/>
    </row>
    <row r="28" spans="1:12" x14ac:dyDescent="0.6">
      <c r="A28" s="6">
        <v>7</v>
      </c>
      <c r="B28" s="5" t="s">
        <v>171</v>
      </c>
      <c r="C28" s="3" t="s">
        <v>172</v>
      </c>
      <c r="D28" s="6" t="s">
        <v>175</v>
      </c>
      <c r="E28" s="6" t="s">
        <v>174</v>
      </c>
      <c r="F28" s="5" t="s">
        <v>110</v>
      </c>
      <c r="G28" s="34" t="s">
        <v>474</v>
      </c>
      <c r="H28" s="34" t="s">
        <v>475</v>
      </c>
      <c r="I28" s="63" t="s">
        <v>476</v>
      </c>
      <c r="J28" s="39"/>
    </row>
    <row r="29" spans="1:12" x14ac:dyDescent="0.6">
      <c r="A29" s="6">
        <v>8</v>
      </c>
      <c r="B29" s="5" t="s">
        <v>177</v>
      </c>
      <c r="C29" s="3" t="s">
        <v>178</v>
      </c>
      <c r="D29" s="6" t="s">
        <v>175</v>
      </c>
      <c r="E29" s="6" t="s">
        <v>174</v>
      </c>
      <c r="F29" s="5" t="s">
        <v>110</v>
      </c>
      <c r="G29" s="34" t="s">
        <v>477</v>
      </c>
      <c r="H29" s="34" t="s">
        <v>478</v>
      </c>
      <c r="I29" s="63" t="s">
        <v>476</v>
      </c>
      <c r="J29" s="39"/>
    </row>
    <row r="30" spans="1:12" x14ac:dyDescent="0.6">
      <c r="A30" s="6">
        <v>9</v>
      </c>
      <c r="B30" s="5" t="s">
        <v>179</v>
      </c>
      <c r="C30" s="3" t="s">
        <v>180</v>
      </c>
      <c r="D30" s="6" t="s">
        <v>160</v>
      </c>
      <c r="E30" s="6" t="s">
        <v>159</v>
      </c>
      <c r="F30" s="5" t="s">
        <v>110</v>
      </c>
      <c r="G30" s="34" t="s">
        <v>479</v>
      </c>
      <c r="H30" s="34" t="s">
        <v>480</v>
      </c>
      <c r="I30" s="63" t="s">
        <v>466</v>
      </c>
      <c r="J30" s="39"/>
    </row>
    <row r="31" spans="1:12" x14ac:dyDescent="0.6">
      <c r="A31" s="6">
        <v>10</v>
      </c>
      <c r="B31" s="5" t="s">
        <v>181</v>
      </c>
      <c r="C31" s="3" t="s">
        <v>182</v>
      </c>
      <c r="D31" s="6" t="s">
        <v>160</v>
      </c>
      <c r="E31" s="6" t="s">
        <v>159</v>
      </c>
      <c r="F31" s="5" t="s">
        <v>110</v>
      </c>
      <c r="G31" s="34" t="s">
        <v>481</v>
      </c>
      <c r="H31" s="34" t="s">
        <v>482</v>
      </c>
      <c r="I31" s="63" t="s">
        <v>466</v>
      </c>
      <c r="J31" s="39"/>
    </row>
    <row r="32" spans="1:12" x14ac:dyDescent="0.6">
      <c r="A32" s="6">
        <v>11</v>
      </c>
      <c r="B32" s="5" t="s">
        <v>183</v>
      </c>
      <c r="C32" s="3" t="s">
        <v>184</v>
      </c>
      <c r="D32" s="6" t="s">
        <v>160</v>
      </c>
      <c r="E32" s="6" t="s">
        <v>159</v>
      </c>
      <c r="F32" s="5" t="s">
        <v>110</v>
      </c>
      <c r="G32" s="34" t="s">
        <v>483</v>
      </c>
      <c r="H32" s="34" t="s">
        <v>484</v>
      </c>
      <c r="I32" s="63" t="s">
        <v>466</v>
      </c>
      <c r="J32" s="39"/>
    </row>
    <row r="33" spans="1:10" x14ac:dyDescent="0.6">
      <c r="A33" s="6">
        <v>12</v>
      </c>
      <c r="B33" s="5" t="s">
        <v>185</v>
      </c>
      <c r="C33" s="3" t="s">
        <v>186</v>
      </c>
      <c r="D33" s="6" t="s">
        <v>187</v>
      </c>
      <c r="E33" s="6" t="s">
        <v>164</v>
      </c>
      <c r="F33" s="5" t="s">
        <v>110</v>
      </c>
      <c r="G33" s="34" t="s">
        <v>485</v>
      </c>
      <c r="H33" s="34" t="s">
        <v>486</v>
      </c>
      <c r="I33" s="63" t="s">
        <v>487</v>
      </c>
      <c r="J33" s="39"/>
    </row>
    <row r="34" spans="1:10" x14ac:dyDescent="0.6">
      <c r="A34" s="6">
        <v>13</v>
      </c>
      <c r="B34" s="5" t="s">
        <v>188</v>
      </c>
      <c r="C34" s="3" t="s">
        <v>189</v>
      </c>
      <c r="D34" s="6" t="s">
        <v>160</v>
      </c>
      <c r="E34" s="6" t="s">
        <v>159</v>
      </c>
      <c r="F34" s="5" t="s">
        <v>110</v>
      </c>
      <c r="G34" s="34" t="s">
        <v>488</v>
      </c>
      <c r="H34" s="34" t="s">
        <v>489</v>
      </c>
      <c r="I34" s="63" t="s">
        <v>466</v>
      </c>
      <c r="J34" s="39"/>
    </row>
    <row r="35" spans="1:10" x14ac:dyDescent="0.6">
      <c r="A35" s="6">
        <v>14</v>
      </c>
      <c r="B35" s="5" t="s">
        <v>190</v>
      </c>
      <c r="C35" s="3" t="s">
        <v>191</v>
      </c>
      <c r="D35" s="6" t="s">
        <v>160</v>
      </c>
      <c r="E35" s="6" t="s">
        <v>159</v>
      </c>
      <c r="F35" s="5" t="s">
        <v>110</v>
      </c>
      <c r="G35" s="34" t="s">
        <v>490</v>
      </c>
      <c r="H35" s="34" t="s">
        <v>491</v>
      </c>
      <c r="I35" s="63" t="s">
        <v>466</v>
      </c>
      <c r="J35" s="39"/>
    </row>
    <row r="36" spans="1:10" x14ac:dyDescent="0.6">
      <c r="A36" s="6">
        <v>15</v>
      </c>
      <c r="B36" s="5" t="s">
        <v>192</v>
      </c>
      <c r="C36" s="3" t="s">
        <v>193</v>
      </c>
      <c r="D36" s="6" t="s">
        <v>160</v>
      </c>
      <c r="E36" s="6" t="s">
        <v>159</v>
      </c>
      <c r="F36" s="5" t="s">
        <v>110</v>
      </c>
      <c r="G36" s="34" t="s">
        <v>492</v>
      </c>
      <c r="H36" s="34" t="s">
        <v>493</v>
      </c>
      <c r="I36" s="63" t="s">
        <v>466</v>
      </c>
      <c r="J36" s="39"/>
    </row>
    <row r="37" spans="1:10" x14ac:dyDescent="0.6">
      <c r="A37" s="6">
        <v>16</v>
      </c>
      <c r="B37" s="5" t="s">
        <v>195</v>
      </c>
      <c r="C37" s="3" t="s">
        <v>196</v>
      </c>
      <c r="D37" s="6" t="s">
        <v>160</v>
      </c>
      <c r="E37" s="6" t="s">
        <v>159</v>
      </c>
      <c r="F37" s="5" t="s">
        <v>110</v>
      </c>
      <c r="G37" s="34" t="s">
        <v>494</v>
      </c>
      <c r="H37" s="34" t="s">
        <v>495</v>
      </c>
      <c r="I37" s="63" t="s">
        <v>466</v>
      </c>
      <c r="J37" s="39"/>
    </row>
    <row r="38" spans="1:10" x14ac:dyDescent="0.6">
      <c r="A38" s="6">
        <v>17</v>
      </c>
      <c r="B38" s="5" t="s">
        <v>197</v>
      </c>
      <c r="C38" s="3" t="s">
        <v>198</v>
      </c>
      <c r="D38" s="6" t="s">
        <v>175</v>
      </c>
      <c r="E38" s="6" t="s">
        <v>174</v>
      </c>
      <c r="F38" s="5" t="s">
        <v>111</v>
      </c>
      <c r="G38" s="34" t="s">
        <v>496</v>
      </c>
      <c r="H38" s="34" t="s">
        <v>497</v>
      </c>
      <c r="I38" s="63" t="s">
        <v>476</v>
      </c>
      <c r="J38" s="39"/>
    </row>
    <row r="39" spans="1:10" x14ac:dyDescent="0.6">
      <c r="A39" s="6">
        <v>18</v>
      </c>
      <c r="B39" s="5" t="s">
        <v>200</v>
      </c>
      <c r="C39" s="3" t="s">
        <v>201</v>
      </c>
      <c r="D39" s="6" t="s">
        <v>160</v>
      </c>
      <c r="E39" s="6" t="s">
        <v>159</v>
      </c>
      <c r="F39" s="5" t="s">
        <v>111</v>
      </c>
      <c r="G39" s="34" t="s">
        <v>498</v>
      </c>
      <c r="H39" s="34" t="s">
        <v>499</v>
      </c>
      <c r="I39" s="63" t="s">
        <v>466</v>
      </c>
      <c r="J39" s="39"/>
    </row>
    <row r="40" spans="1:10" x14ac:dyDescent="0.6">
      <c r="A40" s="6">
        <v>19</v>
      </c>
      <c r="B40" s="5" t="s">
        <v>202</v>
      </c>
      <c r="C40" s="3" t="s">
        <v>203</v>
      </c>
      <c r="D40" s="6" t="s">
        <v>160</v>
      </c>
      <c r="E40" s="6" t="s">
        <v>159</v>
      </c>
      <c r="F40" s="5" t="s">
        <v>113</v>
      </c>
      <c r="G40" s="34" t="s">
        <v>500</v>
      </c>
      <c r="H40" s="34" t="s">
        <v>501</v>
      </c>
      <c r="I40" s="63" t="s">
        <v>466</v>
      </c>
      <c r="J40" s="39"/>
    </row>
    <row r="41" spans="1:10" x14ac:dyDescent="0.6">
      <c r="A41" s="6">
        <v>20</v>
      </c>
      <c r="B41" s="5" t="s">
        <v>204</v>
      </c>
      <c r="C41" s="3" t="s">
        <v>205</v>
      </c>
      <c r="D41" s="6" t="s">
        <v>175</v>
      </c>
      <c r="E41" s="6" t="s">
        <v>174</v>
      </c>
      <c r="F41" s="5" t="s">
        <v>112</v>
      </c>
      <c r="G41" s="34" t="s">
        <v>502</v>
      </c>
      <c r="H41" s="34" t="s">
        <v>503</v>
      </c>
      <c r="I41" s="63" t="s">
        <v>476</v>
      </c>
      <c r="J41" s="39"/>
    </row>
    <row r="42" spans="1:10" x14ac:dyDescent="0.6">
      <c r="A42" s="6">
        <v>21</v>
      </c>
      <c r="B42" s="5" t="s">
        <v>207</v>
      </c>
      <c r="C42" s="3" t="s">
        <v>208</v>
      </c>
      <c r="D42" s="6" t="s">
        <v>160</v>
      </c>
      <c r="E42" s="6" t="s">
        <v>159</v>
      </c>
      <c r="F42" s="5" t="s">
        <v>113</v>
      </c>
      <c r="G42" s="34" t="s">
        <v>504</v>
      </c>
      <c r="H42" s="34" t="s">
        <v>505</v>
      </c>
      <c r="I42" s="63" t="s">
        <v>466</v>
      </c>
      <c r="J42" s="39"/>
    </row>
    <row r="43" spans="1:10" x14ac:dyDescent="0.6">
      <c r="A43" s="6">
        <v>22</v>
      </c>
      <c r="B43" s="5" t="s">
        <v>209</v>
      </c>
      <c r="C43" s="3" t="s">
        <v>210</v>
      </c>
      <c r="D43" s="6" t="s">
        <v>160</v>
      </c>
      <c r="E43" s="6" t="s">
        <v>159</v>
      </c>
      <c r="F43" s="5" t="s">
        <v>113</v>
      </c>
      <c r="G43" s="34" t="s">
        <v>506</v>
      </c>
      <c r="H43" s="34" t="s">
        <v>507</v>
      </c>
      <c r="I43" s="63" t="s">
        <v>466</v>
      </c>
      <c r="J43" s="39"/>
    </row>
    <row r="44" spans="1:10" x14ac:dyDescent="0.6">
      <c r="A44" s="6">
        <v>23</v>
      </c>
      <c r="B44" s="5" t="s">
        <v>211</v>
      </c>
      <c r="C44" s="3" t="s">
        <v>212</v>
      </c>
      <c r="D44" s="6" t="s">
        <v>160</v>
      </c>
      <c r="E44" s="6" t="s">
        <v>159</v>
      </c>
      <c r="F44" s="5" t="s">
        <v>113</v>
      </c>
      <c r="G44" s="34" t="s">
        <v>508</v>
      </c>
      <c r="H44" s="34" t="s">
        <v>509</v>
      </c>
      <c r="I44" s="63" t="s">
        <v>466</v>
      </c>
      <c r="J44" s="39"/>
    </row>
    <row r="45" spans="1:10" x14ac:dyDescent="0.6">
      <c r="A45" s="6">
        <v>24</v>
      </c>
      <c r="B45" s="5" t="s">
        <v>213</v>
      </c>
      <c r="C45" s="3" t="s">
        <v>214</v>
      </c>
      <c r="D45" s="6" t="s">
        <v>160</v>
      </c>
      <c r="E45" s="6" t="s">
        <v>159</v>
      </c>
      <c r="F45" s="5" t="s">
        <v>113</v>
      </c>
      <c r="G45" s="34" t="s">
        <v>510</v>
      </c>
      <c r="H45" s="34" t="s">
        <v>511</v>
      </c>
      <c r="I45" s="63" t="s">
        <v>466</v>
      </c>
      <c r="J45" s="39"/>
    </row>
    <row r="46" spans="1:10" x14ac:dyDescent="0.6">
      <c r="A46" s="6">
        <v>25</v>
      </c>
      <c r="B46" s="5" t="s">
        <v>215</v>
      </c>
      <c r="C46" s="3" t="s">
        <v>216</v>
      </c>
      <c r="D46" s="6" t="s">
        <v>160</v>
      </c>
      <c r="E46" s="6" t="s">
        <v>153</v>
      </c>
      <c r="F46" s="5" t="s">
        <v>113</v>
      </c>
      <c r="G46" s="34" t="s">
        <v>512</v>
      </c>
      <c r="H46" s="34" t="s">
        <v>513</v>
      </c>
      <c r="I46" s="63" t="s">
        <v>466</v>
      </c>
      <c r="J46" s="39"/>
    </row>
    <row r="47" spans="1:10" x14ac:dyDescent="0.6">
      <c r="A47" s="6">
        <v>26</v>
      </c>
      <c r="B47" s="5" t="s">
        <v>217</v>
      </c>
      <c r="C47" s="3" t="s">
        <v>218</v>
      </c>
      <c r="D47" s="6" t="s">
        <v>187</v>
      </c>
      <c r="E47" s="6" t="s">
        <v>164</v>
      </c>
      <c r="F47" s="5" t="s">
        <v>114</v>
      </c>
      <c r="G47" s="34" t="s">
        <v>514</v>
      </c>
      <c r="H47" s="34" t="s">
        <v>515</v>
      </c>
      <c r="I47" s="63" t="s">
        <v>487</v>
      </c>
      <c r="J47" s="39"/>
    </row>
    <row r="48" spans="1:10" x14ac:dyDescent="0.6">
      <c r="A48" s="6">
        <v>27</v>
      </c>
      <c r="B48" s="5" t="s">
        <v>220</v>
      </c>
      <c r="C48" s="3" t="s">
        <v>221</v>
      </c>
      <c r="D48" s="6" t="s">
        <v>175</v>
      </c>
      <c r="E48" s="6" t="s">
        <v>174</v>
      </c>
      <c r="F48" s="5" t="s">
        <v>113</v>
      </c>
      <c r="G48" s="34" t="s">
        <v>516</v>
      </c>
      <c r="H48" s="34" t="s">
        <v>517</v>
      </c>
      <c r="I48" s="63" t="s">
        <v>476</v>
      </c>
      <c r="J48" s="39"/>
    </row>
    <row r="49" spans="1:10" x14ac:dyDescent="0.6">
      <c r="A49" s="6">
        <v>28</v>
      </c>
      <c r="B49" s="5" t="s">
        <v>222</v>
      </c>
      <c r="C49" s="3" t="s">
        <v>223</v>
      </c>
      <c r="D49" s="6" t="s">
        <v>160</v>
      </c>
      <c r="E49" s="6" t="s">
        <v>159</v>
      </c>
      <c r="F49" s="5" t="s">
        <v>114</v>
      </c>
      <c r="G49" s="34" t="s">
        <v>518</v>
      </c>
      <c r="H49" s="34" t="s">
        <v>519</v>
      </c>
      <c r="I49" s="63" t="s">
        <v>466</v>
      </c>
      <c r="J49" s="39"/>
    </row>
    <row r="50" spans="1:10" x14ac:dyDescent="0.6">
      <c r="A50" s="6">
        <v>29</v>
      </c>
      <c r="B50" s="5" t="s">
        <v>224</v>
      </c>
      <c r="C50" s="3" t="s">
        <v>225</v>
      </c>
      <c r="D50" s="6" t="s">
        <v>160</v>
      </c>
      <c r="E50" s="6" t="s">
        <v>159</v>
      </c>
      <c r="F50" s="5" t="s">
        <v>114</v>
      </c>
      <c r="G50" s="34" t="s">
        <v>520</v>
      </c>
      <c r="H50" s="34" t="s">
        <v>521</v>
      </c>
      <c r="I50" s="63" t="s">
        <v>466</v>
      </c>
      <c r="J50" s="39"/>
    </row>
    <row r="51" spans="1:10" x14ac:dyDescent="0.6">
      <c r="A51" s="6">
        <v>30</v>
      </c>
      <c r="B51" s="5" t="s">
        <v>226</v>
      </c>
      <c r="C51" s="3" t="s">
        <v>227</v>
      </c>
      <c r="D51" s="6" t="s">
        <v>160</v>
      </c>
      <c r="E51" s="6" t="s">
        <v>159</v>
      </c>
      <c r="F51" s="5" t="s">
        <v>114</v>
      </c>
      <c r="G51" s="34" t="s">
        <v>522</v>
      </c>
      <c r="H51" s="34" t="s">
        <v>523</v>
      </c>
      <c r="I51" s="63" t="s">
        <v>466</v>
      </c>
      <c r="J51" s="39"/>
    </row>
    <row r="52" spans="1:10" x14ac:dyDescent="0.6">
      <c r="A52" s="6">
        <v>31</v>
      </c>
      <c r="B52" s="5" t="s">
        <v>228</v>
      </c>
      <c r="C52" s="3" t="s">
        <v>229</v>
      </c>
      <c r="D52" s="6" t="s">
        <v>160</v>
      </c>
      <c r="E52" s="6" t="s">
        <v>159</v>
      </c>
      <c r="F52" s="5" t="s">
        <v>114</v>
      </c>
      <c r="G52" s="34" t="s">
        <v>524</v>
      </c>
      <c r="H52" s="34" t="s">
        <v>525</v>
      </c>
      <c r="I52" s="63" t="s">
        <v>466</v>
      </c>
      <c r="J52" s="39"/>
    </row>
    <row r="53" spans="1:10" x14ac:dyDescent="0.6">
      <c r="A53" s="6">
        <v>32</v>
      </c>
      <c r="B53" s="5" t="s">
        <v>230</v>
      </c>
      <c r="C53" s="3" t="s">
        <v>231</v>
      </c>
      <c r="D53" s="6" t="s">
        <v>160</v>
      </c>
      <c r="E53" s="6" t="s">
        <v>159</v>
      </c>
      <c r="F53" s="5" t="s">
        <v>114</v>
      </c>
      <c r="G53" s="34" t="s">
        <v>526</v>
      </c>
      <c r="H53" s="34" t="s">
        <v>527</v>
      </c>
      <c r="I53" s="63" t="s">
        <v>466</v>
      </c>
      <c r="J53" s="39"/>
    </row>
    <row r="54" spans="1:10" x14ac:dyDescent="0.6">
      <c r="A54" s="6">
        <v>33</v>
      </c>
      <c r="B54" s="5" t="s">
        <v>233</v>
      </c>
      <c r="C54" s="3" t="s">
        <v>234</v>
      </c>
      <c r="D54" s="6" t="s">
        <v>160</v>
      </c>
      <c r="E54" s="6" t="s">
        <v>159</v>
      </c>
      <c r="F54" s="5" t="s">
        <v>114</v>
      </c>
      <c r="G54" s="34" t="s">
        <v>528</v>
      </c>
      <c r="H54" s="34" t="s">
        <v>529</v>
      </c>
      <c r="I54" s="63" t="s">
        <v>466</v>
      </c>
      <c r="J54" s="39"/>
    </row>
    <row r="55" spans="1:10" x14ac:dyDescent="0.6">
      <c r="A55" s="6">
        <v>34</v>
      </c>
      <c r="B55" s="5" t="s">
        <v>235</v>
      </c>
      <c r="C55" s="3" t="s">
        <v>236</v>
      </c>
      <c r="D55" s="6" t="s">
        <v>160</v>
      </c>
      <c r="E55" s="6" t="s">
        <v>159</v>
      </c>
      <c r="F55" s="5" t="s">
        <v>114</v>
      </c>
      <c r="G55" s="34" t="s">
        <v>530</v>
      </c>
      <c r="H55" s="34" t="s">
        <v>531</v>
      </c>
      <c r="I55" s="63" t="s">
        <v>466</v>
      </c>
      <c r="J55" s="39"/>
    </row>
  </sheetData>
  <mergeCells count="63">
    <mergeCell ref="A1:L1"/>
    <mergeCell ref="I12:L12"/>
    <mergeCell ref="A13:B13"/>
    <mergeCell ref="A6:L6"/>
    <mergeCell ref="I50:J50"/>
    <mergeCell ref="I31:J31"/>
    <mergeCell ref="I40:J40"/>
    <mergeCell ref="I55:J55"/>
    <mergeCell ref="C13:H13"/>
    <mergeCell ref="I24:J24"/>
    <mergeCell ref="I42:J42"/>
    <mergeCell ref="I33:J33"/>
    <mergeCell ref="I23:J23"/>
    <mergeCell ref="I39:J39"/>
    <mergeCell ref="I52:J52"/>
    <mergeCell ref="I48:J48"/>
    <mergeCell ref="I15:K15"/>
    <mergeCell ref="C15:H15"/>
    <mergeCell ref="I44:J44"/>
    <mergeCell ref="I29:J29"/>
    <mergeCell ref="I35:J35"/>
    <mergeCell ref="I51:J51"/>
    <mergeCell ref="I38:J38"/>
    <mergeCell ref="A4:L4"/>
    <mergeCell ref="A12:B12"/>
    <mergeCell ref="A20:L20"/>
    <mergeCell ref="I21:J21"/>
    <mergeCell ref="I43:J43"/>
    <mergeCell ref="I13:K13"/>
    <mergeCell ref="A14:B14"/>
    <mergeCell ref="A9:L9"/>
    <mergeCell ref="A17:B17"/>
    <mergeCell ref="C14:H14"/>
    <mergeCell ref="A11:L11"/>
    <mergeCell ref="A2:L2"/>
    <mergeCell ref="A16:B16"/>
    <mergeCell ref="I47:J47"/>
    <mergeCell ref="I54:J54"/>
    <mergeCell ref="I14:K14"/>
    <mergeCell ref="I32:J32"/>
    <mergeCell ref="I25:J25"/>
    <mergeCell ref="A5:L5"/>
    <mergeCell ref="I41:J41"/>
    <mergeCell ref="A8:L8"/>
    <mergeCell ref="I17:K17"/>
    <mergeCell ref="I37:J37"/>
    <mergeCell ref="I22:J22"/>
    <mergeCell ref="C17:H17"/>
    <mergeCell ref="I28:J28"/>
    <mergeCell ref="I53:J53"/>
    <mergeCell ref="I46:J46"/>
    <mergeCell ref="I49:J49"/>
    <mergeCell ref="I27:J27"/>
    <mergeCell ref="I45:J45"/>
    <mergeCell ref="I36:J36"/>
    <mergeCell ref="I30:J30"/>
    <mergeCell ref="I16:K16"/>
    <mergeCell ref="I34:J34"/>
    <mergeCell ref="C16:H16"/>
    <mergeCell ref="A7:L7"/>
    <mergeCell ref="A15:B15"/>
    <mergeCell ref="C12:H12"/>
    <mergeCell ref="I26:J26"/>
  </mergeCells>
  <phoneticPr fontId="16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U39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I14" sqref="I14"/>
    </sheetView>
  </sheetViews>
  <sheetFormatPr defaultRowHeight="16.899999999999999" x14ac:dyDescent="0.6"/>
  <cols>
    <col min="1" max="1" width="5" customWidth="1"/>
    <col min="2" max="4" width="11" customWidth="1"/>
    <col min="5" max="5" width="14" customWidth="1"/>
    <col min="6" max="6" width="9" customWidth="1"/>
    <col min="7" max="21" width="10" customWidth="1"/>
  </cols>
  <sheetData>
    <row r="1" spans="1:21" ht="28.05" customHeight="1" x14ac:dyDescent="0.6">
      <c r="A1" s="51" t="s">
        <v>532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</row>
    <row r="2" spans="1:21" ht="18" customHeight="1" x14ac:dyDescent="0.6">
      <c r="A2" s="48" t="s">
        <v>533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</row>
    <row r="4" spans="1:21" ht="22.05" customHeight="1" x14ac:dyDescent="0.6">
      <c r="A4" s="45" t="s">
        <v>534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</row>
    <row r="5" spans="1:21" ht="33.75" x14ac:dyDescent="0.6">
      <c r="A5" s="2" t="s">
        <v>131</v>
      </c>
      <c r="B5" s="2" t="s">
        <v>132</v>
      </c>
      <c r="C5" s="2" t="s">
        <v>133</v>
      </c>
      <c r="D5" s="2" t="s">
        <v>134</v>
      </c>
      <c r="E5" s="2" t="s">
        <v>135</v>
      </c>
      <c r="F5" s="2" t="s">
        <v>105</v>
      </c>
      <c r="G5" s="2" t="s">
        <v>535</v>
      </c>
      <c r="H5" s="2" t="s">
        <v>536</v>
      </c>
      <c r="I5" s="2" t="s">
        <v>537</v>
      </c>
      <c r="J5" s="2" t="s">
        <v>538</v>
      </c>
      <c r="K5" s="2" t="s">
        <v>539</v>
      </c>
      <c r="L5" s="2" t="s">
        <v>540</v>
      </c>
      <c r="M5" s="2" t="s">
        <v>541</v>
      </c>
      <c r="N5" s="2" t="s">
        <v>542</v>
      </c>
      <c r="O5" s="2" t="s">
        <v>543</v>
      </c>
      <c r="P5" s="2" t="s">
        <v>544</v>
      </c>
      <c r="Q5" s="2" t="s">
        <v>545</v>
      </c>
      <c r="R5" s="2" t="s">
        <v>546</v>
      </c>
      <c r="S5" s="2" t="s">
        <v>547</v>
      </c>
      <c r="T5" s="2" t="s">
        <v>548</v>
      </c>
      <c r="U5" s="2" t="s">
        <v>549</v>
      </c>
    </row>
    <row r="6" spans="1:21" x14ac:dyDescent="0.6">
      <c r="A6" s="15">
        <f>'01_인적정보'!A5</f>
        <v>1</v>
      </c>
      <c r="B6" s="15" t="str">
        <f>'01_인적정보'!B5</f>
        <v>BSS-001</v>
      </c>
      <c r="C6" s="15" t="str">
        <f>'01_인적정보'!C5</f>
        <v>이화형</v>
      </c>
      <c r="D6" s="15" t="str">
        <f>'01_인적정보'!D5</f>
        <v>영업</v>
      </c>
      <c r="E6" s="15" t="str">
        <f>'01_인적정보'!E5</f>
        <v>프로젝트영업</v>
      </c>
      <c r="F6" s="15" t="str">
        <f>'01_인적정보'!H5</f>
        <v>G6</v>
      </c>
      <c r="G6" s="15">
        <f>'04_역할평가'!O13</f>
        <v>0</v>
      </c>
      <c r="H6" s="15">
        <f>'04_역할평가'!O51</f>
        <v>0</v>
      </c>
      <c r="I6" s="24">
        <f>IF(OR(G6="",H6=""),"",(IF(G6="S",5,IF(G6="A",4,IF(G6="B",3,IF(G6="C",2,IF(G6="D",1,0))))))*'02_의사결정·종합결과'!$B$7+(IF(H6="S",5,IF(H6="A",4,IF(H6="B",3,IF(H6="C",2,IF(H6="D",1,0))))))*'02_의사결정·종합결과'!$B$8)</f>
        <v>0</v>
      </c>
      <c r="J6" s="15" t="str">
        <f>'05_공통역량평가'!Q6</f>
        <v>D</v>
      </c>
      <c r="K6" s="15" t="str">
        <f>'05_공통역량평가'!Q44</f>
        <v>D</v>
      </c>
      <c r="L6" s="24">
        <f>IF(OR(J6="",K6=""),"",(IF(J6="S",5,IF(J6="A",4,IF(J6="B",3,IF(J6="C",2,IF(J6="D",1,0))))))*'02_의사결정·종합결과'!$B$7+(IF(K6="S",5,IF(K6="A",4,IF(K6="B",3,IF(K6="C",2,IF(K6="D",1,0))))))*'02_의사결정·종합결과'!$B$8)</f>
        <v>1</v>
      </c>
      <c r="M6" s="15">
        <f>'06_직무역량평가'!J6</f>
        <v>0</v>
      </c>
      <c r="N6" s="15">
        <f>'06_직무역량평가'!J44</f>
        <v>0</v>
      </c>
      <c r="O6" s="24">
        <f>IF(OR(M6="",N6=""),"",(IF(M6="S",5,IF(M6="A",4,IF(M6="B",3,IF(M6="C",2,IF(M6="D",1,0))))))*'02_의사결정·종합결과'!$B$7+(IF(N6="S",5,IF(N6="A",4,IF(N6="B",3,IF(N6="C",2,IF(N6="D",1,0))))))*'02_의사결정·종합결과'!$B$8)</f>
        <v>0</v>
      </c>
      <c r="P6" s="18">
        <f>IFERROR(VLOOKUP(IF(LEFT(F6,2)="G5","G5",F6),'02_의사결정·종합결과'!$A$15:$D$20,2,FALSE),0)</f>
        <v>0.4</v>
      </c>
      <c r="Q6" s="18">
        <f>IFERROR(VLOOKUP(IF(LEFT(F6,2)="G5","G5",F6),'02_의사결정·종합결과'!$A$15:$D$20,3,FALSE),0)</f>
        <v>0.25</v>
      </c>
      <c r="R6" s="18">
        <f>IFERROR(VLOOKUP(IF(LEFT(F6,2)="G5","G5",F6),'02_의사결정·종합결과'!$A$15:$D$20,4,FALSE),0)</f>
        <v>0.35</v>
      </c>
      <c r="S6" s="24">
        <f t="shared" ref="S6:S39" si="0">IF(OR(I6="",L6="",O6=""),"",I6*P6+L6*Q6+O6*R6)</f>
        <v>0.25</v>
      </c>
      <c r="T6" s="15" t="str">
        <f t="shared" ref="T6:T39" si="1">IF(S6="","",IF(S6&gt;=4.5,"S",IF(S6&gt;=3.5,"A",IF(S6&gt;=2.5,"B",IF(S6&gt;=1.5,"C","D")))))</f>
        <v>D</v>
      </c>
      <c r="U6" s="26" t="str">
        <f>IF('02_의사결정·종합결과'!$B$6="절대평가",T6,IFERROR(IF(S6="","",IF(_xludf.PERCENTRANK.INC($S$6:$S$39,S6)&gt;=1-'02_의사결정·종합결과'!$B$11,"S",IF(_xludf.PERCENTRANK.INC($S$6:$S$39,S6)&gt;=1-'02_의사결정·종합결과'!$B$11-'02_의사결정·종합결과'!$C$11,"A",IF(_xludf.PERCENTRANK.INC($S$6:$S$39,S6)&gt;='02_의사결정·종합결과'!$E$11+'02_의사결정·종합결과'!$F$11,"B",IF(_xludf.PERCENTRANK.INC($S$6:$S$39,S6)&gt;='02_의사결정·종합결과'!$F$11,"C","D"))))),""))</f>
        <v>D</v>
      </c>
    </row>
    <row r="7" spans="1:21" x14ac:dyDescent="0.6">
      <c r="A7" s="15">
        <f>'01_인적정보'!A6</f>
        <v>2</v>
      </c>
      <c r="B7" s="15" t="str">
        <f>'01_인적정보'!B6</f>
        <v>BSS-002</v>
      </c>
      <c r="C7" s="15" t="str">
        <f>'01_인적정보'!C6</f>
        <v>강전용</v>
      </c>
      <c r="D7" s="15" t="str">
        <f>'01_인적정보'!D6</f>
        <v>연구&amp;개발</v>
      </c>
      <c r="E7" s="15" t="str">
        <f>'01_인적정보'!E6</f>
        <v>연구개발(R&amp;D)</v>
      </c>
      <c r="F7" s="15" t="str">
        <f>'01_인적정보'!H6</f>
        <v>G6</v>
      </c>
      <c r="G7" s="15">
        <f>'04_역할평가'!O14</f>
        <v>0</v>
      </c>
      <c r="H7" s="15">
        <f>'04_역할평가'!O52</f>
        <v>0</v>
      </c>
      <c r="I7" s="24">
        <f>IF(OR(G7="",H7=""),"",(IF(G7="S",5,IF(G7="A",4,IF(G7="B",3,IF(G7="C",2,IF(G7="D",1,0))))))*'02_의사결정·종합결과'!$B$7+(IF(H7="S",5,IF(H7="A",4,IF(H7="B",3,IF(H7="C",2,IF(H7="D",1,0))))))*'02_의사결정·종합결과'!$B$8)</f>
        <v>0</v>
      </c>
      <c r="J7" s="15" t="str">
        <f>'05_공통역량평가'!Q7</f>
        <v>D</v>
      </c>
      <c r="K7" s="15" t="str">
        <f>'05_공통역량평가'!Q45</f>
        <v>D</v>
      </c>
      <c r="L7" s="24">
        <f>IF(OR(J7="",K7=""),"",(IF(J7="S",5,IF(J7="A",4,IF(J7="B",3,IF(J7="C",2,IF(J7="D",1,0))))))*'02_의사결정·종합결과'!$B$7+(IF(K7="S",5,IF(K7="A",4,IF(K7="B",3,IF(K7="C",2,IF(K7="D",1,0))))))*'02_의사결정·종합결과'!$B$8)</f>
        <v>1</v>
      </c>
      <c r="M7" s="15">
        <f>'06_직무역량평가'!J7</f>
        <v>0</v>
      </c>
      <c r="N7" s="15">
        <f>'06_직무역량평가'!J45</f>
        <v>0</v>
      </c>
      <c r="O7" s="24">
        <f>IF(OR(M7="",N7=""),"",(IF(M7="S",5,IF(M7="A",4,IF(M7="B",3,IF(M7="C",2,IF(M7="D",1,0))))))*'02_의사결정·종합결과'!$B$7+(IF(N7="S",5,IF(N7="A",4,IF(N7="B",3,IF(N7="C",2,IF(N7="D",1,0))))))*'02_의사결정·종합결과'!$B$8)</f>
        <v>0</v>
      </c>
      <c r="P7" s="18">
        <f>IFERROR(VLOOKUP(IF(LEFT(F7,2)="G5","G5",F7),'02_의사결정·종합결과'!$A$15:$D$20,2,FALSE),0)</f>
        <v>0.4</v>
      </c>
      <c r="Q7" s="18">
        <f>IFERROR(VLOOKUP(IF(LEFT(F7,2)="G5","G5",F7),'02_의사결정·종합결과'!$A$15:$D$20,3,FALSE),0)</f>
        <v>0.25</v>
      </c>
      <c r="R7" s="18">
        <f>IFERROR(VLOOKUP(IF(LEFT(F7,2)="G5","G5",F7),'02_의사결정·종합결과'!$A$15:$D$20,4,FALSE),0)</f>
        <v>0.35</v>
      </c>
      <c r="S7" s="24">
        <f t="shared" si="0"/>
        <v>0.25</v>
      </c>
      <c r="T7" s="15" t="str">
        <f t="shared" si="1"/>
        <v>D</v>
      </c>
      <c r="U7" s="26" t="str">
        <f>IF('02_의사결정·종합결과'!$B$6="절대평가",T7,IFERROR(IF(S7="","",IF(_xludf.PERCENTRANK.INC($S$6:$S$39,S7)&gt;=1-'02_의사결정·종합결과'!$B$11,"S",IF(_xludf.PERCENTRANK.INC($S$6:$S$39,S7)&gt;=1-'02_의사결정·종합결과'!$B$11-'02_의사결정·종합결과'!$C$11,"A",IF(_xludf.PERCENTRANK.INC($S$6:$S$39,S7)&gt;='02_의사결정·종합결과'!$E$11+'02_의사결정·종합결과'!$F$11,"B",IF(_xludf.PERCENTRANK.INC($S$6:$S$39,S7)&gt;='02_의사결정·종합결과'!$F$11,"C","D"))))),""))</f>
        <v>D</v>
      </c>
    </row>
    <row r="8" spans="1:21" x14ac:dyDescent="0.6">
      <c r="A8" s="15">
        <f>'01_인적정보'!A7</f>
        <v>3</v>
      </c>
      <c r="B8" s="15" t="str">
        <f>'01_인적정보'!B7</f>
        <v>BSS-003</v>
      </c>
      <c r="C8" s="15" t="str">
        <f>'01_인적정보'!C7</f>
        <v>김현민</v>
      </c>
      <c r="D8" s="15" t="str">
        <f>'01_인적정보'!D7</f>
        <v>설계</v>
      </c>
      <c r="E8" s="15" t="str">
        <f>'01_인적정보'!E7</f>
        <v>BIM컨설팅</v>
      </c>
      <c r="F8" s="15" t="str">
        <f>'01_인적정보'!H7</f>
        <v>G6</v>
      </c>
      <c r="G8" s="15">
        <f>'04_역할평가'!O15</f>
        <v>0</v>
      </c>
      <c r="H8" s="15">
        <f>'04_역할평가'!O53</f>
        <v>0</v>
      </c>
      <c r="I8" s="24">
        <f>IF(OR(G8="",H8=""),"",(IF(G8="S",5,IF(G8="A",4,IF(G8="B",3,IF(G8="C",2,IF(G8="D",1,0))))))*'02_의사결정·종합결과'!$B$7+(IF(H8="S",5,IF(H8="A",4,IF(H8="B",3,IF(H8="C",2,IF(H8="D",1,0))))))*'02_의사결정·종합결과'!$B$8)</f>
        <v>0</v>
      </c>
      <c r="J8" s="15" t="str">
        <f>'05_공통역량평가'!Q8</f>
        <v>D</v>
      </c>
      <c r="K8" s="15" t="str">
        <f>'05_공통역량평가'!Q46</f>
        <v>D</v>
      </c>
      <c r="L8" s="24">
        <f>IF(OR(J8="",K8=""),"",(IF(J8="S",5,IF(J8="A",4,IF(J8="B",3,IF(J8="C",2,IF(J8="D",1,0))))))*'02_의사결정·종합결과'!$B$7+(IF(K8="S",5,IF(K8="A",4,IF(K8="B",3,IF(K8="C",2,IF(K8="D",1,0))))))*'02_의사결정·종합결과'!$B$8)</f>
        <v>1</v>
      </c>
      <c r="M8" s="15">
        <f>'06_직무역량평가'!J8</f>
        <v>0</v>
      </c>
      <c r="N8" s="15">
        <f>'06_직무역량평가'!J46</f>
        <v>0</v>
      </c>
      <c r="O8" s="24">
        <f>IF(OR(M8="",N8=""),"",(IF(M8="S",5,IF(M8="A",4,IF(M8="B",3,IF(M8="C",2,IF(M8="D",1,0))))))*'02_의사결정·종합결과'!$B$7+(IF(N8="S",5,IF(N8="A",4,IF(N8="B",3,IF(N8="C",2,IF(N8="D",1,0))))))*'02_의사결정·종합결과'!$B$8)</f>
        <v>0</v>
      </c>
      <c r="P8" s="18">
        <f>IFERROR(VLOOKUP(IF(LEFT(F8,2)="G5","G5",F8),'02_의사결정·종합결과'!$A$15:$D$20,2,FALSE),0)</f>
        <v>0.4</v>
      </c>
      <c r="Q8" s="18">
        <f>IFERROR(VLOOKUP(IF(LEFT(F8,2)="G5","G5",F8),'02_의사결정·종합결과'!$A$15:$D$20,3,FALSE),0)</f>
        <v>0.25</v>
      </c>
      <c r="R8" s="18">
        <f>IFERROR(VLOOKUP(IF(LEFT(F8,2)="G5","G5",F8),'02_의사결정·종합결과'!$A$15:$D$20,4,FALSE),0)</f>
        <v>0.35</v>
      </c>
      <c r="S8" s="24">
        <f t="shared" si="0"/>
        <v>0.25</v>
      </c>
      <c r="T8" s="15" t="str">
        <f t="shared" si="1"/>
        <v>D</v>
      </c>
      <c r="U8" s="26" t="str">
        <f>IF('02_의사결정·종합결과'!$B$6="절대평가",T8,IFERROR(IF(S8="","",IF(_xludf.PERCENTRANK.INC($S$6:$S$39,S8)&gt;=1-'02_의사결정·종합결과'!$B$11,"S",IF(_xludf.PERCENTRANK.INC($S$6:$S$39,S8)&gt;=1-'02_의사결정·종합결과'!$B$11-'02_의사결정·종합결과'!$C$11,"A",IF(_xludf.PERCENTRANK.INC($S$6:$S$39,S8)&gt;='02_의사결정·종합결과'!$E$11+'02_의사결정·종합결과'!$F$11,"B",IF(_xludf.PERCENTRANK.INC($S$6:$S$39,S8)&gt;='02_의사결정·종합결과'!$F$11,"C","D"))))),""))</f>
        <v>D</v>
      </c>
    </row>
    <row r="9" spans="1:21" x14ac:dyDescent="0.6">
      <c r="A9" s="15">
        <f>'01_인적정보'!A8</f>
        <v>4</v>
      </c>
      <c r="B9" s="15" t="str">
        <f>'01_인적정보'!B8</f>
        <v>BSS-004</v>
      </c>
      <c r="C9" s="15" t="str">
        <f>'01_인적정보'!C8</f>
        <v>이일곤</v>
      </c>
      <c r="D9" s="15" t="str">
        <f>'01_인적정보'!D8</f>
        <v>경영관리</v>
      </c>
      <c r="E9" s="15" t="str">
        <f>'01_인적정보'!E8</f>
        <v>경영전략기획</v>
      </c>
      <c r="F9" s="15" t="str">
        <f>'01_인적정보'!H8</f>
        <v>G6</v>
      </c>
      <c r="G9" s="15">
        <f>'04_역할평가'!O16</f>
        <v>0</v>
      </c>
      <c r="H9" s="15">
        <f>'04_역할평가'!O54</f>
        <v>0</v>
      </c>
      <c r="I9" s="24">
        <f>IF(OR(G9="",H9=""),"",(IF(G9="S",5,IF(G9="A",4,IF(G9="B",3,IF(G9="C",2,IF(G9="D",1,0))))))*'02_의사결정·종합결과'!$B$7+(IF(H9="S",5,IF(H9="A",4,IF(H9="B",3,IF(H9="C",2,IF(H9="D",1,0))))))*'02_의사결정·종합결과'!$B$8)</f>
        <v>0</v>
      </c>
      <c r="J9" s="15" t="str">
        <f>'05_공통역량평가'!Q9</f>
        <v>D</v>
      </c>
      <c r="K9" s="15" t="str">
        <f>'05_공통역량평가'!Q47</f>
        <v>D</v>
      </c>
      <c r="L9" s="24">
        <f>IF(OR(J9="",K9=""),"",(IF(J9="S",5,IF(J9="A",4,IF(J9="B",3,IF(J9="C",2,IF(J9="D",1,0))))))*'02_의사결정·종합결과'!$B$7+(IF(K9="S",5,IF(K9="A",4,IF(K9="B",3,IF(K9="C",2,IF(K9="D",1,0))))))*'02_의사결정·종합결과'!$B$8)</f>
        <v>1</v>
      </c>
      <c r="M9" s="15">
        <f>'06_직무역량평가'!J9</f>
        <v>0</v>
      </c>
      <c r="N9" s="15">
        <f>'06_직무역량평가'!J47</f>
        <v>0</v>
      </c>
      <c r="O9" s="24">
        <f>IF(OR(M9="",N9=""),"",(IF(M9="S",5,IF(M9="A",4,IF(M9="B",3,IF(M9="C",2,IF(M9="D",1,0))))))*'02_의사결정·종합결과'!$B$7+(IF(N9="S",5,IF(N9="A",4,IF(N9="B",3,IF(N9="C",2,IF(N9="D",1,0))))))*'02_의사결정·종합결과'!$B$8)</f>
        <v>0</v>
      </c>
      <c r="P9" s="18">
        <f>IFERROR(VLOOKUP(IF(LEFT(F9,2)="G5","G5",F9),'02_의사결정·종합결과'!$A$15:$D$20,2,FALSE),0)</f>
        <v>0.4</v>
      </c>
      <c r="Q9" s="18">
        <f>IFERROR(VLOOKUP(IF(LEFT(F9,2)="G5","G5",F9),'02_의사결정·종합결과'!$A$15:$D$20,3,FALSE),0)</f>
        <v>0.25</v>
      </c>
      <c r="R9" s="18">
        <f>IFERROR(VLOOKUP(IF(LEFT(F9,2)="G5","G5",F9),'02_의사결정·종합결과'!$A$15:$D$20,4,FALSE),0)</f>
        <v>0.35</v>
      </c>
      <c r="S9" s="24">
        <f t="shared" si="0"/>
        <v>0.25</v>
      </c>
      <c r="T9" s="15" t="str">
        <f t="shared" si="1"/>
        <v>D</v>
      </c>
      <c r="U9" s="26" t="str">
        <f>IF('02_의사결정·종합결과'!$B$6="절대평가",T9,IFERROR(IF(S9="","",IF(_xludf.PERCENTRANK.INC($S$6:$S$39,S9)&gt;=1-'02_의사결정·종합결과'!$B$11,"S",IF(_xludf.PERCENTRANK.INC($S$6:$S$39,S9)&gt;=1-'02_의사결정·종합결과'!$B$11-'02_의사결정·종합결과'!$C$11,"A",IF(_xludf.PERCENTRANK.INC($S$6:$S$39,S9)&gt;='02_의사결정·종합결과'!$E$11+'02_의사결정·종합결과'!$F$11,"B",IF(_xludf.PERCENTRANK.INC($S$6:$S$39,S9)&gt;='02_의사결정·종합결과'!$F$11,"C","D"))))),""))</f>
        <v>D</v>
      </c>
    </row>
    <row r="10" spans="1:21" x14ac:dyDescent="0.6">
      <c r="A10" s="15">
        <f>'01_인적정보'!A9</f>
        <v>5</v>
      </c>
      <c r="B10" s="15" t="str">
        <f>'01_인적정보'!B9</f>
        <v>BSS-005</v>
      </c>
      <c r="C10" s="15" t="str">
        <f>'01_인적정보'!C9</f>
        <v>송헌영</v>
      </c>
      <c r="D10" s="15" t="str">
        <f>'01_인적정보'!D9</f>
        <v>경영관리</v>
      </c>
      <c r="E10" s="15" t="str">
        <f>'01_인적정보'!E9</f>
        <v>경영전략기획</v>
      </c>
      <c r="F10" s="15" t="str">
        <f>'01_인적정보'!H9</f>
        <v>G6</v>
      </c>
      <c r="G10" s="15">
        <f>'04_역할평가'!O17</f>
        <v>0</v>
      </c>
      <c r="H10" s="15">
        <f>'04_역할평가'!O55</f>
        <v>0</v>
      </c>
      <c r="I10" s="24">
        <f>IF(OR(G10="",H10=""),"",(IF(G10="S",5,IF(G10="A",4,IF(G10="B",3,IF(G10="C",2,IF(G10="D",1,0))))))*'02_의사결정·종합결과'!$B$7+(IF(H10="S",5,IF(H10="A",4,IF(H10="B",3,IF(H10="C",2,IF(H10="D",1,0))))))*'02_의사결정·종합결과'!$B$8)</f>
        <v>0</v>
      </c>
      <c r="J10" s="15" t="str">
        <f>'05_공통역량평가'!Q10</f>
        <v>D</v>
      </c>
      <c r="K10" s="15" t="str">
        <f>'05_공통역량평가'!Q48</f>
        <v>D</v>
      </c>
      <c r="L10" s="24">
        <f>IF(OR(J10="",K10=""),"",(IF(J10="S",5,IF(J10="A",4,IF(J10="B",3,IF(J10="C",2,IF(J10="D",1,0))))))*'02_의사결정·종합결과'!$B$7+(IF(K10="S",5,IF(K10="A",4,IF(K10="B",3,IF(K10="C",2,IF(K10="D",1,0))))))*'02_의사결정·종합결과'!$B$8)</f>
        <v>1</v>
      </c>
      <c r="M10" s="15">
        <f>'06_직무역량평가'!J10</f>
        <v>0</v>
      </c>
      <c r="N10" s="15">
        <f>'06_직무역량평가'!J48</f>
        <v>0</v>
      </c>
      <c r="O10" s="24">
        <f>IF(OR(M10="",N10=""),"",(IF(M10="S",5,IF(M10="A",4,IF(M10="B",3,IF(M10="C",2,IF(M10="D",1,0))))))*'02_의사결정·종합결과'!$B$7+(IF(N10="S",5,IF(N10="A",4,IF(N10="B",3,IF(N10="C",2,IF(N10="D",1,0))))))*'02_의사결정·종합결과'!$B$8)</f>
        <v>0</v>
      </c>
      <c r="P10" s="18">
        <f>IFERROR(VLOOKUP(IF(LEFT(F10,2)="G5","G5",F10),'02_의사결정·종합결과'!$A$15:$D$20,2,FALSE),0)</f>
        <v>0.4</v>
      </c>
      <c r="Q10" s="18">
        <f>IFERROR(VLOOKUP(IF(LEFT(F10,2)="G5","G5",F10),'02_의사결정·종합결과'!$A$15:$D$20,3,FALSE),0)</f>
        <v>0.25</v>
      </c>
      <c r="R10" s="18">
        <f>IFERROR(VLOOKUP(IF(LEFT(F10,2)="G5","G5",F10),'02_의사결정·종합결과'!$A$15:$D$20,4,FALSE),0)</f>
        <v>0.35</v>
      </c>
      <c r="S10" s="24">
        <f t="shared" si="0"/>
        <v>0.25</v>
      </c>
      <c r="T10" s="15" t="str">
        <f t="shared" si="1"/>
        <v>D</v>
      </c>
      <c r="U10" s="26" t="str">
        <f>IF('02_의사결정·종합결과'!$B$6="절대평가",T10,IFERROR(IF(S10="","",IF(_xludf.PERCENTRANK.INC($S$6:$S$39,S10)&gt;=1-'02_의사결정·종합결과'!$B$11,"S",IF(_xludf.PERCENTRANK.INC($S$6:$S$39,S10)&gt;=1-'02_의사결정·종합결과'!$B$11-'02_의사결정·종합결과'!$C$11,"A",IF(_xludf.PERCENTRANK.INC($S$6:$S$39,S10)&gt;='02_의사결정·종합결과'!$E$11+'02_의사결정·종합결과'!$F$11,"B",IF(_xludf.PERCENTRANK.INC($S$6:$S$39,S10)&gt;='02_의사결정·종합결과'!$F$11,"C","D"))))),""))</f>
        <v>D</v>
      </c>
    </row>
    <row r="11" spans="1:21" x14ac:dyDescent="0.6">
      <c r="A11" s="15">
        <f>'01_인적정보'!A10</f>
        <v>6</v>
      </c>
      <c r="B11" s="15" t="str">
        <f>'01_인적정보'!B10</f>
        <v>BSS-006</v>
      </c>
      <c r="C11" s="15" t="str">
        <f>'01_인적정보'!C10</f>
        <v>이재용</v>
      </c>
      <c r="D11" s="15" t="str">
        <f>'01_인적정보'!D10</f>
        <v>경영관리</v>
      </c>
      <c r="E11" s="15" t="str">
        <f>'01_인적정보'!E10</f>
        <v>경영전략기획</v>
      </c>
      <c r="F11" s="15" t="str">
        <f>'01_인적정보'!H10</f>
        <v>G6</v>
      </c>
      <c r="G11" s="15">
        <f>'04_역할평가'!O18</f>
        <v>0</v>
      </c>
      <c r="H11" s="15">
        <f>'04_역할평가'!O56</f>
        <v>0</v>
      </c>
      <c r="I11" s="24">
        <f>IF(OR(G11="",H11=""),"",(IF(G11="S",5,IF(G11="A",4,IF(G11="B",3,IF(G11="C",2,IF(G11="D",1,0))))))*'02_의사결정·종합결과'!$B$7+(IF(H11="S",5,IF(H11="A",4,IF(H11="B",3,IF(H11="C",2,IF(H11="D",1,0))))))*'02_의사결정·종합결과'!$B$8)</f>
        <v>0</v>
      </c>
      <c r="J11" s="15" t="str">
        <f>'05_공통역량평가'!Q11</f>
        <v>D</v>
      </c>
      <c r="K11" s="15" t="str">
        <f>'05_공통역량평가'!Q49</f>
        <v>D</v>
      </c>
      <c r="L11" s="24">
        <f>IF(OR(J11="",K11=""),"",(IF(J11="S",5,IF(J11="A",4,IF(J11="B",3,IF(J11="C",2,IF(J11="D",1,0))))))*'02_의사결정·종합결과'!$B$7+(IF(K11="S",5,IF(K11="A",4,IF(K11="B",3,IF(K11="C",2,IF(K11="D",1,0))))))*'02_의사결정·종합결과'!$B$8)</f>
        <v>1</v>
      </c>
      <c r="M11" s="15">
        <f>'06_직무역량평가'!J11</f>
        <v>0</v>
      </c>
      <c r="N11" s="15">
        <f>'06_직무역량평가'!J49</f>
        <v>0</v>
      </c>
      <c r="O11" s="24">
        <f>IF(OR(M11="",N11=""),"",(IF(M11="S",5,IF(M11="A",4,IF(M11="B",3,IF(M11="C",2,IF(M11="D",1,0))))))*'02_의사결정·종합결과'!$B$7+(IF(N11="S",5,IF(N11="A",4,IF(N11="B",3,IF(N11="C",2,IF(N11="D",1,0))))))*'02_의사결정·종합결과'!$B$8)</f>
        <v>0</v>
      </c>
      <c r="P11" s="18">
        <f>IFERROR(VLOOKUP(IF(LEFT(F11,2)="G5","G5",F11),'02_의사결정·종합결과'!$A$15:$D$20,2,FALSE),0)</f>
        <v>0.4</v>
      </c>
      <c r="Q11" s="18">
        <f>IFERROR(VLOOKUP(IF(LEFT(F11,2)="G5","G5",F11),'02_의사결정·종합결과'!$A$15:$D$20,3,FALSE),0)</f>
        <v>0.25</v>
      </c>
      <c r="R11" s="18">
        <f>IFERROR(VLOOKUP(IF(LEFT(F11,2)="G5","G5",F11),'02_의사결정·종합결과'!$A$15:$D$20,4,FALSE),0)</f>
        <v>0.35</v>
      </c>
      <c r="S11" s="24">
        <f t="shared" si="0"/>
        <v>0.25</v>
      </c>
      <c r="T11" s="15" t="str">
        <f t="shared" si="1"/>
        <v>D</v>
      </c>
      <c r="U11" s="26" t="str">
        <f>IF('02_의사결정·종합결과'!$B$6="절대평가",T11,IFERROR(IF(S11="","",IF(_xludf.PERCENTRANK.INC($S$6:$S$39,S11)&gt;=1-'02_의사결정·종합결과'!$B$11,"S",IF(_xludf.PERCENTRANK.INC($S$6:$S$39,S11)&gt;=1-'02_의사결정·종합결과'!$B$11-'02_의사결정·종합결과'!$C$11,"A",IF(_xludf.PERCENTRANK.INC($S$6:$S$39,S11)&gt;='02_의사결정·종합결과'!$E$11+'02_의사결정·종합결과'!$F$11,"B",IF(_xludf.PERCENTRANK.INC($S$6:$S$39,S11)&gt;='02_의사결정·종합결과'!$F$11,"C","D"))))),""))</f>
        <v>D</v>
      </c>
    </row>
    <row r="12" spans="1:21" x14ac:dyDescent="0.6">
      <c r="A12" s="15">
        <f>'01_인적정보'!A11</f>
        <v>7</v>
      </c>
      <c r="B12" s="15" t="str">
        <f>'01_인적정보'!B11</f>
        <v>BSS-007</v>
      </c>
      <c r="C12" s="15" t="str">
        <f>'01_인적정보'!C11</f>
        <v>이진행</v>
      </c>
      <c r="D12" s="15" t="str">
        <f>'01_인적정보'!D11</f>
        <v>교육 및 기술지원</v>
      </c>
      <c r="E12" s="15" t="str">
        <f>'01_인적정보'!E11</f>
        <v>교육·기술지원</v>
      </c>
      <c r="F12" s="15" t="str">
        <f>'01_인적정보'!H11</f>
        <v>G5</v>
      </c>
      <c r="G12" s="15">
        <f>'04_역할평가'!O19</f>
        <v>0</v>
      </c>
      <c r="H12" s="15">
        <f>'04_역할평가'!O57</f>
        <v>0</v>
      </c>
      <c r="I12" s="24">
        <f>IF(OR(G12="",H12=""),"",(IF(G12="S",5,IF(G12="A",4,IF(G12="B",3,IF(G12="C",2,IF(G12="D",1,0))))))*'02_의사결정·종합결과'!$B$7+(IF(H12="S",5,IF(H12="A",4,IF(H12="B",3,IF(H12="C",2,IF(H12="D",1,0))))))*'02_의사결정·종합결과'!$B$8)</f>
        <v>0</v>
      </c>
      <c r="J12" s="15" t="str">
        <f>'05_공통역량평가'!Q12</f>
        <v>D</v>
      </c>
      <c r="K12" s="15" t="str">
        <f>'05_공통역량평가'!Q50</f>
        <v>D</v>
      </c>
      <c r="L12" s="24">
        <f>IF(OR(J12="",K12=""),"",(IF(J12="S",5,IF(J12="A",4,IF(J12="B",3,IF(J12="C",2,IF(J12="D",1,0))))))*'02_의사결정·종합결과'!$B$7+(IF(K12="S",5,IF(K12="A",4,IF(K12="B",3,IF(K12="C",2,IF(K12="D",1,0))))))*'02_의사결정·종합결과'!$B$8)</f>
        <v>1</v>
      </c>
      <c r="M12" s="15">
        <f>'06_직무역량평가'!J12</f>
        <v>0</v>
      </c>
      <c r="N12" s="15">
        <f>'06_직무역량평가'!J50</f>
        <v>0</v>
      </c>
      <c r="O12" s="24">
        <f>IF(OR(M12="",N12=""),"",(IF(M12="S",5,IF(M12="A",4,IF(M12="B",3,IF(M12="C",2,IF(M12="D",1,0))))))*'02_의사결정·종합결과'!$B$7+(IF(N12="S",5,IF(N12="A",4,IF(N12="B",3,IF(N12="C",2,IF(N12="D",1,0))))))*'02_의사결정·종합결과'!$B$8)</f>
        <v>0</v>
      </c>
      <c r="P12" s="18">
        <f>IFERROR(VLOOKUP(IF(LEFT(F12,2)="G5","G5",F12),'02_의사결정·종합결과'!$A$15:$D$20,2,FALSE),0)</f>
        <v>0.35</v>
      </c>
      <c r="Q12" s="18">
        <f>IFERROR(VLOOKUP(IF(LEFT(F12,2)="G5","G5",F12),'02_의사결정·종합결과'!$A$15:$D$20,3,FALSE),0)</f>
        <v>0.3</v>
      </c>
      <c r="R12" s="18">
        <f>IFERROR(VLOOKUP(IF(LEFT(F12,2)="G5","G5",F12),'02_의사결정·종합결과'!$A$15:$D$20,4,FALSE),0)</f>
        <v>0.35</v>
      </c>
      <c r="S12" s="24">
        <f t="shared" si="0"/>
        <v>0.3</v>
      </c>
      <c r="T12" s="15" t="str">
        <f t="shared" si="1"/>
        <v>D</v>
      </c>
      <c r="U12" s="26" t="str">
        <f>IF('02_의사결정·종합결과'!$B$6="절대평가",T12,IFERROR(IF(S12="","",IF(_xludf.PERCENTRANK.INC($S$6:$S$39,S12)&gt;=1-'02_의사결정·종합결과'!$B$11,"S",IF(_xludf.PERCENTRANK.INC($S$6:$S$39,S12)&gt;=1-'02_의사결정·종합결과'!$B$11-'02_의사결정·종합결과'!$C$11,"A",IF(_xludf.PERCENTRANK.INC($S$6:$S$39,S12)&gt;='02_의사결정·종합결과'!$E$11+'02_의사결정·종합결과'!$F$11,"B",IF(_xludf.PERCENTRANK.INC($S$6:$S$39,S12)&gt;='02_의사결정·종합결과'!$F$11,"C","D"))))),""))</f>
        <v>D</v>
      </c>
    </row>
    <row r="13" spans="1:21" x14ac:dyDescent="0.6">
      <c r="A13" s="15">
        <f>'01_인적정보'!A12</f>
        <v>8</v>
      </c>
      <c r="B13" s="15" t="str">
        <f>'01_인적정보'!B12</f>
        <v>BSS-008</v>
      </c>
      <c r="C13" s="15" t="str">
        <f>'01_인적정보'!C12</f>
        <v>김민수</v>
      </c>
      <c r="D13" s="15" t="str">
        <f>'01_인적정보'!D12</f>
        <v>교육 및 기술지원</v>
      </c>
      <c r="E13" s="15" t="str">
        <f>'01_인적정보'!E12</f>
        <v>교육·기술지원</v>
      </c>
      <c r="F13" s="15" t="str">
        <f>'01_인적정보'!H12</f>
        <v>G5</v>
      </c>
      <c r="G13" s="15">
        <f>'04_역할평가'!O20</f>
        <v>0</v>
      </c>
      <c r="H13" s="15">
        <f>'04_역할평가'!O58</f>
        <v>0</v>
      </c>
      <c r="I13" s="24">
        <f>IF(OR(G13="",H13=""),"",(IF(G13="S",5,IF(G13="A",4,IF(G13="B",3,IF(G13="C",2,IF(G13="D",1,0))))))*'02_의사결정·종합결과'!$B$7+(IF(H13="S",5,IF(H13="A",4,IF(H13="B",3,IF(H13="C",2,IF(H13="D",1,0))))))*'02_의사결정·종합결과'!$B$8)</f>
        <v>0</v>
      </c>
      <c r="J13" s="15" t="str">
        <f>'05_공통역량평가'!Q13</f>
        <v>D</v>
      </c>
      <c r="K13" s="15" t="str">
        <f>'05_공통역량평가'!Q51</f>
        <v>D</v>
      </c>
      <c r="L13" s="24">
        <f>IF(OR(J13="",K13=""),"",(IF(J13="S",5,IF(J13="A",4,IF(J13="B",3,IF(J13="C",2,IF(J13="D",1,0))))))*'02_의사결정·종합결과'!$B$7+(IF(K13="S",5,IF(K13="A",4,IF(K13="B",3,IF(K13="C",2,IF(K13="D",1,0))))))*'02_의사결정·종합결과'!$B$8)</f>
        <v>1</v>
      </c>
      <c r="M13" s="15">
        <f>'06_직무역량평가'!J13</f>
        <v>0</v>
      </c>
      <c r="N13" s="15">
        <f>'06_직무역량평가'!J51</f>
        <v>0</v>
      </c>
      <c r="O13" s="24">
        <f>IF(OR(M13="",N13=""),"",(IF(M13="S",5,IF(M13="A",4,IF(M13="B",3,IF(M13="C",2,IF(M13="D",1,0))))))*'02_의사결정·종합결과'!$B$7+(IF(N13="S",5,IF(N13="A",4,IF(N13="B",3,IF(N13="C",2,IF(N13="D",1,0))))))*'02_의사결정·종합결과'!$B$8)</f>
        <v>0</v>
      </c>
      <c r="P13" s="18">
        <f>IFERROR(VLOOKUP(IF(LEFT(F13,2)="G5","G5",F13),'02_의사결정·종합결과'!$A$15:$D$20,2,FALSE),0)</f>
        <v>0.35</v>
      </c>
      <c r="Q13" s="18">
        <f>IFERROR(VLOOKUP(IF(LEFT(F13,2)="G5","G5",F13),'02_의사결정·종합결과'!$A$15:$D$20,3,FALSE),0)</f>
        <v>0.3</v>
      </c>
      <c r="R13" s="18">
        <f>IFERROR(VLOOKUP(IF(LEFT(F13,2)="G5","G5",F13),'02_의사결정·종합결과'!$A$15:$D$20,4,FALSE),0)</f>
        <v>0.35</v>
      </c>
      <c r="S13" s="24">
        <f t="shared" si="0"/>
        <v>0.3</v>
      </c>
      <c r="T13" s="15" t="str">
        <f t="shared" si="1"/>
        <v>D</v>
      </c>
      <c r="U13" s="26" t="str">
        <f>IF('02_의사결정·종합결과'!$B$6="절대평가",T13,IFERROR(IF(S13="","",IF(_xludf.PERCENTRANK.INC($S$6:$S$39,S13)&gt;=1-'02_의사결정·종합결과'!$B$11,"S",IF(_xludf.PERCENTRANK.INC($S$6:$S$39,S13)&gt;=1-'02_의사결정·종합결과'!$B$11-'02_의사결정·종합결과'!$C$11,"A",IF(_xludf.PERCENTRANK.INC($S$6:$S$39,S13)&gt;='02_의사결정·종합결과'!$E$11+'02_의사결정·종합결과'!$F$11,"B",IF(_xludf.PERCENTRANK.INC($S$6:$S$39,S13)&gt;='02_의사결정·종합결과'!$F$11,"C","D"))))),""))</f>
        <v>D</v>
      </c>
    </row>
    <row r="14" spans="1:21" x14ac:dyDescent="0.6">
      <c r="A14" s="15">
        <f>'01_인적정보'!A13</f>
        <v>9</v>
      </c>
      <c r="B14" s="15" t="str">
        <f>'01_인적정보'!B13</f>
        <v>BSS-009</v>
      </c>
      <c r="C14" s="15" t="str">
        <f>'01_인적정보'!C13</f>
        <v>박남식</v>
      </c>
      <c r="D14" s="15" t="str">
        <f>'01_인적정보'!D13</f>
        <v>설계</v>
      </c>
      <c r="E14" s="15" t="str">
        <f>'01_인적정보'!E13</f>
        <v>BIM컨설팅</v>
      </c>
      <c r="F14" s="15" t="str">
        <f>'01_인적정보'!H13</f>
        <v>G5</v>
      </c>
      <c r="G14" s="15">
        <f>'04_역할평가'!O21</f>
        <v>0</v>
      </c>
      <c r="H14" s="15">
        <f>'04_역할평가'!O59</f>
        <v>0</v>
      </c>
      <c r="I14" s="24">
        <f>IF(OR(G14="",H14=""),"",(IF(G14="S",5,IF(G14="A",4,IF(G14="B",3,IF(G14="C",2,IF(G14="D",1,0))))))*'02_의사결정·종합결과'!$B$7+(IF(H14="S",5,IF(H14="A",4,IF(H14="B",3,IF(H14="C",2,IF(H14="D",1,0))))))*'02_의사결정·종합결과'!$B$8)</f>
        <v>0</v>
      </c>
      <c r="J14" s="15" t="str">
        <f>'05_공통역량평가'!Q14</f>
        <v>D</v>
      </c>
      <c r="K14" s="15" t="str">
        <f>'05_공통역량평가'!Q52</f>
        <v>D</v>
      </c>
      <c r="L14" s="24">
        <f>IF(OR(J14="",K14=""),"",(IF(J14="S",5,IF(J14="A",4,IF(J14="B",3,IF(J14="C",2,IF(J14="D",1,0))))))*'02_의사결정·종합결과'!$B$7+(IF(K14="S",5,IF(K14="A",4,IF(K14="B",3,IF(K14="C",2,IF(K14="D",1,0))))))*'02_의사결정·종합결과'!$B$8)</f>
        <v>1</v>
      </c>
      <c r="M14" s="15">
        <f>'06_직무역량평가'!J14</f>
        <v>0</v>
      </c>
      <c r="N14" s="15">
        <f>'06_직무역량평가'!J52</f>
        <v>0</v>
      </c>
      <c r="O14" s="24">
        <f>IF(OR(M14="",N14=""),"",(IF(M14="S",5,IF(M14="A",4,IF(M14="B",3,IF(M14="C",2,IF(M14="D",1,0))))))*'02_의사결정·종합결과'!$B$7+(IF(N14="S",5,IF(N14="A",4,IF(N14="B",3,IF(N14="C",2,IF(N14="D",1,0))))))*'02_의사결정·종합결과'!$B$8)</f>
        <v>0</v>
      </c>
      <c r="P14" s="18">
        <f>IFERROR(VLOOKUP(IF(LEFT(F14,2)="G5","G5",F14),'02_의사결정·종합결과'!$A$15:$D$20,2,FALSE),0)</f>
        <v>0.35</v>
      </c>
      <c r="Q14" s="18">
        <f>IFERROR(VLOOKUP(IF(LEFT(F14,2)="G5","G5",F14),'02_의사결정·종합결과'!$A$15:$D$20,3,FALSE),0)</f>
        <v>0.3</v>
      </c>
      <c r="R14" s="18">
        <f>IFERROR(VLOOKUP(IF(LEFT(F14,2)="G5","G5",F14),'02_의사결정·종합결과'!$A$15:$D$20,4,FALSE),0)</f>
        <v>0.35</v>
      </c>
      <c r="S14" s="24">
        <f t="shared" si="0"/>
        <v>0.3</v>
      </c>
      <c r="T14" s="15" t="str">
        <f t="shared" si="1"/>
        <v>D</v>
      </c>
      <c r="U14" s="26" t="str">
        <f>IF('02_의사결정·종합결과'!$B$6="절대평가",T14,IFERROR(IF(S14="","",IF(_xludf.PERCENTRANK.INC($S$6:$S$39,S14)&gt;=1-'02_의사결정·종합결과'!$B$11,"S",IF(_xludf.PERCENTRANK.INC($S$6:$S$39,S14)&gt;=1-'02_의사결정·종합결과'!$B$11-'02_의사결정·종합결과'!$C$11,"A",IF(_xludf.PERCENTRANK.INC($S$6:$S$39,S14)&gt;='02_의사결정·종합결과'!$E$11+'02_의사결정·종합결과'!$F$11,"B",IF(_xludf.PERCENTRANK.INC($S$6:$S$39,S14)&gt;='02_의사결정·종합결과'!$F$11,"C","D"))))),""))</f>
        <v>D</v>
      </c>
    </row>
    <row r="15" spans="1:21" x14ac:dyDescent="0.6">
      <c r="A15" s="15">
        <f>'01_인적정보'!A14</f>
        <v>10</v>
      </c>
      <c r="B15" s="15" t="str">
        <f>'01_인적정보'!B14</f>
        <v>BSS-010</v>
      </c>
      <c r="C15" s="15" t="str">
        <f>'01_인적정보'!C14</f>
        <v>신재민</v>
      </c>
      <c r="D15" s="15" t="str">
        <f>'01_인적정보'!D14</f>
        <v>설계</v>
      </c>
      <c r="E15" s="15" t="str">
        <f>'01_인적정보'!E14</f>
        <v>BIM컨설팅</v>
      </c>
      <c r="F15" s="15" t="str">
        <f>'01_인적정보'!H14</f>
        <v>G5</v>
      </c>
      <c r="G15" s="15">
        <f>'04_역할평가'!O22</f>
        <v>0</v>
      </c>
      <c r="H15" s="15">
        <f>'04_역할평가'!O60</f>
        <v>0</v>
      </c>
      <c r="I15" s="24">
        <f>IF(OR(G15="",H15=""),"",(IF(G15="S",5,IF(G15="A",4,IF(G15="B",3,IF(G15="C",2,IF(G15="D",1,0))))))*'02_의사결정·종합결과'!$B$7+(IF(H15="S",5,IF(H15="A",4,IF(H15="B",3,IF(H15="C",2,IF(H15="D",1,0))))))*'02_의사결정·종합결과'!$B$8)</f>
        <v>0</v>
      </c>
      <c r="J15" s="15" t="str">
        <f>'05_공통역량평가'!Q15</f>
        <v>D</v>
      </c>
      <c r="K15" s="15" t="str">
        <f>'05_공통역량평가'!Q53</f>
        <v>D</v>
      </c>
      <c r="L15" s="24">
        <f>IF(OR(J15="",K15=""),"",(IF(J15="S",5,IF(J15="A",4,IF(J15="B",3,IF(J15="C",2,IF(J15="D",1,0))))))*'02_의사결정·종합결과'!$B$7+(IF(K15="S",5,IF(K15="A",4,IF(K15="B",3,IF(K15="C",2,IF(K15="D",1,0))))))*'02_의사결정·종합결과'!$B$8)</f>
        <v>1</v>
      </c>
      <c r="M15" s="15">
        <f>'06_직무역량평가'!J15</f>
        <v>0</v>
      </c>
      <c r="N15" s="15">
        <f>'06_직무역량평가'!J53</f>
        <v>0</v>
      </c>
      <c r="O15" s="24">
        <f>IF(OR(M15="",N15=""),"",(IF(M15="S",5,IF(M15="A",4,IF(M15="B",3,IF(M15="C",2,IF(M15="D",1,0))))))*'02_의사결정·종합결과'!$B$7+(IF(N15="S",5,IF(N15="A",4,IF(N15="B",3,IF(N15="C",2,IF(N15="D",1,0))))))*'02_의사결정·종합결과'!$B$8)</f>
        <v>0</v>
      </c>
      <c r="P15" s="18">
        <f>IFERROR(VLOOKUP(IF(LEFT(F15,2)="G5","G5",F15),'02_의사결정·종합결과'!$A$15:$D$20,2,FALSE),0)</f>
        <v>0.35</v>
      </c>
      <c r="Q15" s="18">
        <f>IFERROR(VLOOKUP(IF(LEFT(F15,2)="G5","G5",F15),'02_의사결정·종합결과'!$A$15:$D$20,3,FALSE),0)</f>
        <v>0.3</v>
      </c>
      <c r="R15" s="18">
        <f>IFERROR(VLOOKUP(IF(LEFT(F15,2)="G5","G5",F15),'02_의사결정·종합결과'!$A$15:$D$20,4,FALSE),0)</f>
        <v>0.35</v>
      </c>
      <c r="S15" s="24">
        <f t="shared" si="0"/>
        <v>0.3</v>
      </c>
      <c r="T15" s="15" t="str">
        <f t="shared" si="1"/>
        <v>D</v>
      </c>
      <c r="U15" s="26" t="str">
        <f>IF('02_의사결정·종합결과'!$B$6="절대평가",T15,IFERROR(IF(S15="","",IF(_xludf.PERCENTRANK.INC($S$6:$S$39,S15)&gt;=1-'02_의사결정·종합결과'!$B$11,"S",IF(_xludf.PERCENTRANK.INC($S$6:$S$39,S15)&gt;=1-'02_의사결정·종합결과'!$B$11-'02_의사결정·종합결과'!$C$11,"A",IF(_xludf.PERCENTRANK.INC($S$6:$S$39,S15)&gt;='02_의사결정·종합결과'!$E$11+'02_의사결정·종합결과'!$F$11,"B",IF(_xludf.PERCENTRANK.INC($S$6:$S$39,S15)&gt;='02_의사결정·종합결과'!$F$11,"C","D"))))),""))</f>
        <v>D</v>
      </c>
    </row>
    <row r="16" spans="1:21" x14ac:dyDescent="0.6">
      <c r="A16" s="15">
        <f>'01_인적정보'!A15</f>
        <v>11</v>
      </c>
      <c r="B16" s="15" t="str">
        <f>'01_인적정보'!B15</f>
        <v>BSS-011</v>
      </c>
      <c r="C16" s="15" t="str">
        <f>'01_인적정보'!C15</f>
        <v>마장엽</v>
      </c>
      <c r="D16" s="15" t="str">
        <f>'01_인적정보'!D15</f>
        <v>설계</v>
      </c>
      <c r="E16" s="15" t="str">
        <f>'01_인적정보'!E15</f>
        <v>BIM컨설팅</v>
      </c>
      <c r="F16" s="15" t="str">
        <f>'01_인적정보'!H15</f>
        <v>G5</v>
      </c>
      <c r="G16" s="15">
        <f>'04_역할평가'!O23</f>
        <v>0</v>
      </c>
      <c r="H16" s="15">
        <f>'04_역할평가'!O61</f>
        <v>0</v>
      </c>
      <c r="I16" s="24">
        <f>IF(OR(G16="",H16=""),"",(IF(G16="S",5,IF(G16="A",4,IF(G16="B",3,IF(G16="C",2,IF(G16="D",1,0))))))*'02_의사결정·종합결과'!$B$7+(IF(H16="S",5,IF(H16="A",4,IF(H16="B",3,IF(H16="C",2,IF(H16="D",1,0))))))*'02_의사결정·종합결과'!$B$8)</f>
        <v>0</v>
      </c>
      <c r="J16" s="15" t="str">
        <f>'05_공통역량평가'!Q16</f>
        <v>D</v>
      </c>
      <c r="K16" s="15" t="str">
        <f>'05_공통역량평가'!Q54</f>
        <v>D</v>
      </c>
      <c r="L16" s="24">
        <f>IF(OR(J16="",K16=""),"",(IF(J16="S",5,IF(J16="A",4,IF(J16="B",3,IF(J16="C",2,IF(J16="D",1,0))))))*'02_의사결정·종합결과'!$B$7+(IF(K16="S",5,IF(K16="A",4,IF(K16="B",3,IF(K16="C",2,IF(K16="D",1,0))))))*'02_의사결정·종합결과'!$B$8)</f>
        <v>1</v>
      </c>
      <c r="M16" s="15">
        <f>'06_직무역량평가'!J16</f>
        <v>0</v>
      </c>
      <c r="N16" s="15">
        <f>'06_직무역량평가'!J54</f>
        <v>0</v>
      </c>
      <c r="O16" s="24">
        <f>IF(OR(M16="",N16=""),"",(IF(M16="S",5,IF(M16="A",4,IF(M16="B",3,IF(M16="C",2,IF(M16="D",1,0))))))*'02_의사결정·종합결과'!$B$7+(IF(N16="S",5,IF(N16="A",4,IF(N16="B",3,IF(N16="C",2,IF(N16="D",1,0))))))*'02_의사결정·종합결과'!$B$8)</f>
        <v>0</v>
      </c>
      <c r="P16" s="18">
        <f>IFERROR(VLOOKUP(IF(LEFT(F16,2)="G5","G5",F16),'02_의사결정·종합결과'!$A$15:$D$20,2,FALSE),0)</f>
        <v>0.35</v>
      </c>
      <c r="Q16" s="18">
        <f>IFERROR(VLOOKUP(IF(LEFT(F16,2)="G5","G5",F16),'02_의사결정·종합결과'!$A$15:$D$20,3,FALSE),0)</f>
        <v>0.3</v>
      </c>
      <c r="R16" s="18">
        <f>IFERROR(VLOOKUP(IF(LEFT(F16,2)="G5","G5",F16),'02_의사결정·종합결과'!$A$15:$D$20,4,FALSE),0)</f>
        <v>0.35</v>
      </c>
      <c r="S16" s="24">
        <f t="shared" si="0"/>
        <v>0.3</v>
      </c>
      <c r="T16" s="15" t="str">
        <f t="shared" si="1"/>
        <v>D</v>
      </c>
      <c r="U16" s="26" t="str">
        <f>IF('02_의사결정·종합결과'!$B$6="절대평가",T16,IFERROR(IF(S16="","",IF(_xludf.PERCENTRANK.INC($S$6:$S$39,S16)&gt;=1-'02_의사결정·종합결과'!$B$11,"S",IF(_xludf.PERCENTRANK.INC($S$6:$S$39,S16)&gt;=1-'02_의사결정·종합결과'!$B$11-'02_의사결정·종합결과'!$C$11,"A",IF(_xludf.PERCENTRANK.INC($S$6:$S$39,S16)&gt;='02_의사결정·종합결과'!$E$11+'02_의사결정·종합결과'!$F$11,"B",IF(_xludf.PERCENTRANK.INC($S$6:$S$39,S16)&gt;='02_의사결정·종합결과'!$F$11,"C","D"))))),""))</f>
        <v>D</v>
      </c>
    </row>
    <row r="17" spans="1:21" x14ac:dyDescent="0.6">
      <c r="A17" s="15">
        <f>'01_인적정보'!A16</f>
        <v>12</v>
      </c>
      <c r="B17" s="15" t="str">
        <f>'01_인적정보'!B16</f>
        <v>BSS-012</v>
      </c>
      <c r="C17" s="15" t="str">
        <f>'01_인적정보'!C16</f>
        <v>하은주</v>
      </c>
      <c r="D17" s="15" t="str">
        <f>'01_인적정보'!D16</f>
        <v>경영관리</v>
      </c>
      <c r="E17" s="15" t="str">
        <f>'01_인적정보'!E16</f>
        <v>경영전략기획</v>
      </c>
      <c r="F17" s="15" t="str">
        <f>'01_인적정보'!H16</f>
        <v>G5</v>
      </c>
      <c r="G17" s="15">
        <f>'04_역할평가'!O24</f>
        <v>0</v>
      </c>
      <c r="H17" s="15">
        <f>'04_역할평가'!O62</f>
        <v>0</v>
      </c>
      <c r="I17" s="24">
        <f>IF(OR(G17="",H17=""),"",(IF(G17="S",5,IF(G17="A",4,IF(G17="B",3,IF(G17="C",2,IF(G17="D",1,0))))))*'02_의사결정·종합결과'!$B$7+(IF(H17="S",5,IF(H17="A",4,IF(H17="B",3,IF(H17="C",2,IF(H17="D",1,0))))))*'02_의사결정·종합결과'!$B$8)</f>
        <v>0</v>
      </c>
      <c r="J17" s="15" t="str">
        <f>'05_공통역량평가'!Q17</f>
        <v>D</v>
      </c>
      <c r="K17" s="15" t="str">
        <f>'05_공통역량평가'!Q55</f>
        <v>D</v>
      </c>
      <c r="L17" s="24">
        <f>IF(OR(J17="",K17=""),"",(IF(J17="S",5,IF(J17="A",4,IF(J17="B",3,IF(J17="C",2,IF(J17="D",1,0))))))*'02_의사결정·종합결과'!$B$7+(IF(K17="S",5,IF(K17="A",4,IF(K17="B",3,IF(K17="C",2,IF(K17="D",1,0))))))*'02_의사결정·종합결과'!$B$8)</f>
        <v>1</v>
      </c>
      <c r="M17" s="15">
        <f>'06_직무역량평가'!J17</f>
        <v>0</v>
      </c>
      <c r="N17" s="15">
        <f>'06_직무역량평가'!J55</f>
        <v>0</v>
      </c>
      <c r="O17" s="24">
        <f>IF(OR(M17="",N17=""),"",(IF(M17="S",5,IF(M17="A",4,IF(M17="B",3,IF(M17="C",2,IF(M17="D",1,0))))))*'02_의사결정·종합결과'!$B$7+(IF(N17="S",5,IF(N17="A",4,IF(N17="B",3,IF(N17="C",2,IF(N17="D",1,0))))))*'02_의사결정·종합결과'!$B$8)</f>
        <v>0</v>
      </c>
      <c r="P17" s="18">
        <f>IFERROR(VLOOKUP(IF(LEFT(F17,2)="G5","G5",F17),'02_의사결정·종합결과'!$A$15:$D$20,2,FALSE),0)</f>
        <v>0.35</v>
      </c>
      <c r="Q17" s="18">
        <f>IFERROR(VLOOKUP(IF(LEFT(F17,2)="G5","G5",F17),'02_의사결정·종합결과'!$A$15:$D$20,3,FALSE),0)</f>
        <v>0.3</v>
      </c>
      <c r="R17" s="18">
        <f>IFERROR(VLOOKUP(IF(LEFT(F17,2)="G5","G5",F17),'02_의사결정·종합결과'!$A$15:$D$20,4,FALSE),0)</f>
        <v>0.35</v>
      </c>
      <c r="S17" s="24">
        <f t="shared" si="0"/>
        <v>0.3</v>
      </c>
      <c r="T17" s="15" t="str">
        <f t="shared" si="1"/>
        <v>D</v>
      </c>
      <c r="U17" s="26" t="str">
        <f>IF('02_의사결정·종합결과'!$B$6="절대평가",T17,IFERROR(IF(S17="","",IF(_xludf.PERCENTRANK.INC($S$6:$S$39,S17)&gt;=1-'02_의사결정·종합결과'!$B$11,"S",IF(_xludf.PERCENTRANK.INC($S$6:$S$39,S17)&gt;=1-'02_의사결정·종합결과'!$B$11-'02_의사결정·종합결과'!$C$11,"A",IF(_xludf.PERCENTRANK.INC($S$6:$S$39,S17)&gt;='02_의사결정·종합결과'!$E$11+'02_의사결정·종합결과'!$F$11,"B",IF(_xludf.PERCENTRANK.INC($S$6:$S$39,S17)&gt;='02_의사결정·종합결과'!$F$11,"C","D"))))),""))</f>
        <v>D</v>
      </c>
    </row>
    <row r="18" spans="1:21" x14ac:dyDescent="0.6">
      <c r="A18" s="15">
        <f>'01_인적정보'!A17</f>
        <v>13</v>
      </c>
      <c r="B18" s="15" t="str">
        <f>'01_인적정보'!B17</f>
        <v>BSS-013</v>
      </c>
      <c r="C18" s="15" t="str">
        <f>'01_인적정보'!C17</f>
        <v>홍사훈</v>
      </c>
      <c r="D18" s="15" t="str">
        <f>'01_인적정보'!D17</f>
        <v>설계</v>
      </c>
      <c r="E18" s="15" t="str">
        <f>'01_인적정보'!E17</f>
        <v>BIM컨설팅</v>
      </c>
      <c r="F18" s="15" t="str">
        <f>'01_인적정보'!H17</f>
        <v>G5</v>
      </c>
      <c r="G18" s="15">
        <f>'04_역할평가'!O25</f>
        <v>0</v>
      </c>
      <c r="H18" s="15">
        <f>'04_역할평가'!O63</f>
        <v>0</v>
      </c>
      <c r="I18" s="24">
        <f>IF(OR(G18="",H18=""),"",(IF(G18="S",5,IF(G18="A",4,IF(G18="B",3,IF(G18="C",2,IF(G18="D",1,0))))))*'02_의사결정·종합결과'!$B$7+(IF(H18="S",5,IF(H18="A",4,IF(H18="B",3,IF(H18="C",2,IF(H18="D",1,0))))))*'02_의사결정·종합결과'!$B$8)</f>
        <v>0</v>
      </c>
      <c r="J18" s="15" t="str">
        <f>'05_공통역량평가'!Q18</f>
        <v>D</v>
      </c>
      <c r="K18" s="15" t="str">
        <f>'05_공통역량평가'!Q56</f>
        <v>D</v>
      </c>
      <c r="L18" s="24">
        <f>IF(OR(J18="",K18=""),"",(IF(J18="S",5,IF(J18="A",4,IF(J18="B",3,IF(J18="C",2,IF(J18="D",1,0))))))*'02_의사결정·종합결과'!$B$7+(IF(K18="S",5,IF(K18="A",4,IF(K18="B",3,IF(K18="C",2,IF(K18="D",1,0))))))*'02_의사결정·종합결과'!$B$8)</f>
        <v>1</v>
      </c>
      <c r="M18" s="15">
        <f>'06_직무역량평가'!J18</f>
        <v>0</v>
      </c>
      <c r="N18" s="15">
        <f>'06_직무역량평가'!J56</f>
        <v>0</v>
      </c>
      <c r="O18" s="24">
        <f>IF(OR(M18="",N18=""),"",(IF(M18="S",5,IF(M18="A",4,IF(M18="B",3,IF(M18="C",2,IF(M18="D",1,0))))))*'02_의사결정·종합결과'!$B$7+(IF(N18="S",5,IF(N18="A",4,IF(N18="B",3,IF(N18="C",2,IF(N18="D",1,0))))))*'02_의사결정·종합결과'!$B$8)</f>
        <v>0</v>
      </c>
      <c r="P18" s="18">
        <f>IFERROR(VLOOKUP(IF(LEFT(F18,2)="G5","G5",F18),'02_의사결정·종합결과'!$A$15:$D$20,2,FALSE),0)</f>
        <v>0.35</v>
      </c>
      <c r="Q18" s="18">
        <f>IFERROR(VLOOKUP(IF(LEFT(F18,2)="G5","G5",F18),'02_의사결정·종합결과'!$A$15:$D$20,3,FALSE),0)</f>
        <v>0.3</v>
      </c>
      <c r="R18" s="18">
        <f>IFERROR(VLOOKUP(IF(LEFT(F18,2)="G5","G5",F18),'02_의사결정·종합결과'!$A$15:$D$20,4,FALSE),0)</f>
        <v>0.35</v>
      </c>
      <c r="S18" s="24">
        <f t="shared" si="0"/>
        <v>0.3</v>
      </c>
      <c r="T18" s="15" t="str">
        <f t="shared" si="1"/>
        <v>D</v>
      </c>
      <c r="U18" s="26" t="str">
        <f>IF('02_의사결정·종합결과'!$B$6="절대평가",T18,IFERROR(IF(S18="","",IF(_xludf.PERCENTRANK.INC($S$6:$S$39,S18)&gt;=1-'02_의사결정·종합결과'!$B$11,"S",IF(_xludf.PERCENTRANK.INC($S$6:$S$39,S18)&gt;=1-'02_의사결정·종합결과'!$B$11-'02_의사결정·종합결과'!$C$11,"A",IF(_xludf.PERCENTRANK.INC($S$6:$S$39,S18)&gt;='02_의사결정·종합결과'!$E$11+'02_의사결정·종합결과'!$F$11,"B",IF(_xludf.PERCENTRANK.INC($S$6:$S$39,S18)&gt;='02_의사결정·종합결과'!$F$11,"C","D"))))),""))</f>
        <v>D</v>
      </c>
    </row>
    <row r="19" spans="1:21" x14ac:dyDescent="0.6">
      <c r="A19" s="15">
        <f>'01_인적정보'!A18</f>
        <v>14</v>
      </c>
      <c r="B19" s="15" t="str">
        <f>'01_인적정보'!B18</f>
        <v>BSS-014</v>
      </c>
      <c r="C19" s="15" t="str">
        <f>'01_인적정보'!C18</f>
        <v>유자영</v>
      </c>
      <c r="D19" s="15" t="str">
        <f>'01_인적정보'!D18</f>
        <v>설계</v>
      </c>
      <c r="E19" s="15" t="str">
        <f>'01_인적정보'!E18</f>
        <v>BIM컨설팅</v>
      </c>
      <c r="F19" s="15" t="str">
        <f>'01_인적정보'!H18</f>
        <v>G5</v>
      </c>
      <c r="G19" s="15">
        <f>'04_역할평가'!O26</f>
        <v>0</v>
      </c>
      <c r="H19" s="15">
        <f>'04_역할평가'!O64</f>
        <v>0</v>
      </c>
      <c r="I19" s="24">
        <f>IF(OR(G19="",H19=""),"",(IF(G19="S",5,IF(G19="A",4,IF(G19="B",3,IF(G19="C",2,IF(G19="D",1,0))))))*'02_의사결정·종합결과'!$B$7+(IF(H19="S",5,IF(H19="A",4,IF(H19="B",3,IF(H19="C",2,IF(H19="D",1,0))))))*'02_의사결정·종합결과'!$B$8)</f>
        <v>0</v>
      </c>
      <c r="J19" s="15" t="str">
        <f>'05_공통역량평가'!Q19</f>
        <v>D</v>
      </c>
      <c r="K19" s="15" t="str">
        <f>'05_공통역량평가'!Q57</f>
        <v>D</v>
      </c>
      <c r="L19" s="24">
        <f>IF(OR(J19="",K19=""),"",(IF(J19="S",5,IF(J19="A",4,IF(J19="B",3,IF(J19="C",2,IF(J19="D",1,0))))))*'02_의사결정·종합결과'!$B$7+(IF(K19="S",5,IF(K19="A",4,IF(K19="B",3,IF(K19="C",2,IF(K19="D",1,0))))))*'02_의사결정·종합결과'!$B$8)</f>
        <v>1</v>
      </c>
      <c r="M19" s="15">
        <f>'06_직무역량평가'!J19</f>
        <v>0</v>
      </c>
      <c r="N19" s="15">
        <f>'06_직무역량평가'!J57</f>
        <v>0</v>
      </c>
      <c r="O19" s="24">
        <f>IF(OR(M19="",N19=""),"",(IF(M19="S",5,IF(M19="A",4,IF(M19="B",3,IF(M19="C",2,IF(M19="D",1,0))))))*'02_의사결정·종합결과'!$B$7+(IF(N19="S",5,IF(N19="A",4,IF(N19="B",3,IF(N19="C",2,IF(N19="D",1,0))))))*'02_의사결정·종합결과'!$B$8)</f>
        <v>0</v>
      </c>
      <c r="P19" s="18">
        <f>IFERROR(VLOOKUP(IF(LEFT(F19,2)="G5","G5",F19),'02_의사결정·종합결과'!$A$15:$D$20,2,FALSE),0)</f>
        <v>0.35</v>
      </c>
      <c r="Q19" s="18">
        <f>IFERROR(VLOOKUP(IF(LEFT(F19,2)="G5","G5",F19),'02_의사결정·종합결과'!$A$15:$D$20,3,FALSE),0)</f>
        <v>0.3</v>
      </c>
      <c r="R19" s="18">
        <f>IFERROR(VLOOKUP(IF(LEFT(F19,2)="G5","G5",F19),'02_의사결정·종합결과'!$A$15:$D$20,4,FALSE),0)</f>
        <v>0.35</v>
      </c>
      <c r="S19" s="24">
        <f t="shared" si="0"/>
        <v>0.3</v>
      </c>
      <c r="T19" s="15" t="str">
        <f t="shared" si="1"/>
        <v>D</v>
      </c>
      <c r="U19" s="26" t="str">
        <f>IF('02_의사결정·종합결과'!$B$6="절대평가",T19,IFERROR(IF(S19="","",IF(_xludf.PERCENTRANK.INC($S$6:$S$39,S19)&gt;=1-'02_의사결정·종합결과'!$B$11,"S",IF(_xludf.PERCENTRANK.INC($S$6:$S$39,S19)&gt;=1-'02_의사결정·종합결과'!$B$11-'02_의사결정·종합결과'!$C$11,"A",IF(_xludf.PERCENTRANK.INC($S$6:$S$39,S19)&gt;='02_의사결정·종합결과'!$E$11+'02_의사결정·종합결과'!$F$11,"B",IF(_xludf.PERCENTRANK.INC($S$6:$S$39,S19)&gt;='02_의사결정·종합결과'!$F$11,"C","D"))))),""))</f>
        <v>D</v>
      </c>
    </row>
    <row r="20" spans="1:21" x14ac:dyDescent="0.6">
      <c r="A20" s="15">
        <f>'01_인적정보'!A19</f>
        <v>15</v>
      </c>
      <c r="B20" s="15" t="str">
        <f>'01_인적정보'!B19</f>
        <v>BSS-015</v>
      </c>
      <c r="C20" s="15" t="str">
        <f>'01_인적정보'!C19</f>
        <v>민지선</v>
      </c>
      <c r="D20" s="15" t="str">
        <f>'01_인적정보'!D19</f>
        <v>설계</v>
      </c>
      <c r="E20" s="15" t="str">
        <f>'01_인적정보'!E19</f>
        <v>BIM컨설팅</v>
      </c>
      <c r="F20" s="15" t="str">
        <f>'01_인적정보'!H19</f>
        <v>G5</v>
      </c>
      <c r="G20" s="15">
        <f>'04_역할평가'!O27</f>
        <v>0</v>
      </c>
      <c r="H20" s="15">
        <f>'04_역할평가'!O65</f>
        <v>0</v>
      </c>
      <c r="I20" s="24">
        <f>IF(OR(G20="",H20=""),"",(IF(G20="S",5,IF(G20="A",4,IF(G20="B",3,IF(G20="C",2,IF(G20="D",1,0))))))*'02_의사결정·종합결과'!$B$7+(IF(H20="S",5,IF(H20="A",4,IF(H20="B",3,IF(H20="C",2,IF(H20="D",1,0))))))*'02_의사결정·종합결과'!$B$8)</f>
        <v>0</v>
      </c>
      <c r="J20" s="15" t="str">
        <f>'05_공통역량평가'!Q20</f>
        <v>D</v>
      </c>
      <c r="K20" s="15" t="str">
        <f>'05_공통역량평가'!Q58</f>
        <v>D</v>
      </c>
      <c r="L20" s="24">
        <f>IF(OR(J20="",K20=""),"",(IF(J20="S",5,IF(J20="A",4,IF(J20="B",3,IF(J20="C",2,IF(J20="D",1,0))))))*'02_의사결정·종합결과'!$B$7+(IF(K20="S",5,IF(K20="A",4,IF(K20="B",3,IF(K20="C",2,IF(K20="D",1,0))))))*'02_의사결정·종합결과'!$B$8)</f>
        <v>1</v>
      </c>
      <c r="M20" s="15">
        <f>'06_직무역량평가'!J20</f>
        <v>0</v>
      </c>
      <c r="N20" s="15">
        <f>'06_직무역량평가'!J58</f>
        <v>0</v>
      </c>
      <c r="O20" s="24">
        <f>IF(OR(M20="",N20=""),"",(IF(M20="S",5,IF(M20="A",4,IF(M20="B",3,IF(M20="C",2,IF(M20="D",1,0))))))*'02_의사결정·종합결과'!$B$7+(IF(N20="S",5,IF(N20="A",4,IF(N20="B",3,IF(N20="C",2,IF(N20="D",1,0))))))*'02_의사결정·종합결과'!$B$8)</f>
        <v>0</v>
      </c>
      <c r="P20" s="18">
        <f>IFERROR(VLOOKUP(IF(LEFT(F20,2)="G5","G5",F20),'02_의사결정·종합결과'!$A$15:$D$20,2,FALSE),0)</f>
        <v>0.35</v>
      </c>
      <c r="Q20" s="18">
        <f>IFERROR(VLOOKUP(IF(LEFT(F20,2)="G5","G5",F20),'02_의사결정·종합결과'!$A$15:$D$20,3,FALSE),0)</f>
        <v>0.3</v>
      </c>
      <c r="R20" s="18">
        <f>IFERROR(VLOOKUP(IF(LEFT(F20,2)="G5","G5",F20),'02_의사결정·종합결과'!$A$15:$D$20,4,FALSE),0)</f>
        <v>0.35</v>
      </c>
      <c r="S20" s="24">
        <f t="shared" si="0"/>
        <v>0.3</v>
      </c>
      <c r="T20" s="15" t="str">
        <f t="shared" si="1"/>
        <v>D</v>
      </c>
      <c r="U20" s="26" t="str">
        <f>IF('02_의사결정·종합결과'!$B$6="절대평가",T20,IFERROR(IF(S20="","",IF(_xludf.PERCENTRANK.INC($S$6:$S$39,S20)&gt;=1-'02_의사결정·종합결과'!$B$11,"S",IF(_xludf.PERCENTRANK.INC($S$6:$S$39,S20)&gt;=1-'02_의사결정·종합결과'!$B$11-'02_의사결정·종합결과'!$C$11,"A",IF(_xludf.PERCENTRANK.INC($S$6:$S$39,S20)&gt;='02_의사결정·종합결과'!$E$11+'02_의사결정·종합결과'!$F$11,"B",IF(_xludf.PERCENTRANK.INC($S$6:$S$39,S20)&gt;='02_의사결정·종합결과'!$F$11,"C","D"))))),""))</f>
        <v>D</v>
      </c>
    </row>
    <row r="21" spans="1:21" x14ac:dyDescent="0.6">
      <c r="A21" s="15">
        <f>'01_인적정보'!A20</f>
        <v>16</v>
      </c>
      <c r="B21" s="15" t="str">
        <f>'01_인적정보'!B20</f>
        <v>BSS-016</v>
      </c>
      <c r="C21" s="15" t="str">
        <f>'01_인적정보'!C20</f>
        <v>장훈</v>
      </c>
      <c r="D21" s="15" t="str">
        <f>'01_인적정보'!D20</f>
        <v>설계</v>
      </c>
      <c r="E21" s="15" t="str">
        <f>'01_인적정보'!E20</f>
        <v>BIM컨설팅</v>
      </c>
      <c r="F21" s="15" t="str">
        <f>'01_인적정보'!H20</f>
        <v>G5</v>
      </c>
      <c r="G21" s="15">
        <f>'04_역할평가'!O28</f>
        <v>0</v>
      </c>
      <c r="H21" s="15">
        <f>'04_역할평가'!O66</f>
        <v>0</v>
      </c>
      <c r="I21" s="24">
        <f>IF(OR(G21="",H21=""),"",(IF(G21="S",5,IF(G21="A",4,IF(G21="B",3,IF(G21="C",2,IF(G21="D",1,0))))))*'02_의사결정·종합결과'!$B$7+(IF(H21="S",5,IF(H21="A",4,IF(H21="B",3,IF(H21="C",2,IF(H21="D",1,0))))))*'02_의사결정·종합결과'!$B$8)</f>
        <v>0</v>
      </c>
      <c r="J21" s="15" t="str">
        <f>'05_공통역량평가'!Q21</f>
        <v>D</v>
      </c>
      <c r="K21" s="15" t="str">
        <f>'05_공통역량평가'!Q59</f>
        <v>D</v>
      </c>
      <c r="L21" s="24">
        <f>IF(OR(J21="",K21=""),"",(IF(J21="S",5,IF(J21="A",4,IF(J21="B",3,IF(J21="C",2,IF(J21="D",1,0))))))*'02_의사결정·종합결과'!$B$7+(IF(K21="S",5,IF(K21="A",4,IF(K21="B",3,IF(K21="C",2,IF(K21="D",1,0))))))*'02_의사결정·종합결과'!$B$8)</f>
        <v>1</v>
      </c>
      <c r="M21" s="15">
        <f>'06_직무역량평가'!J21</f>
        <v>0</v>
      </c>
      <c r="N21" s="15">
        <f>'06_직무역량평가'!J59</f>
        <v>0</v>
      </c>
      <c r="O21" s="24">
        <f>IF(OR(M21="",N21=""),"",(IF(M21="S",5,IF(M21="A",4,IF(M21="B",3,IF(M21="C",2,IF(M21="D",1,0))))))*'02_의사결정·종합결과'!$B$7+(IF(N21="S",5,IF(N21="A",4,IF(N21="B",3,IF(N21="C",2,IF(N21="D",1,0))))))*'02_의사결정·종합결과'!$B$8)</f>
        <v>0</v>
      </c>
      <c r="P21" s="18">
        <f>IFERROR(VLOOKUP(IF(LEFT(F21,2)="G5","G5",F21),'02_의사결정·종합결과'!$A$15:$D$20,2,FALSE),0)</f>
        <v>0.35</v>
      </c>
      <c r="Q21" s="18">
        <f>IFERROR(VLOOKUP(IF(LEFT(F21,2)="G5","G5",F21),'02_의사결정·종합결과'!$A$15:$D$20,3,FALSE),0)</f>
        <v>0.3</v>
      </c>
      <c r="R21" s="18">
        <f>IFERROR(VLOOKUP(IF(LEFT(F21,2)="G5","G5",F21),'02_의사결정·종합결과'!$A$15:$D$20,4,FALSE),0)</f>
        <v>0.35</v>
      </c>
      <c r="S21" s="24">
        <f t="shared" si="0"/>
        <v>0.3</v>
      </c>
      <c r="T21" s="15" t="str">
        <f t="shared" si="1"/>
        <v>D</v>
      </c>
      <c r="U21" s="26" t="str">
        <f>IF('02_의사결정·종합결과'!$B$6="절대평가",T21,IFERROR(IF(S21="","",IF(_xludf.PERCENTRANK.INC($S$6:$S$39,S21)&gt;=1-'02_의사결정·종합결과'!$B$11,"S",IF(_xludf.PERCENTRANK.INC($S$6:$S$39,S21)&gt;=1-'02_의사결정·종합결과'!$B$11-'02_의사결정·종합결과'!$C$11,"A",IF(_xludf.PERCENTRANK.INC($S$6:$S$39,S21)&gt;='02_의사결정·종합결과'!$E$11+'02_의사결정·종합결과'!$F$11,"B",IF(_xludf.PERCENTRANK.INC($S$6:$S$39,S21)&gt;='02_의사결정·종합결과'!$F$11,"C","D"))))),""))</f>
        <v>D</v>
      </c>
    </row>
    <row r="22" spans="1:21" x14ac:dyDescent="0.6">
      <c r="A22" s="15">
        <f>'01_인적정보'!A21</f>
        <v>17</v>
      </c>
      <c r="B22" s="15" t="str">
        <f>'01_인적정보'!B21</f>
        <v>BSS-017</v>
      </c>
      <c r="C22" s="15" t="str">
        <f>'01_인적정보'!C21</f>
        <v>김우람</v>
      </c>
      <c r="D22" s="15" t="str">
        <f>'01_인적정보'!D21</f>
        <v>교육 및 기술지원</v>
      </c>
      <c r="E22" s="15" t="str">
        <f>'01_인적정보'!E21</f>
        <v>교육·기술지원</v>
      </c>
      <c r="F22" s="15" t="str">
        <f>'01_인적정보'!H21</f>
        <v>G4</v>
      </c>
      <c r="G22" s="15">
        <f>'04_역할평가'!O29</f>
        <v>0</v>
      </c>
      <c r="H22" s="15">
        <f>'04_역할평가'!O67</f>
        <v>0</v>
      </c>
      <c r="I22" s="24">
        <f>IF(OR(G22="",H22=""),"",(IF(G22="S",5,IF(G22="A",4,IF(G22="B",3,IF(G22="C",2,IF(G22="D",1,0))))))*'02_의사결정·종합결과'!$B$7+(IF(H22="S",5,IF(H22="A",4,IF(H22="B",3,IF(H22="C",2,IF(H22="D",1,0))))))*'02_의사결정·종합결과'!$B$8)</f>
        <v>0</v>
      </c>
      <c r="J22" s="15" t="str">
        <f>'05_공통역량평가'!Q22</f>
        <v>D</v>
      </c>
      <c r="K22" s="15" t="str">
        <f>'05_공통역량평가'!Q60</f>
        <v>D</v>
      </c>
      <c r="L22" s="24">
        <f>IF(OR(J22="",K22=""),"",(IF(J22="S",5,IF(J22="A",4,IF(J22="B",3,IF(J22="C",2,IF(J22="D",1,0))))))*'02_의사결정·종합결과'!$B$7+(IF(K22="S",5,IF(K22="A",4,IF(K22="B",3,IF(K22="C",2,IF(K22="D",1,0))))))*'02_의사결정·종합결과'!$B$8)</f>
        <v>1</v>
      </c>
      <c r="M22" s="15">
        <f>'06_직무역량평가'!J22</f>
        <v>0</v>
      </c>
      <c r="N22" s="15">
        <f>'06_직무역량평가'!J60</f>
        <v>0</v>
      </c>
      <c r="O22" s="24">
        <f>IF(OR(M22="",N22=""),"",(IF(M22="S",5,IF(M22="A",4,IF(M22="B",3,IF(M22="C",2,IF(M22="D",1,0))))))*'02_의사결정·종합결과'!$B$7+(IF(N22="S",5,IF(N22="A",4,IF(N22="B",3,IF(N22="C",2,IF(N22="D",1,0))))))*'02_의사결정·종합결과'!$B$8)</f>
        <v>0</v>
      </c>
      <c r="P22" s="18">
        <f>IFERROR(VLOOKUP(IF(LEFT(F22,2)="G5","G5",F22),'02_의사결정·종합결과'!$A$15:$D$20,2,FALSE),0)</f>
        <v>0.3</v>
      </c>
      <c r="Q22" s="18">
        <f>IFERROR(VLOOKUP(IF(LEFT(F22,2)="G5","G5",F22),'02_의사결정·종합결과'!$A$15:$D$20,3,FALSE),0)</f>
        <v>0.3</v>
      </c>
      <c r="R22" s="18">
        <f>IFERROR(VLOOKUP(IF(LEFT(F22,2)="G5","G5",F22),'02_의사결정·종합결과'!$A$15:$D$20,4,FALSE),0)</f>
        <v>0.4</v>
      </c>
      <c r="S22" s="24">
        <f t="shared" si="0"/>
        <v>0.3</v>
      </c>
      <c r="T22" s="15" t="str">
        <f t="shared" si="1"/>
        <v>D</v>
      </c>
      <c r="U22" s="26" t="str">
        <f>IF('02_의사결정·종합결과'!$B$6="절대평가",T22,IFERROR(IF(S22="","",IF(_xludf.PERCENTRANK.INC($S$6:$S$39,S22)&gt;=1-'02_의사결정·종합결과'!$B$11,"S",IF(_xludf.PERCENTRANK.INC($S$6:$S$39,S22)&gt;=1-'02_의사결정·종합결과'!$B$11-'02_의사결정·종합결과'!$C$11,"A",IF(_xludf.PERCENTRANK.INC($S$6:$S$39,S22)&gt;='02_의사결정·종합결과'!$E$11+'02_의사결정·종합결과'!$F$11,"B",IF(_xludf.PERCENTRANK.INC($S$6:$S$39,S22)&gt;='02_의사결정·종합결과'!$F$11,"C","D"))))),""))</f>
        <v>D</v>
      </c>
    </row>
    <row r="23" spans="1:21" x14ac:dyDescent="0.6">
      <c r="A23" s="15">
        <f>'01_인적정보'!A22</f>
        <v>18</v>
      </c>
      <c r="B23" s="15" t="str">
        <f>'01_인적정보'!B22</f>
        <v>BSS-018</v>
      </c>
      <c r="C23" s="15" t="str">
        <f>'01_인적정보'!C22</f>
        <v>조성준</v>
      </c>
      <c r="D23" s="15" t="str">
        <f>'01_인적정보'!D22</f>
        <v>설계</v>
      </c>
      <c r="E23" s="15" t="str">
        <f>'01_인적정보'!E22</f>
        <v>BIM컨설팅</v>
      </c>
      <c r="F23" s="15" t="str">
        <f>'01_인적정보'!H22</f>
        <v>G4</v>
      </c>
      <c r="G23" s="15">
        <f>'04_역할평가'!O30</f>
        <v>0</v>
      </c>
      <c r="H23" s="15">
        <f>'04_역할평가'!O68</f>
        <v>0</v>
      </c>
      <c r="I23" s="24">
        <f>IF(OR(G23="",H23=""),"",(IF(G23="S",5,IF(G23="A",4,IF(G23="B",3,IF(G23="C",2,IF(G23="D",1,0))))))*'02_의사결정·종합결과'!$B$7+(IF(H23="S",5,IF(H23="A",4,IF(H23="B",3,IF(H23="C",2,IF(H23="D",1,0))))))*'02_의사결정·종합결과'!$B$8)</f>
        <v>0</v>
      </c>
      <c r="J23" s="15" t="str">
        <f>'05_공통역량평가'!Q23</f>
        <v>D</v>
      </c>
      <c r="K23" s="15" t="str">
        <f>'05_공통역량평가'!Q61</f>
        <v>D</v>
      </c>
      <c r="L23" s="24">
        <f>IF(OR(J23="",K23=""),"",(IF(J23="S",5,IF(J23="A",4,IF(J23="B",3,IF(J23="C",2,IF(J23="D",1,0))))))*'02_의사결정·종합결과'!$B$7+(IF(K23="S",5,IF(K23="A",4,IF(K23="B",3,IF(K23="C",2,IF(K23="D",1,0))))))*'02_의사결정·종합결과'!$B$8)</f>
        <v>1</v>
      </c>
      <c r="M23" s="15">
        <f>'06_직무역량평가'!J23</f>
        <v>0</v>
      </c>
      <c r="N23" s="15">
        <f>'06_직무역량평가'!J61</f>
        <v>0</v>
      </c>
      <c r="O23" s="24">
        <f>IF(OR(M23="",N23=""),"",(IF(M23="S",5,IF(M23="A",4,IF(M23="B",3,IF(M23="C",2,IF(M23="D",1,0))))))*'02_의사결정·종합결과'!$B$7+(IF(N23="S",5,IF(N23="A",4,IF(N23="B",3,IF(N23="C",2,IF(N23="D",1,0))))))*'02_의사결정·종합결과'!$B$8)</f>
        <v>0</v>
      </c>
      <c r="P23" s="18">
        <f>IFERROR(VLOOKUP(IF(LEFT(F23,2)="G5","G5",F23),'02_의사결정·종합결과'!$A$15:$D$20,2,FALSE),0)</f>
        <v>0.3</v>
      </c>
      <c r="Q23" s="18">
        <f>IFERROR(VLOOKUP(IF(LEFT(F23,2)="G5","G5",F23),'02_의사결정·종합결과'!$A$15:$D$20,3,FALSE),0)</f>
        <v>0.3</v>
      </c>
      <c r="R23" s="18">
        <f>IFERROR(VLOOKUP(IF(LEFT(F23,2)="G5","G5",F23),'02_의사결정·종합결과'!$A$15:$D$20,4,FALSE),0)</f>
        <v>0.4</v>
      </c>
      <c r="S23" s="24">
        <f t="shared" si="0"/>
        <v>0.3</v>
      </c>
      <c r="T23" s="15" t="str">
        <f t="shared" si="1"/>
        <v>D</v>
      </c>
      <c r="U23" s="26" t="str">
        <f>IF('02_의사결정·종합결과'!$B$6="절대평가",T23,IFERROR(IF(S23="","",IF(_xludf.PERCENTRANK.INC($S$6:$S$39,S23)&gt;=1-'02_의사결정·종합결과'!$B$11,"S",IF(_xludf.PERCENTRANK.INC($S$6:$S$39,S23)&gt;=1-'02_의사결정·종합결과'!$B$11-'02_의사결정·종합결과'!$C$11,"A",IF(_xludf.PERCENTRANK.INC($S$6:$S$39,S23)&gt;='02_의사결정·종합결과'!$E$11+'02_의사결정·종합결과'!$F$11,"B",IF(_xludf.PERCENTRANK.INC($S$6:$S$39,S23)&gt;='02_의사결정·종합결과'!$F$11,"C","D"))))),""))</f>
        <v>D</v>
      </c>
    </row>
    <row r="24" spans="1:21" x14ac:dyDescent="0.6">
      <c r="A24" s="15">
        <f>'01_인적정보'!A23</f>
        <v>19</v>
      </c>
      <c r="B24" s="15" t="str">
        <f>'01_인적정보'!B23</f>
        <v>BSS-019</v>
      </c>
      <c r="C24" s="15" t="str">
        <f>'01_인적정보'!C23</f>
        <v>구서현</v>
      </c>
      <c r="D24" s="15" t="str">
        <f>'01_인적정보'!D23</f>
        <v>설계</v>
      </c>
      <c r="E24" s="15" t="str">
        <f>'01_인적정보'!E23</f>
        <v>BIM컨설팅</v>
      </c>
      <c r="F24" s="15" t="str">
        <f>'01_인적정보'!H23</f>
        <v>G2</v>
      </c>
      <c r="G24" s="15">
        <f>'04_역할평가'!O31</f>
        <v>0</v>
      </c>
      <c r="H24" s="15">
        <f>'04_역할평가'!O69</f>
        <v>0</v>
      </c>
      <c r="I24" s="24">
        <f>IF(OR(G24="",H24=""),"",(IF(G24="S",5,IF(G24="A",4,IF(G24="B",3,IF(G24="C",2,IF(G24="D",1,0))))))*'02_의사결정·종합결과'!$B$7+(IF(H24="S",5,IF(H24="A",4,IF(H24="B",3,IF(H24="C",2,IF(H24="D",1,0))))))*'02_의사결정·종합결과'!$B$8)</f>
        <v>0</v>
      </c>
      <c r="J24" s="15" t="str">
        <f>'05_공통역량평가'!Q24</f>
        <v>D</v>
      </c>
      <c r="K24" s="15" t="str">
        <f>'05_공통역량평가'!Q62</f>
        <v>D</v>
      </c>
      <c r="L24" s="24">
        <f>IF(OR(J24="",K24=""),"",(IF(J24="S",5,IF(J24="A",4,IF(J24="B",3,IF(J24="C",2,IF(J24="D",1,0))))))*'02_의사결정·종합결과'!$B$7+(IF(K24="S",5,IF(K24="A",4,IF(K24="B",3,IF(K24="C",2,IF(K24="D",1,0))))))*'02_의사결정·종합결과'!$B$8)</f>
        <v>1</v>
      </c>
      <c r="M24" s="15">
        <f>'06_직무역량평가'!J24</f>
        <v>0</v>
      </c>
      <c r="N24" s="15">
        <f>'06_직무역량평가'!J62</f>
        <v>0</v>
      </c>
      <c r="O24" s="24">
        <f>IF(OR(M24="",N24=""),"",(IF(M24="S",5,IF(M24="A",4,IF(M24="B",3,IF(M24="C",2,IF(M24="D",1,0))))))*'02_의사결정·종합결과'!$B$7+(IF(N24="S",5,IF(N24="A",4,IF(N24="B",3,IF(N24="C",2,IF(N24="D",1,0))))))*'02_의사결정·종합결과'!$B$8)</f>
        <v>0</v>
      </c>
      <c r="P24" s="18">
        <f>IFERROR(VLOOKUP(IF(LEFT(F24,2)="G5","G5",F24),'02_의사결정·종합결과'!$A$15:$D$20,2,FALSE),0)</f>
        <v>0.2</v>
      </c>
      <c r="Q24" s="18">
        <f>IFERROR(VLOOKUP(IF(LEFT(F24,2)="G5","G5",F24),'02_의사결정·종합결과'!$A$15:$D$20,3,FALSE),0)</f>
        <v>0.35</v>
      </c>
      <c r="R24" s="18">
        <f>IFERROR(VLOOKUP(IF(LEFT(F24,2)="G5","G5",F24),'02_의사결정·종합결과'!$A$15:$D$20,4,FALSE),0)</f>
        <v>0.45</v>
      </c>
      <c r="S24" s="24">
        <f t="shared" si="0"/>
        <v>0.35</v>
      </c>
      <c r="T24" s="15" t="str">
        <f t="shared" si="1"/>
        <v>D</v>
      </c>
      <c r="U24" s="26" t="str">
        <f>IF('02_의사결정·종합결과'!$B$6="절대평가",T24,IFERROR(IF(S24="","",IF(_xludf.PERCENTRANK.INC($S$6:$S$39,S24)&gt;=1-'02_의사결정·종합결과'!$B$11,"S",IF(_xludf.PERCENTRANK.INC($S$6:$S$39,S24)&gt;=1-'02_의사결정·종합결과'!$B$11-'02_의사결정·종합결과'!$C$11,"A",IF(_xludf.PERCENTRANK.INC($S$6:$S$39,S24)&gt;='02_의사결정·종합결과'!$E$11+'02_의사결정·종합결과'!$F$11,"B",IF(_xludf.PERCENTRANK.INC($S$6:$S$39,S24)&gt;='02_의사결정·종합결과'!$F$11,"C","D"))))),""))</f>
        <v>D</v>
      </c>
    </row>
    <row r="25" spans="1:21" x14ac:dyDescent="0.6">
      <c r="A25" s="15">
        <f>'01_인적정보'!A24</f>
        <v>20</v>
      </c>
      <c r="B25" s="15" t="str">
        <f>'01_인적정보'!B24</f>
        <v>BSS-020</v>
      </c>
      <c r="C25" s="15" t="str">
        <f>'01_인적정보'!C24</f>
        <v>박진용</v>
      </c>
      <c r="D25" s="15" t="str">
        <f>'01_인적정보'!D24</f>
        <v>교육 및 기술지원</v>
      </c>
      <c r="E25" s="15" t="str">
        <f>'01_인적정보'!E24</f>
        <v>교육·기술지원</v>
      </c>
      <c r="F25" s="15" t="str">
        <f>'01_인적정보'!H24</f>
        <v>G3</v>
      </c>
      <c r="G25" s="15">
        <f>'04_역할평가'!O32</f>
        <v>0</v>
      </c>
      <c r="H25" s="15">
        <f>'04_역할평가'!O70</f>
        <v>0</v>
      </c>
      <c r="I25" s="24">
        <f>IF(OR(G25="",H25=""),"",(IF(G25="S",5,IF(G25="A",4,IF(G25="B",3,IF(G25="C",2,IF(G25="D",1,0))))))*'02_의사결정·종합결과'!$B$7+(IF(H25="S",5,IF(H25="A",4,IF(H25="B",3,IF(H25="C",2,IF(H25="D",1,0))))))*'02_의사결정·종합결과'!$B$8)</f>
        <v>0</v>
      </c>
      <c r="J25" s="15" t="str">
        <f>'05_공통역량평가'!Q25</f>
        <v>D</v>
      </c>
      <c r="K25" s="15" t="str">
        <f>'05_공통역량평가'!Q63</f>
        <v>D</v>
      </c>
      <c r="L25" s="24">
        <f>IF(OR(J25="",K25=""),"",(IF(J25="S",5,IF(J25="A",4,IF(J25="B",3,IF(J25="C",2,IF(J25="D",1,0))))))*'02_의사결정·종합결과'!$B$7+(IF(K25="S",5,IF(K25="A",4,IF(K25="B",3,IF(K25="C",2,IF(K25="D",1,0))))))*'02_의사결정·종합결과'!$B$8)</f>
        <v>1</v>
      </c>
      <c r="M25" s="15">
        <f>'06_직무역량평가'!J25</f>
        <v>0</v>
      </c>
      <c r="N25" s="15">
        <f>'06_직무역량평가'!J63</f>
        <v>0</v>
      </c>
      <c r="O25" s="24">
        <f>IF(OR(M25="",N25=""),"",(IF(M25="S",5,IF(M25="A",4,IF(M25="B",3,IF(M25="C",2,IF(M25="D",1,0))))))*'02_의사결정·종합결과'!$B$7+(IF(N25="S",5,IF(N25="A",4,IF(N25="B",3,IF(N25="C",2,IF(N25="D",1,0))))))*'02_의사결정·종합결과'!$B$8)</f>
        <v>0</v>
      </c>
      <c r="P25" s="18">
        <f>IFERROR(VLOOKUP(IF(LEFT(F25,2)="G5","G5",F25),'02_의사결정·종합결과'!$A$15:$D$20,2,FALSE),0)</f>
        <v>0.25</v>
      </c>
      <c r="Q25" s="18">
        <f>IFERROR(VLOOKUP(IF(LEFT(F25,2)="G5","G5",F25),'02_의사결정·종합결과'!$A$15:$D$20,3,FALSE),0)</f>
        <v>0.3</v>
      </c>
      <c r="R25" s="18">
        <f>IFERROR(VLOOKUP(IF(LEFT(F25,2)="G5","G5",F25),'02_의사결정·종합결과'!$A$15:$D$20,4,FALSE),0)</f>
        <v>0.45</v>
      </c>
      <c r="S25" s="24">
        <f t="shared" si="0"/>
        <v>0.3</v>
      </c>
      <c r="T25" s="15" t="str">
        <f t="shared" si="1"/>
        <v>D</v>
      </c>
      <c r="U25" s="26" t="str">
        <f>IF('02_의사결정·종합결과'!$B$6="절대평가",T25,IFERROR(IF(S25="","",IF(_xludf.PERCENTRANK.INC($S$6:$S$39,S25)&gt;=1-'02_의사결정·종합결과'!$B$11,"S",IF(_xludf.PERCENTRANK.INC($S$6:$S$39,S25)&gt;=1-'02_의사결정·종합결과'!$B$11-'02_의사결정·종합결과'!$C$11,"A",IF(_xludf.PERCENTRANK.INC($S$6:$S$39,S25)&gt;='02_의사결정·종합결과'!$E$11+'02_의사결정·종합결과'!$F$11,"B",IF(_xludf.PERCENTRANK.INC($S$6:$S$39,S25)&gt;='02_의사결정·종합결과'!$F$11,"C","D"))))),""))</f>
        <v>D</v>
      </c>
    </row>
    <row r="26" spans="1:21" x14ac:dyDescent="0.6">
      <c r="A26" s="15">
        <f>'01_인적정보'!A25</f>
        <v>21</v>
      </c>
      <c r="B26" s="15" t="str">
        <f>'01_인적정보'!B25</f>
        <v>BSS-021</v>
      </c>
      <c r="C26" s="15" t="str">
        <f>'01_인적정보'!C25</f>
        <v>김가연</v>
      </c>
      <c r="D26" s="15" t="str">
        <f>'01_인적정보'!D25</f>
        <v>설계</v>
      </c>
      <c r="E26" s="15" t="str">
        <f>'01_인적정보'!E25</f>
        <v>BIM컨설팅</v>
      </c>
      <c r="F26" s="15" t="str">
        <f>'01_인적정보'!H25</f>
        <v>G2</v>
      </c>
      <c r="G26" s="15">
        <f>'04_역할평가'!O33</f>
        <v>0</v>
      </c>
      <c r="H26" s="15">
        <f>'04_역할평가'!O71</f>
        <v>0</v>
      </c>
      <c r="I26" s="24">
        <f>IF(OR(G26="",H26=""),"",(IF(G26="S",5,IF(G26="A",4,IF(G26="B",3,IF(G26="C",2,IF(G26="D",1,0))))))*'02_의사결정·종합결과'!$B$7+(IF(H26="S",5,IF(H26="A",4,IF(H26="B",3,IF(H26="C",2,IF(H26="D",1,0))))))*'02_의사결정·종합결과'!$B$8)</f>
        <v>0</v>
      </c>
      <c r="J26" s="15" t="str">
        <f>'05_공통역량평가'!Q26</f>
        <v>D</v>
      </c>
      <c r="K26" s="15" t="str">
        <f>'05_공통역량평가'!Q64</f>
        <v>D</v>
      </c>
      <c r="L26" s="24">
        <f>IF(OR(J26="",K26=""),"",(IF(J26="S",5,IF(J26="A",4,IF(J26="B",3,IF(J26="C",2,IF(J26="D",1,0))))))*'02_의사결정·종합결과'!$B$7+(IF(K26="S",5,IF(K26="A",4,IF(K26="B",3,IF(K26="C",2,IF(K26="D",1,0))))))*'02_의사결정·종합결과'!$B$8)</f>
        <v>1</v>
      </c>
      <c r="M26" s="15">
        <f>'06_직무역량평가'!J26</f>
        <v>0</v>
      </c>
      <c r="N26" s="15">
        <f>'06_직무역량평가'!J64</f>
        <v>0</v>
      </c>
      <c r="O26" s="24">
        <f>IF(OR(M26="",N26=""),"",(IF(M26="S",5,IF(M26="A",4,IF(M26="B",3,IF(M26="C",2,IF(M26="D",1,0))))))*'02_의사결정·종합결과'!$B$7+(IF(N26="S",5,IF(N26="A",4,IF(N26="B",3,IF(N26="C",2,IF(N26="D",1,0))))))*'02_의사결정·종합결과'!$B$8)</f>
        <v>0</v>
      </c>
      <c r="P26" s="18">
        <f>IFERROR(VLOOKUP(IF(LEFT(F26,2)="G5","G5",F26),'02_의사결정·종합결과'!$A$15:$D$20,2,FALSE),0)</f>
        <v>0.2</v>
      </c>
      <c r="Q26" s="18">
        <f>IFERROR(VLOOKUP(IF(LEFT(F26,2)="G5","G5",F26),'02_의사결정·종합결과'!$A$15:$D$20,3,FALSE),0)</f>
        <v>0.35</v>
      </c>
      <c r="R26" s="18">
        <f>IFERROR(VLOOKUP(IF(LEFT(F26,2)="G5","G5",F26),'02_의사결정·종합결과'!$A$15:$D$20,4,FALSE),0)</f>
        <v>0.45</v>
      </c>
      <c r="S26" s="24">
        <f t="shared" si="0"/>
        <v>0.35</v>
      </c>
      <c r="T26" s="15" t="str">
        <f t="shared" si="1"/>
        <v>D</v>
      </c>
      <c r="U26" s="26" t="str">
        <f>IF('02_의사결정·종합결과'!$B$6="절대평가",T26,IFERROR(IF(S26="","",IF(_xludf.PERCENTRANK.INC($S$6:$S$39,S26)&gt;=1-'02_의사결정·종합결과'!$B$11,"S",IF(_xludf.PERCENTRANK.INC($S$6:$S$39,S26)&gt;=1-'02_의사결정·종합결과'!$B$11-'02_의사결정·종합결과'!$C$11,"A",IF(_xludf.PERCENTRANK.INC($S$6:$S$39,S26)&gt;='02_의사결정·종합결과'!$E$11+'02_의사결정·종합결과'!$F$11,"B",IF(_xludf.PERCENTRANK.INC($S$6:$S$39,S26)&gt;='02_의사결정·종합결과'!$F$11,"C","D"))))),""))</f>
        <v>D</v>
      </c>
    </row>
    <row r="27" spans="1:21" x14ac:dyDescent="0.6">
      <c r="A27" s="15">
        <f>'01_인적정보'!A26</f>
        <v>22</v>
      </c>
      <c r="B27" s="15" t="str">
        <f>'01_인적정보'!B26</f>
        <v>BSS-022</v>
      </c>
      <c r="C27" s="15" t="str">
        <f>'01_인적정보'!C26</f>
        <v>한근수</v>
      </c>
      <c r="D27" s="15" t="str">
        <f>'01_인적정보'!D26</f>
        <v>설계</v>
      </c>
      <c r="E27" s="15" t="str">
        <f>'01_인적정보'!E26</f>
        <v>BIM컨설팅</v>
      </c>
      <c r="F27" s="15" t="str">
        <f>'01_인적정보'!H26</f>
        <v>G2</v>
      </c>
      <c r="G27" s="15">
        <f>'04_역할평가'!O34</f>
        <v>0</v>
      </c>
      <c r="H27" s="15">
        <f>'04_역할평가'!O72</f>
        <v>0</v>
      </c>
      <c r="I27" s="24">
        <f>IF(OR(G27="",H27=""),"",(IF(G27="S",5,IF(G27="A",4,IF(G27="B",3,IF(G27="C",2,IF(G27="D",1,0))))))*'02_의사결정·종합결과'!$B$7+(IF(H27="S",5,IF(H27="A",4,IF(H27="B",3,IF(H27="C",2,IF(H27="D",1,0))))))*'02_의사결정·종합결과'!$B$8)</f>
        <v>0</v>
      </c>
      <c r="J27" s="15" t="str">
        <f>'05_공통역량평가'!Q27</f>
        <v>D</v>
      </c>
      <c r="K27" s="15" t="str">
        <f>'05_공통역량평가'!Q65</f>
        <v>D</v>
      </c>
      <c r="L27" s="24">
        <f>IF(OR(J27="",K27=""),"",(IF(J27="S",5,IF(J27="A",4,IF(J27="B",3,IF(J27="C",2,IF(J27="D",1,0))))))*'02_의사결정·종합결과'!$B$7+(IF(K27="S",5,IF(K27="A",4,IF(K27="B",3,IF(K27="C",2,IF(K27="D",1,0))))))*'02_의사결정·종합결과'!$B$8)</f>
        <v>1</v>
      </c>
      <c r="M27" s="15">
        <f>'06_직무역량평가'!J27</f>
        <v>0</v>
      </c>
      <c r="N27" s="15">
        <f>'06_직무역량평가'!J65</f>
        <v>0</v>
      </c>
      <c r="O27" s="24">
        <f>IF(OR(M27="",N27=""),"",(IF(M27="S",5,IF(M27="A",4,IF(M27="B",3,IF(M27="C",2,IF(M27="D",1,0))))))*'02_의사결정·종합결과'!$B$7+(IF(N27="S",5,IF(N27="A",4,IF(N27="B",3,IF(N27="C",2,IF(N27="D",1,0))))))*'02_의사결정·종합결과'!$B$8)</f>
        <v>0</v>
      </c>
      <c r="P27" s="18">
        <f>IFERROR(VLOOKUP(IF(LEFT(F27,2)="G5","G5",F27),'02_의사결정·종합결과'!$A$15:$D$20,2,FALSE),0)</f>
        <v>0.2</v>
      </c>
      <c r="Q27" s="18">
        <f>IFERROR(VLOOKUP(IF(LEFT(F27,2)="G5","G5",F27),'02_의사결정·종합결과'!$A$15:$D$20,3,FALSE),0)</f>
        <v>0.35</v>
      </c>
      <c r="R27" s="18">
        <f>IFERROR(VLOOKUP(IF(LEFT(F27,2)="G5","G5",F27),'02_의사결정·종합결과'!$A$15:$D$20,4,FALSE),0)</f>
        <v>0.45</v>
      </c>
      <c r="S27" s="24">
        <f t="shared" si="0"/>
        <v>0.35</v>
      </c>
      <c r="T27" s="15" t="str">
        <f t="shared" si="1"/>
        <v>D</v>
      </c>
      <c r="U27" s="26" t="str">
        <f>IF('02_의사결정·종합결과'!$B$6="절대평가",T27,IFERROR(IF(S27="","",IF(_xludf.PERCENTRANK.INC($S$6:$S$39,S27)&gt;=1-'02_의사결정·종합결과'!$B$11,"S",IF(_xludf.PERCENTRANK.INC($S$6:$S$39,S27)&gt;=1-'02_의사결정·종합결과'!$B$11-'02_의사결정·종합결과'!$C$11,"A",IF(_xludf.PERCENTRANK.INC($S$6:$S$39,S27)&gt;='02_의사결정·종합결과'!$E$11+'02_의사결정·종합결과'!$F$11,"B",IF(_xludf.PERCENTRANK.INC($S$6:$S$39,S27)&gt;='02_의사결정·종합결과'!$F$11,"C","D"))))),""))</f>
        <v>D</v>
      </c>
    </row>
    <row r="28" spans="1:21" x14ac:dyDescent="0.6">
      <c r="A28" s="15">
        <f>'01_인적정보'!A27</f>
        <v>23</v>
      </c>
      <c r="B28" s="15" t="str">
        <f>'01_인적정보'!B27</f>
        <v>BSS-023</v>
      </c>
      <c r="C28" s="15" t="str">
        <f>'01_인적정보'!C27</f>
        <v>김성민</v>
      </c>
      <c r="D28" s="15" t="str">
        <f>'01_인적정보'!D27</f>
        <v>설계</v>
      </c>
      <c r="E28" s="15" t="str">
        <f>'01_인적정보'!E27</f>
        <v>BIM컨설팅</v>
      </c>
      <c r="F28" s="15" t="str">
        <f>'01_인적정보'!H27</f>
        <v>G2</v>
      </c>
      <c r="G28" s="15">
        <f>'04_역할평가'!O35</f>
        <v>0</v>
      </c>
      <c r="H28" s="15">
        <f>'04_역할평가'!O73</f>
        <v>0</v>
      </c>
      <c r="I28" s="24">
        <f>IF(OR(G28="",H28=""),"",(IF(G28="S",5,IF(G28="A",4,IF(G28="B",3,IF(G28="C",2,IF(G28="D",1,0))))))*'02_의사결정·종합결과'!$B$7+(IF(H28="S",5,IF(H28="A",4,IF(H28="B",3,IF(H28="C",2,IF(H28="D",1,0))))))*'02_의사결정·종합결과'!$B$8)</f>
        <v>0</v>
      </c>
      <c r="J28" s="15" t="str">
        <f>'05_공통역량평가'!Q28</f>
        <v>D</v>
      </c>
      <c r="K28" s="15" t="str">
        <f>'05_공통역량평가'!Q66</f>
        <v>D</v>
      </c>
      <c r="L28" s="24">
        <f>IF(OR(J28="",K28=""),"",(IF(J28="S",5,IF(J28="A",4,IF(J28="B",3,IF(J28="C",2,IF(J28="D",1,0))))))*'02_의사결정·종합결과'!$B$7+(IF(K28="S",5,IF(K28="A",4,IF(K28="B",3,IF(K28="C",2,IF(K28="D",1,0))))))*'02_의사결정·종합결과'!$B$8)</f>
        <v>1</v>
      </c>
      <c r="M28" s="15">
        <f>'06_직무역량평가'!J28</f>
        <v>0</v>
      </c>
      <c r="N28" s="15">
        <f>'06_직무역량평가'!J66</f>
        <v>0</v>
      </c>
      <c r="O28" s="24">
        <f>IF(OR(M28="",N28=""),"",(IF(M28="S",5,IF(M28="A",4,IF(M28="B",3,IF(M28="C",2,IF(M28="D",1,0))))))*'02_의사결정·종합결과'!$B$7+(IF(N28="S",5,IF(N28="A",4,IF(N28="B",3,IF(N28="C",2,IF(N28="D",1,0))))))*'02_의사결정·종합결과'!$B$8)</f>
        <v>0</v>
      </c>
      <c r="P28" s="18">
        <f>IFERROR(VLOOKUP(IF(LEFT(F28,2)="G5","G5",F28),'02_의사결정·종합결과'!$A$15:$D$20,2,FALSE),0)</f>
        <v>0.2</v>
      </c>
      <c r="Q28" s="18">
        <f>IFERROR(VLOOKUP(IF(LEFT(F28,2)="G5","G5",F28),'02_의사결정·종합결과'!$A$15:$D$20,3,FALSE),0)</f>
        <v>0.35</v>
      </c>
      <c r="R28" s="18">
        <f>IFERROR(VLOOKUP(IF(LEFT(F28,2)="G5","G5",F28),'02_의사결정·종합결과'!$A$15:$D$20,4,FALSE),0)</f>
        <v>0.45</v>
      </c>
      <c r="S28" s="24">
        <f t="shared" si="0"/>
        <v>0.35</v>
      </c>
      <c r="T28" s="15" t="str">
        <f t="shared" si="1"/>
        <v>D</v>
      </c>
      <c r="U28" s="26" t="str">
        <f>IF('02_의사결정·종합결과'!$B$6="절대평가",T28,IFERROR(IF(S28="","",IF(_xludf.PERCENTRANK.INC($S$6:$S$39,S28)&gt;=1-'02_의사결정·종합결과'!$B$11,"S",IF(_xludf.PERCENTRANK.INC($S$6:$S$39,S28)&gt;=1-'02_의사결정·종합결과'!$B$11-'02_의사결정·종합결과'!$C$11,"A",IF(_xludf.PERCENTRANK.INC($S$6:$S$39,S28)&gt;='02_의사결정·종합결과'!$E$11+'02_의사결정·종합결과'!$F$11,"B",IF(_xludf.PERCENTRANK.INC($S$6:$S$39,S28)&gt;='02_의사결정·종합결과'!$F$11,"C","D"))))),""))</f>
        <v>D</v>
      </c>
    </row>
    <row r="29" spans="1:21" x14ac:dyDescent="0.6">
      <c r="A29" s="15">
        <f>'01_인적정보'!A28</f>
        <v>24</v>
      </c>
      <c r="B29" s="15" t="str">
        <f>'01_인적정보'!B28</f>
        <v>BSS-024</v>
      </c>
      <c r="C29" s="15" t="str">
        <f>'01_인적정보'!C28</f>
        <v>고광우</v>
      </c>
      <c r="D29" s="15" t="str">
        <f>'01_인적정보'!D28</f>
        <v>설계</v>
      </c>
      <c r="E29" s="15" t="str">
        <f>'01_인적정보'!E28</f>
        <v>BIM컨설팅</v>
      </c>
      <c r="F29" s="15" t="str">
        <f>'01_인적정보'!H28</f>
        <v>G2</v>
      </c>
      <c r="G29" s="15">
        <f>'04_역할평가'!O36</f>
        <v>0</v>
      </c>
      <c r="H29" s="15">
        <f>'04_역할평가'!O74</f>
        <v>0</v>
      </c>
      <c r="I29" s="24">
        <f>IF(OR(G29="",H29=""),"",(IF(G29="S",5,IF(G29="A",4,IF(G29="B",3,IF(G29="C",2,IF(G29="D",1,0))))))*'02_의사결정·종합결과'!$B$7+(IF(H29="S",5,IF(H29="A",4,IF(H29="B",3,IF(H29="C",2,IF(H29="D",1,0))))))*'02_의사결정·종합결과'!$B$8)</f>
        <v>0</v>
      </c>
      <c r="J29" s="15" t="str">
        <f>'05_공통역량평가'!Q29</f>
        <v>D</v>
      </c>
      <c r="K29" s="15" t="str">
        <f>'05_공통역량평가'!Q67</f>
        <v>D</v>
      </c>
      <c r="L29" s="24">
        <f>IF(OR(J29="",K29=""),"",(IF(J29="S",5,IF(J29="A",4,IF(J29="B",3,IF(J29="C",2,IF(J29="D",1,0))))))*'02_의사결정·종합결과'!$B$7+(IF(K29="S",5,IF(K29="A",4,IF(K29="B",3,IF(K29="C",2,IF(K29="D",1,0))))))*'02_의사결정·종합결과'!$B$8)</f>
        <v>1</v>
      </c>
      <c r="M29" s="15">
        <f>'06_직무역량평가'!J29</f>
        <v>0</v>
      </c>
      <c r="N29" s="15">
        <f>'06_직무역량평가'!J67</f>
        <v>0</v>
      </c>
      <c r="O29" s="24">
        <f>IF(OR(M29="",N29=""),"",(IF(M29="S",5,IF(M29="A",4,IF(M29="B",3,IF(M29="C",2,IF(M29="D",1,0))))))*'02_의사결정·종합결과'!$B$7+(IF(N29="S",5,IF(N29="A",4,IF(N29="B",3,IF(N29="C",2,IF(N29="D",1,0))))))*'02_의사결정·종합결과'!$B$8)</f>
        <v>0</v>
      </c>
      <c r="P29" s="18">
        <f>IFERROR(VLOOKUP(IF(LEFT(F29,2)="G5","G5",F29),'02_의사결정·종합결과'!$A$15:$D$20,2,FALSE),0)</f>
        <v>0.2</v>
      </c>
      <c r="Q29" s="18">
        <f>IFERROR(VLOOKUP(IF(LEFT(F29,2)="G5","G5",F29),'02_의사결정·종합결과'!$A$15:$D$20,3,FALSE),0)</f>
        <v>0.35</v>
      </c>
      <c r="R29" s="18">
        <f>IFERROR(VLOOKUP(IF(LEFT(F29,2)="G5","G5",F29),'02_의사결정·종합결과'!$A$15:$D$20,4,FALSE),0)</f>
        <v>0.45</v>
      </c>
      <c r="S29" s="24">
        <f t="shared" si="0"/>
        <v>0.35</v>
      </c>
      <c r="T29" s="15" t="str">
        <f t="shared" si="1"/>
        <v>D</v>
      </c>
      <c r="U29" s="26" t="str">
        <f>IF('02_의사결정·종합결과'!$B$6="절대평가",T29,IFERROR(IF(S29="","",IF(_xludf.PERCENTRANK.INC($S$6:$S$39,S29)&gt;=1-'02_의사결정·종합결과'!$B$11,"S",IF(_xludf.PERCENTRANK.INC($S$6:$S$39,S29)&gt;=1-'02_의사결정·종합결과'!$B$11-'02_의사결정·종합결과'!$C$11,"A",IF(_xludf.PERCENTRANK.INC($S$6:$S$39,S29)&gt;='02_의사결정·종합결과'!$E$11+'02_의사결정·종합결과'!$F$11,"B",IF(_xludf.PERCENTRANK.INC($S$6:$S$39,S29)&gt;='02_의사결정·종합결과'!$F$11,"C","D"))))),""))</f>
        <v>D</v>
      </c>
    </row>
    <row r="30" spans="1:21" x14ac:dyDescent="0.6">
      <c r="A30" s="15">
        <f>'01_인적정보'!A29</f>
        <v>25</v>
      </c>
      <c r="B30" s="15" t="str">
        <f>'01_인적정보'!B29</f>
        <v>BSS-025</v>
      </c>
      <c r="C30" s="15" t="str">
        <f>'01_인적정보'!C29</f>
        <v>김성수</v>
      </c>
      <c r="D30" s="15" t="str">
        <f>'01_인적정보'!D29</f>
        <v>연구&amp;개발</v>
      </c>
      <c r="E30" s="15" t="str">
        <f>'01_인적정보'!E29</f>
        <v>연구개발(R&amp;D)</v>
      </c>
      <c r="F30" s="15" t="str">
        <f>'01_인적정보'!H29</f>
        <v>G2</v>
      </c>
      <c r="G30" s="15">
        <f>'04_역할평가'!O37</f>
        <v>0</v>
      </c>
      <c r="H30" s="15">
        <f>'04_역할평가'!O75</f>
        <v>0</v>
      </c>
      <c r="I30" s="24">
        <f>IF(OR(G30="",H30=""),"",(IF(G30="S",5,IF(G30="A",4,IF(G30="B",3,IF(G30="C",2,IF(G30="D",1,0))))))*'02_의사결정·종합결과'!$B$7+(IF(H30="S",5,IF(H30="A",4,IF(H30="B",3,IF(H30="C",2,IF(H30="D",1,0))))))*'02_의사결정·종합결과'!$B$8)</f>
        <v>0</v>
      </c>
      <c r="J30" s="15" t="str">
        <f>'05_공통역량평가'!Q30</f>
        <v>D</v>
      </c>
      <c r="K30" s="15" t="str">
        <f>'05_공통역량평가'!Q68</f>
        <v>D</v>
      </c>
      <c r="L30" s="24">
        <f>IF(OR(J30="",K30=""),"",(IF(J30="S",5,IF(J30="A",4,IF(J30="B",3,IF(J30="C",2,IF(J30="D",1,0))))))*'02_의사결정·종합결과'!$B$7+(IF(K30="S",5,IF(K30="A",4,IF(K30="B",3,IF(K30="C",2,IF(K30="D",1,0))))))*'02_의사결정·종합결과'!$B$8)</f>
        <v>1</v>
      </c>
      <c r="M30" s="15">
        <f>'06_직무역량평가'!J30</f>
        <v>0</v>
      </c>
      <c r="N30" s="15">
        <f>'06_직무역량평가'!J68</f>
        <v>0</v>
      </c>
      <c r="O30" s="24">
        <f>IF(OR(M30="",N30=""),"",(IF(M30="S",5,IF(M30="A",4,IF(M30="B",3,IF(M30="C",2,IF(M30="D",1,0))))))*'02_의사결정·종합결과'!$B$7+(IF(N30="S",5,IF(N30="A",4,IF(N30="B",3,IF(N30="C",2,IF(N30="D",1,0))))))*'02_의사결정·종합결과'!$B$8)</f>
        <v>0</v>
      </c>
      <c r="P30" s="18">
        <f>IFERROR(VLOOKUP(IF(LEFT(F30,2)="G5","G5",F30),'02_의사결정·종합결과'!$A$15:$D$20,2,FALSE),0)</f>
        <v>0.2</v>
      </c>
      <c r="Q30" s="18">
        <f>IFERROR(VLOOKUP(IF(LEFT(F30,2)="G5","G5",F30),'02_의사결정·종합결과'!$A$15:$D$20,3,FALSE),0)</f>
        <v>0.35</v>
      </c>
      <c r="R30" s="18">
        <f>IFERROR(VLOOKUP(IF(LEFT(F30,2)="G5","G5",F30),'02_의사결정·종합결과'!$A$15:$D$20,4,FALSE),0)</f>
        <v>0.45</v>
      </c>
      <c r="S30" s="24">
        <f t="shared" si="0"/>
        <v>0.35</v>
      </c>
      <c r="T30" s="15" t="str">
        <f t="shared" si="1"/>
        <v>D</v>
      </c>
      <c r="U30" s="26" t="str">
        <f>IF('02_의사결정·종합결과'!$B$6="절대평가",T30,IFERROR(IF(S30="","",IF(_xludf.PERCENTRANK.INC($S$6:$S$39,S30)&gt;=1-'02_의사결정·종합결과'!$B$11,"S",IF(_xludf.PERCENTRANK.INC($S$6:$S$39,S30)&gt;=1-'02_의사결정·종합결과'!$B$11-'02_의사결정·종합결과'!$C$11,"A",IF(_xludf.PERCENTRANK.INC($S$6:$S$39,S30)&gt;='02_의사결정·종합결과'!$E$11+'02_의사결정·종합결과'!$F$11,"B",IF(_xludf.PERCENTRANK.INC($S$6:$S$39,S30)&gt;='02_의사결정·종합결과'!$F$11,"C","D"))))),""))</f>
        <v>D</v>
      </c>
    </row>
    <row r="31" spans="1:21" x14ac:dyDescent="0.6">
      <c r="A31" s="15">
        <f>'01_인적정보'!A30</f>
        <v>26</v>
      </c>
      <c r="B31" s="15" t="str">
        <f>'01_인적정보'!B30</f>
        <v>BSS-026</v>
      </c>
      <c r="C31" s="15" t="str">
        <f>'01_인적정보'!C30</f>
        <v>박진희</v>
      </c>
      <c r="D31" s="15" t="str">
        <f>'01_인적정보'!D30</f>
        <v>경영관리</v>
      </c>
      <c r="E31" s="15" t="str">
        <f>'01_인적정보'!E30</f>
        <v>경영전략기획</v>
      </c>
      <c r="F31" s="15" t="str">
        <f>'01_인적정보'!H30</f>
        <v>G1</v>
      </c>
      <c r="G31" s="15">
        <f>'04_역할평가'!O38</f>
        <v>0</v>
      </c>
      <c r="H31" s="15">
        <f>'04_역할평가'!O76</f>
        <v>0</v>
      </c>
      <c r="I31" s="24">
        <f>IF(OR(G31="",H31=""),"",(IF(G31="S",5,IF(G31="A",4,IF(G31="B",3,IF(G31="C",2,IF(G31="D",1,0))))))*'02_의사결정·종합결과'!$B$7+(IF(H31="S",5,IF(H31="A",4,IF(H31="B",3,IF(H31="C",2,IF(H31="D",1,0))))))*'02_의사결정·종합결과'!$B$8)</f>
        <v>0</v>
      </c>
      <c r="J31" s="15" t="str">
        <f>'05_공통역량평가'!Q31</f>
        <v>D</v>
      </c>
      <c r="K31" s="15" t="str">
        <f>'05_공통역량평가'!Q69</f>
        <v>D</v>
      </c>
      <c r="L31" s="24">
        <f>IF(OR(J31="",K31=""),"",(IF(J31="S",5,IF(J31="A",4,IF(J31="B",3,IF(J31="C",2,IF(J31="D",1,0))))))*'02_의사결정·종합결과'!$B$7+(IF(K31="S",5,IF(K31="A",4,IF(K31="B",3,IF(K31="C",2,IF(K31="D",1,0))))))*'02_의사결정·종합결과'!$B$8)</f>
        <v>1</v>
      </c>
      <c r="M31" s="15">
        <f>'06_직무역량평가'!J31</f>
        <v>0</v>
      </c>
      <c r="N31" s="15">
        <f>'06_직무역량평가'!J69</f>
        <v>0</v>
      </c>
      <c r="O31" s="24">
        <f>IF(OR(M31="",N31=""),"",(IF(M31="S",5,IF(M31="A",4,IF(M31="B",3,IF(M31="C",2,IF(M31="D",1,0))))))*'02_의사결정·종합결과'!$B$7+(IF(N31="S",5,IF(N31="A",4,IF(N31="B",3,IF(N31="C",2,IF(N31="D",1,0))))))*'02_의사결정·종합결과'!$B$8)</f>
        <v>0</v>
      </c>
      <c r="P31" s="18">
        <f>IFERROR(VLOOKUP(IF(LEFT(F31,2)="G5","G5",F31),'02_의사결정·종합결과'!$A$15:$D$20,2,FALSE),0)</f>
        <v>0.15</v>
      </c>
      <c r="Q31" s="18">
        <f>IFERROR(VLOOKUP(IF(LEFT(F31,2)="G5","G5",F31),'02_의사결정·종합결과'!$A$15:$D$20,3,FALSE),0)</f>
        <v>0.35</v>
      </c>
      <c r="R31" s="18">
        <f>IFERROR(VLOOKUP(IF(LEFT(F31,2)="G5","G5",F31),'02_의사결정·종합결과'!$A$15:$D$20,4,FALSE),0)</f>
        <v>0.5</v>
      </c>
      <c r="S31" s="24">
        <f t="shared" si="0"/>
        <v>0.35</v>
      </c>
      <c r="T31" s="15" t="str">
        <f t="shared" si="1"/>
        <v>D</v>
      </c>
      <c r="U31" s="26" t="str">
        <f>IF('02_의사결정·종합결과'!$B$6="절대평가",T31,IFERROR(IF(S31="","",IF(_xludf.PERCENTRANK.INC($S$6:$S$39,S31)&gt;=1-'02_의사결정·종합결과'!$B$11,"S",IF(_xludf.PERCENTRANK.INC($S$6:$S$39,S31)&gt;=1-'02_의사결정·종합결과'!$B$11-'02_의사결정·종합결과'!$C$11,"A",IF(_xludf.PERCENTRANK.INC($S$6:$S$39,S31)&gt;='02_의사결정·종합결과'!$E$11+'02_의사결정·종합결과'!$F$11,"B",IF(_xludf.PERCENTRANK.INC($S$6:$S$39,S31)&gt;='02_의사결정·종합결과'!$F$11,"C","D"))))),""))</f>
        <v>D</v>
      </c>
    </row>
    <row r="32" spans="1:21" ht="31.5" x14ac:dyDescent="0.6">
      <c r="A32" s="15">
        <f>'01_인적정보'!A31</f>
        <v>27</v>
      </c>
      <c r="B32" s="15" t="str">
        <f>'01_인적정보'!B31</f>
        <v>BSS-027</v>
      </c>
      <c r="C32" s="15" t="str">
        <f>'01_인적정보'!C31</f>
        <v>장은한</v>
      </c>
      <c r="D32" s="15" t="str">
        <f>'01_인적정보'!D31</f>
        <v>교육 및 기술지원</v>
      </c>
      <c r="E32" s="15" t="str">
        <f>'01_인적정보'!E31</f>
        <v>교육·기술지원</v>
      </c>
      <c r="F32" s="15" t="str">
        <f>'01_인적정보'!H31</f>
        <v>G2</v>
      </c>
      <c r="G32" s="15">
        <f>'04_역할평가'!O39</f>
        <v>0</v>
      </c>
      <c r="H32" s="15">
        <f>'04_역할평가'!O77</f>
        <v>0</v>
      </c>
      <c r="I32" s="24">
        <f>IF(OR(G32="",H32=""),"",(IF(G32="S",5,IF(G32="A",4,IF(G32="B",3,IF(G32="C",2,IF(G32="D",1,0))))))*'02_의사결정·종합결과'!$B$7+(IF(H32="S",5,IF(H32="A",4,IF(H32="B",3,IF(H32="C",2,IF(H32="D",1,0))))))*'02_의사결정·종합결과'!$B$8)</f>
        <v>0</v>
      </c>
      <c r="J32" s="15" t="str">
        <f>'05_공통역량평가'!Q32</f>
        <v>D</v>
      </c>
      <c r="K32" s="15" t="str">
        <f>'05_공통역량평가'!Q70</f>
        <v>D</v>
      </c>
      <c r="L32" s="24">
        <f>IF(OR(J32="",K32=""),"",(IF(J32="S",5,IF(J32="A",4,IF(J32="B",3,IF(J32="C",2,IF(J32="D",1,0))))))*'02_의사결정·종합결과'!$B$7+(IF(K32="S",5,IF(K32="A",4,IF(K32="B",3,IF(K32="C",2,IF(K32="D",1,0))))))*'02_의사결정·종합결과'!$B$8)</f>
        <v>1</v>
      </c>
      <c r="M32" s="15">
        <f>'06_직무역량평가'!J32</f>
        <v>0</v>
      </c>
      <c r="N32" s="15">
        <f>'06_직무역량평가'!J70</f>
        <v>0</v>
      </c>
      <c r="O32" s="24">
        <f>IF(OR(M32="",N32=""),"",(IF(M32="S",5,IF(M32="A",4,IF(M32="B",3,IF(M32="C",2,IF(M32="D",1,0))))))*'02_의사결정·종합결과'!$B$7+(IF(N32="S",5,IF(N32="A",4,IF(N32="B",3,IF(N32="C",2,IF(N32="D",1,0))))))*'02_의사결정·종합결과'!$B$8)</f>
        <v>0</v>
      </c>
      <c r="P32" s="18">
        <f>IFERROR(VLOOKUP(IF(LEFT(F32,2)="G5","G5",F32),'02_의사결정·종합결과'!$A$15:$D$20,2,FALSE),0)</f>
        <v>0.2</v>
      </c>
      <c r="Q32" s="18">
        <f>IFERROR(VLOOKUP(IF(LEFT(F32,2)="G5","G5",F32),'02_의사결정·종합결과'!$A$15:$D$20,3,FALSE),0)</f>
        <v>0.35</v>
      </c>
      <c r="R32" s="18">
        <f>IFERROR(VLOOKUP(IF(LEFT(F32,2)="G5","G5",F32),'02_의사결정·종합결과'!$A$15:$D$20,4,FALSE),0)</f>
        <v>0.45</v>
      </c>
      <c r="S32" s="24">
        <f t="shared" si="0"/>
        <v>0.35</v>
      </c>
      <c r="T32" s="15" t="str">
        <f t="shared" si="1"/>
        <v>D</v>
      </c>
      <c r="U32" s="26" t="str">
        <f>IF('02_의사결정·종합결과'!$B$6="절대평가",T32,IFERROR(IF(S32="","",IF(_xludf.PERCENTRANK.INC($S$6:$S$39,S32)&gt;=1-'02_의사결정·종합결과'!$B$11,"S",IF(_xludf.PERCENTRANK.INC($S$6:$S$39,S32)&gt;=1-'02_의사결정·종합결과'!$B$11-'02_의사결정·종합결과'!$C$11,"A",IF(_xludf.PERCENTRANK.INC($S$6:$S$39,S32)&gt;='02_의사결정·종합결과'!$E$11+'02_의사결정·종합결과'!$F$11,"B",IF(_xludf.PERCENTRANK.INC($S$6:$S$39,S32)&gt;='02_의사결정·종합결과'!$F$11,"C","D"))))),""))</f>
        <v>D</v>
      </c>
    </row>
    <row r="33" spans="1:21" x14ac:dyDescent="0.6">
      <c r="A33" s="15">
        <f>'01_인적정보'!A32</f>
        <v>28</v>
      </c>
      <c r="B33" s="15" t="str">
        <f>'01_인적정보'!B32</f>
        <v>BSS-028</v>
      </c>
      <c r="C33" s="15" t="str">
        <f>'01_인적정보'!C32</f>
        <v>김현수</v>
      </c>
      <c r="D33" s="15" t="str">
        <f>'01_인적정보'!D32</f>
        <v>설계</v>
      </c>
      <c r="E33" s="15" t="str">
        <f>'01_인적정보'!E32</f>
        <v>BIM컨설팅</v>
      </c>
      <c r="F33" s="15" t="str">
        <f>'01_인적정보'!H32</f>
        <v>G1</v>
      </c>
      <c r="G33" s="15">
        <f>'04_역할평가'!O40</f>
        <v>0</v>
      </c>
      <c r="H33" s="15">
        <f>'04_역할평가'!O78</f>
        <v>0</v>
      </c>
      <c r="I33" s="24">
        <f>IF(OR(G33="",H33=""),"",(IF(G33="S",5,IF(G33="A",4,IF(G33="B",3,IF(G33="C",2,IF(G33="D",1,0))))))*'02_의사결정·종합결과'!$B$7+(IF(H33="S",5,IF(H33="A",4,IF(H33="B",3,IF(H33="C",2,IF(H33="D",1,0))))))*'02_의사결정·종합결과'!$B$8)</f>
        <v>0</v>
      </c>
      <c r="J33" s="15" t="str">
        <f>'05_공통역량평가'!Q33</f>
        <v>D</v>
      </c>
      <c r="K33" s="15" t="str">
        <f>'05_공통역량평가'!Q71</f>
        <v>D</v>
      </c>
      <c r="L33" s="24">
        <f>IF(OR(J33="",K33=""),"",(IF(J33="S",5,IF(J33="A",4,IF(J33="B",3,IF(J33="C",2,IF(J33="D",1,0))))))*'02_의사결정·종합결과'!$B$7+(IF(K33="S",5,IF(K33="A",4,IF(K33="B",3,IF(K33="C",2,IF(K33="D",1,0))))))*'02_의사결정·종합결과'!$B$8)</f>
        <v>1</v>
      </c>
      <c r="M33" s="15">
        <f>'06_직무역량평가'!J33</f>
        <v>0</v>
      </c>
      <c r="N33" s="15">
        <f>'06_직무역량평가'!J71</f>
        <v>0</v>
      </c>
      <c r="O33" s="24">
        <f>IF(OR(M33="",N33=""),"",(IF(M33="S",5,IF(M33="A",4,IF(M33="B",3,IF(M33="C",2,IF(M33="D",1,0))))))*'02_의사결정·종합결과'!$B$7+(IF(N33="S",5,IF(N33="A",4,IF(N33="B",3,IF(N33="C",2,IF(N33="D",1,0))))))*'02_의사결정·종합결과'!$B$8)</f>
        <v>0</v>
      </c>
      <c r="P33" s="18">
        <f>IFERROR(VLOOKUP(IF(LEFT(F33,2)="G5","G5",F33),'02_의사결정·종합결과'!$A$15:$D$20,2,FALSE),0)</f>
        <v>0.15</v>
      </c>
      <c r="Q33" s="18">
        <f>IFERROR(VLOOKUP(IF(LEFT(F33,2)="G5","G5",F33),'02_의사결정·종합결과'!$A$15:$D$20,3,FALSE),0)</f>
        <v>0.35</v>
      </c>
      <c r="R33" s="18">
        <f>IFERROR(VLOOKUP(IF(LEFT(F33,2)="G5","G5",F33),'02_의사결정·종합결과'!$A$15:$D$20,4,FALSE),0)</f>
        <v>0.5</v>
      </c>
      <c r="S33" s="24">
        <f t="shared" si="0"/>
        <v>0.35</v>
      </c>
      <c r="T33" s="15" t="str">
        <f t="shared" si="1"/>
        <v>D</v>
      </c>
      <c r="U33" s="26" t="str">
        <f>IF('02_의사결정·종합결과'!$B$6="절대평가",T33,IFERROR(IF(S33="","",IF(_xludf.PERCENTRANK.INC($S$6:$S$39,S33)&gt;=1-'02_의사결정·종합결과'!$B$11,"S",IF(_xludf.PERCENTRANK.INC($S$6:$S$39,S33)&gt;=1-'02_의사결정·종합결과'!$B$11-'02_의사결정·종합결과'!$C$11,"A",IF(_xludf.PERCENTRANK.INC($S$6:$S$39,S33)&gt;='02_의사결정·종합결과'!$E$11+'02_의사결정·종합결과'!$F$11,"B",IF(_xludf.PERCENTRANK.INC($S$6:$S$39,S33)&gt;='02_의사결정·종합결과'!$F$11,"C","D"))))),""))</f>
        <v>D</v>
      </c>
    </row>
    <row r="34" spans="1:21" x14ac:dyDescent="0.6">
      <c r="A34" s="15">
        <f>'01_인적정보'!A33</f>
        <v>29</v>
      </c>
      <c r="B34" s="15" t="str">
        <f>'01_인적정보'!B33</f>
        <v>BSS-029</v>
      </c>
      <c r="C34" s="15" t="str">
        <f>'01_인적정보'!C33</f>
        <v>콜셍홍</v>
      </c>
      <c r="D34" s="15" t="str">
        <f>'01_인적정보'!D33</f>
        <v>설계</v>
      </c>
      <c r="E34" s="15" t="str">
        <f>'01_인적정보'!E33</f>
        <v>BIM컨설팅</v>
      </c>
      <c r="F34" s="15" t="str">
        <f>'01_인적정보'!H33</f>
        <v>G1</v>
      </c>
      <c r="G34" s="15">
        <f>'04_역할평가'!O41</f>
        <v>0</v>
      </c>
      <c r="H34" s="15">
        <f>'04_역할평가'!O79</f>
        <v>0</v>
      </c>
      <c r="I34" s="24">
        <f>IF(OR(G34="",H34=""),"",(IF(G34="S",5,IF(G34="A",4,IF(G34="B",3,IF(G34="C",2,IF(G34="D",1,0))))))*'02_의사결정·종합결과'!$B$7+(IF(H34="S",5,IF(H34="A",4,IF(H34="B",3,IF(H34="C",2,IF(H34="D",1,0))))))*'02_의사결정·종합결과'!$B$8)</f>
        <v>0</v>
      </c>
      <c r="J34" s="15" t="str">
        <f>'05_공통역량평가'!Q34</f>
        <v>D</v>
      </c>
      <c r="K34" s="15" t="str">
        <f>'05_공통역량평가'!Q72</f>
        <v>D</v>
      </c>
      <c r="L34" s="24">
        <f>IF(OR(J34="",K34=""),"",(IF(J34="S",5,IF(J34="A",4,IF(J34="B",3,IF(J34="C",2,IF(J34="D",1,0))))))*'02_의사결정·종합결과'!$B$7+(IF(K34="S",5,IF(K34="A",4,IF(K34="B",3,IF(K34="C",2,IF(K34="D",1,0))))))*'02_의사결정·종합결과'!$B$8)</f>
        <v>1</v>
      </c>
      <c r="M34" s="15">
        <f>'06_직무역량평가'!J34</f>
        <v>0</v>
      </c>
      <c r="N34" s="15">
        <f>'06_직무역량평가'!J72</f>
        <v>0</v>
      </c>
      <c r="O34" s="24">
        <f>IF(OR(M34="",N34=""),"",(IF(M34="S",5,IF(M34="A",4,IF(M34="B",3,IF(M34="C",2,IF(M34="D",1,0))))))*'02_의사결정·종합결과'!$B$7+(IF(N34="S",5,IF(N34="A",4,IF(N34="B",3,IF(N34="C",2,IF(N34="D",1,0))))))*'02_의사결정·종합결과'!$B$8)</f>
        <v>0</v>
      </c>
      <c r="P34" s="18">
        <f>IFERROR(VLOOKUP(IF(LEFT(F34,2)="G5","G5",F34),'02_의사결정·종합결과'!$A$15:$D$20,2,FALSE),0)</f>
        <v>0.15</v>
      </c>
      <c r="Q34" s="18">
        <f>IFERROR(VLOOKUP(IF(LEFT(F34,2)="G5","G5",F34),'02_의사결정·종합결과'!$A$15:$D$20,3,FALSE),0)</f>
        <v>0.35</v>
      </c>
      <c r="R34" s="18">
        <f>IFERROR(VLOOKUP(IF(LEFT(F34,2)="G5","G5",F34),'02_의사결정·종합결과'!$A$15:$D$20,4,FALSE),0)</f>
        <v>0.5</v>
      </c>
      <c r="S34" s="24">
        <f t="shared" si="0"/>
        <v>0.35</v>
      </c>
      <c r="T34" s="15" t="str">
        <f t="shared" si="1"/>
        <v>D</v>
      </c>
      <c r="U34" s="26" t="str">
        <f>IF('02_의사결정·종합결과'!$B$6="절대평가",T34,IFERROR(IF(S34="","",IF(_xludf.PERCENTRANK.INC($S$6:$S$39,S34)&gt;=1-'02_의사결정·종합결과'!$B$11,"S",IF(_xludf.PERCENTRANK.INC($S$6:$S$39,S34)&gt;=1-'02_의사결정·종합결과'!$B$11-'02_의사결정·종합결과'!$C$11,"A",IF(_xludf.PERCENTRANK.INC($S$6:$S$39,S34)&gt;='02_의사결정·종합결과'!$E$11+'02_의사결정·종합결과'!$F$11,"B",IF(_xludf.PERCENTRANK.INC($S$6:$S$39,S34)&gt;='02_의사결정·종합결과'!$F$11,"C","D"))))),""))</f>
        <v>D</v>
      </c>
    </row>
    <row r="35" spans="1:21" x14ac:dyDescent="0.6">
      <c r="A35" s="15">
        <f>'01_인적정보'!A34</f>
        <v>30</v>
      </c>
      <c r="B35" s="15" t="str">
        <f>'01_인적정보'!B34</f>
        <v>BSS-030</v>
      </c>
      <c r="C35" s="15" t="str">
        <f>'01_인적정보'!C34</f>
        <v>안성진</v>
      </c>
      <c r="D35" s="15" t="str">
        <f>'01_인적정보'!D34</f>
        <v>설계</v>
      </c>
      <c r="E35" s="15" t="str">
        <f>'01_인적정보'!E34</f>
        <v>BIM컨설팅</v>
      </c>
      <c r="F35" s="15" t="str">
        <f>'01_인적정보'!H34</f>
        <v>G1</v>
      </c>
      <c r="G35" s="15">
        <f>'04_역할평가'!O42</f>
        <v>0</v>
      </c>
      <c r="H35" s="15">
        <f>'04_역할평가'!O80</f>
        <v>0</v>
      </c>
      <c r="I35" s="24">
        <f>IF(OR(G35="",H35=""),"",(IF(G35="S",5,IF(G35="A",4,IF(G35="B",3,IF(G35="C",2,IF(G35="D",1,0))))))*'02_의사결정·종합결과'!$B$7+(IF(H35="S",5,IF(H35="A",4,IF(H35="B",3,IF(H35="C",2,IF(H35="D",1,0))))))*'02_의사결정·종합결과'!$B$8)</f>
        <v>0</v>
      </c>
      <c r="J35" s="15" t="str">
        <f>'05_공통역량평가'!Q35</f>
        <v>D</v>
      </c>
      <c r="K35" s="15" t="str">
        <f>'05_공통역량평가'!Q73</f>
        <v>D</v>
      </c>
      <c r="L35" s="24">
        <f>IF(OR(J35="",K35=""),"",(IF(J35="S",5,IF(J35="A",4,IF(J35="B",3,IF(J35="C",2,IF(J35="D",1,0))))))*'02_의사결정·종합결과'!$B$7+(IF(K35="S",5,IF(K35="A",4,IF(K35="B",3,IF(K35="C",2,IF(K35="D",1,0))))))*'02_의사결정·종합결과'!$B$8)</f>
        <v>1</v>
      </c>
      <c r="M35" s="15">
        <f>'06_직무역량평가'!J35</f>
        <v>0</v>
      </c>
      <c r="N35" s="15">
        <f>'06_직무역량평가'!J73</f>
        <v>0</v>
      </c>
      <c r="O35" s="24">
        <f>IF(OR(M35="",N35=""),"",(IF(M35="S",5,IF(M35="A",4,IF(M35="B",3,IF(M35="C",2,IF(M35="D",1,0))))))*'02_의사결정·종합결과'!$B$7+(IF(N35="S",5,IF(N35="A",4,IF(N35="B",3,IF(N35="C",2,IF(N35="D",1,0))))))*'02_의사결정·종합결과'!$B$8)</f>
        <v>0</v>
      </c>
      <c r="P35" s="18">
        <f>IFERROR(VLOOKUP(IF(LEFT(F35,2)="G5","G5",F35),'02_의사결정·종합결과'!$A$15:$D$20,2,FALSE),0)</f>
        <v>0.15</v>
      </c>
      <c r="Q35" s="18">
        <f>IFERROR(VLOOKUP(IF(LEFT(F35,2)="G5","G5",F35),'02_의사결정·종합결과'!$A$15:$D$20,3,FALSE),0)</f>
        <v>0.35</v>
      </c>
      <c r="R35" s="18">
        <f>IFERROR(VLOOKUP(IF(LEFT(F35,2)="G5","G5",F35),'02_의사결정·종합결과'!$A$15:$D$20,4,FALSE),0)</f>
        <v>0.5</v>
      </c>
      <c r="S35" s="24">
        <f t="shared" si="0"/>
        <v>0.35</v>
      </c>
      <c r="T35" s="15" t="str">
        <f t="shared" si="1"/>
        <v>D</v>
      </c>
      <c r="U35" s="26" t="str">
        <f>IF('02_의사결정·종합결과'!$B$6="절대평가",T35,IFERROR(IF(S35="","",IF(_xludf.PERCENTRANK.INC($S$6:$S$39,S35)&gt;=1-'02_의사결정·종합결과'!$B$11,"S",IF(_xludf.PERCENTRANK.INC($S$6:$S$39,S35)&gt;=1-'02_의사결정·종합결과'!$B$11-'02_의사결정·종합결과'!$C$11,"A",IF(_xludf.PERCENTRANK.INC($S$6:$S$39,S35)&gt;='02_의사결정·종합결과'!$E$11+'02_의사결정·종합결과'!$F$11,"B",IF(_xludf.PERCENTRANK.INC($S$6:$S$39,S35)&gt;='02_의사결정·종합결과'!$F$11,"C","D"))))),""))</f>
        <v>D</v>
      </c>
    </row>
    <row r="36" spans="1:21" x14ac:dyDescent="0.6">
      <c r="A36" s="15">
        <f>'01_인적정보'!A35</f>
        <v>31</v>
      </c>
      <c r="B36" s="15" t="str">
        <f>'01_인적정보'!B35</f>
        <v>BSS-031</v>
      </c>
      <c r="C36" s="15" t="str">
        <f>'01_인적정보'!C35</f>
        <v>이정일</v>
      </c>
      <c r="D36" s="15" t="str">
        <f>'01_인적정보'!D35</f>
        <v>설계</v>
      </c>
      <c r="E36" s="15" t="str">
        <f>'01_인적정보'!E35</f>
        <v>BIM컨설팅</v>
      </c>
      <c r="F36" s="15" t="str">
        <f>'01_인적정보'!H35</f>
        <v>G1</v>
      </c>
      <c r="G36" s="15">
        <f>'04_역할평가'!O43</f>
        <v>0</v>
      </c>
      <c r="H36" s="15">
        <f>'04_역할평가'!O81</f>
        <v>0</v>
      </c>
      <c r="I36" s="24">
        <f>IF(OR(G36="",H36=""),"",(IF(G36="S",5,IF(G36="A",4,IF(G36="B",3,IF(G36="C",2,IF(G36="D",1,0))))))*'02_의사결정·종합결과'!$B$7+(IF(H36="S",5,IF(H36="A",4,IF(H36="B",3,IF(H36="C",2,IF(H36="D",1,0))))))*'02_의사결정·종합결과'!$B$8)</f>
        <v>0</v>
      </c>
      <c r="J36" s="15" t="str">
        <f>'05_공통역량평가'!Q36</f>
        <v>D</v>
      </c>
      <c r="K36" s="15" t="str">
        <f>'05_공통역량평가'!Q74</f>
        <v>D</v>
      </c>
      <c r="L36" s="24">
        <f>IF(OR(J36="",K36=""),"",(IF(J36="S",5,IF(J36="A",4,IF(J36="B",3,IF(J36="C",2,IF(J36="D",1,0))))))*'02_의사결정·종합결과'!$B$7+(IF(K36="S",5,IF(K36="A",4,IF(K36="B",3,IF(K36="C",2,IF(K36="D",1,0))))))*'02_의사결정·종합결과'!$B$8)</f>
        <v>1</v>
      </c>
      <c r="M36" s="15">
        <f>'06_직무역량평가'!J36</f>
        <v>0</v>
      </c>
      <c r="N36" s="15">
        <f>'06_직무역량평가'!J74</f>
        <v>0</v>
      </c>
      <c r="O36" s="24">
        <f>IF(OR(M36="",N36=""),"",(IF(M36="S",5,IF(M36="A",4,IF(M36="B",3,IF(M36="C",2,IF(M36="D",1,0))))))*'02_의사결정·종합결과'!$B$7+(IF(N36="S",5,IF(N36="A",4,IF(N36="B",3,IF(N36="C",2,IF(N36="D",1,0))))))*'02_의사결정·종합결과'!$B$8)</f>
        <v>0</v>
      </c>
      <c r="P36" s="18">
        <f>IFERROR(VLOOKUP(IF(LEFT(F36,2)="G5","G5",F36),'02_의사결정·종합결과'!$A$15:$D$20,2,FALSE),0)</f>
        <v>0.15</v>
      </c>
      <c r="Q36" s="18">
        <f>IFERROR(VLOOKUP(IF(LEFT(F36,2)="G5","G5",F36),'02_의사결정·종합결과'!$A$15:$D$20,3,FALSE),0)</f>
        <v>0.35</v>
      </c>
      <c r="R36" s="18">
        <f>IFERROR(VLOOKUP(IF(LEFT(F36,2)="G5","G5",F36),'02_의사결정·종합결과'!$A$15:$D$20,4,FALSE),0)</f>
        <v>0.5</v>
      </c>
      <c r="S36" s="24">
        <f t="shared" si="0"/>
        <v>0.35</v>
      </c>
      <c r="T36" s="15" t="str">
        <f t="shared" si="1"/>
        <v>D</v>
      </c>
      <c r="U36" s="26" t="str">
        <f>IF('02_의사결정·종합결과'!$B$6="절대평가",T36,IFERROR(IF(S36="","",IF(_xludf.PERCENTRANK.INC($S$6:$S$39,S36)&gt;=1-'02_의사결정·종합결과'!$B$11,"S",IF(_xludf.PERCENTRANK.INC($S$6:$S$39,S36)&gt;=1-'02_의사결정·종합결과'!$B$11-'02_의사결정·종합결과'!$C$11,"A",IF(_xludf.PERCENTRANK.INC($S$6:$S$39,S36)&gt;='02_의사결정·종합결과'!$E$11+'02_의사결정·종합결과'!$F$11,"B",IF(_xludf.PERCENTRANK.INC($S$6:$S$39,S36)&gt;='02_의사결정·종합결과'!$F$11,"C","D"))))),""))</f>
        <v>D</v>
      </c>
    </row>
    <row r="37" spans="1:21" x14ac:dyDescent="0.6">
      <c r="A37" s="15">
        <f>'01_인적정보'!A36</f>
        <v>32</v>
      </c>
      <c r="B37" s="15" t="str">
        <f>'01_인적정보'!B36</f>
        <v>BSS-032</v>
      </c>
      <c r="C37" s="15" t="str">
        <f>'01_인적정보'!C36</f>
        <v>안재성</v>
      </c>
      <c r="D37" s="15" t="str">
        <f>'01_인적정보'!D36</f>
        <v>설계</v>
      </c>
      <c r="E37" s="15" t="str">
        <f>'01_인적정보'!E36</f>
        <v>BIM컨설팅</v>
      </c>
      <c r="F37" s="15" t="str">
        <f>'01_인적정보'!H36</f>
        <v>G1</v>
      </c>
      <c r="G37" s="15">
        <f>'04_역할평가'!O44</f>
        <v>0</v>
      </c>
      <c r="H37" s="15">
        <f>'04_역할평가'!O82</f>
        <v>0</v>
      </c>
      <c r="I37" s="24">
        <f>IF(OR(G37="",H37=""),"",(IF(G37="S",5,IF(G37="A",4,IF(G37="B",3,IF(G37="C",2,IF(G37="D",1,0))))))*'02_의사결정·종합결과'!$B$7+(IF(H37="S",5,IF(H37="A",4,IF(H37="B",3,IF(H37="C",2,IF(H37="D",1,0))))))*'02_의사결정·종합결과'!$B$8)</f>
        <v>0</v>
      </c>
      <c r="J37" s="15" t="str">
        <f>'05_공통역량평가'!Q37</f>
        <v>D</v>
      </c>
      <c r="K37" s="15" t="str">
        <f>'05_공통역량평가'!Q75</f>
        <v>D</v>
      </c>
      <c r="L37" s="24">
        <f>IF(OR(J37="",K37=""),"",(IF(J37="S",5,IF(J37="A",4,IF(J37="B",3,IF(J37="C",2,IF(J37="D",1,0))))))*'02_의사결정·종합결과'!$B$7+(IF(K37="S",5,IF(K37="A",4,IF(K37="B",3,IF(K37="C",2,IF(K37="D",1,0))))))*'02_의사결정·종합결과'!$B$8)</f>
        <v>1</v>
      </c>
      <c r="M37" s="15">
        <f>'06_직무역량평가'!J37</f>
        <v>0</v>
      </c>
      <c r="N37" s="15">
        <f>'06_직무역량평가'!J75</f>
        <v>0</v>
      </c>
      <c r="O37" s="24">
        <f>IF(OR(M37="",N37=""),"",(IF(M37="S",5,IF(M37="A",4,IF(M37="B",3,IF(M37="C",2,IF(M37="D",1,0))))))*'02_의사결정·종합결과'!$B$7+(IF(N37="S",5,IF(N37="A",4,IF(N37="B",3,IF(N37="C",2,IF(N37="D",1,0))))))*'02_의사결정·종합결과'!$B$8)</f>
        <v>0</v>
      </c>
      <c r="P37" s="18">
        <f>IFERROR(VLOOKUP(IF(LEFT(F37,2)="G5","G5",F37),'02_의사결정·종합결과'!$A$15:$D$20,2,FALSE),0)</f>
        <v>0.15</v>
      </c>
      <c r="Q37" s="18">
        <f>IFERROR(VLOOKUP(IF(LEFT(F37,2)="G5","G5",F37),'02_의사결정·종합결과'!$A$15:$D$20,3,FALSE),0)</f>
        <v>0.35</v>
      </c>
      <c r="R37" s="18">
        <f>IFERROR(VLOOKUP(IF(LEFT(F37,2)="G5","G5",F37),'02_의사결정·종합결과'!$A$15:$D$20,4,FALSE),0)</f>
        <v>0.5</v>
      </c>
      <c r="S37" s="24">
        <f t="shared" si="0"/>
        <v>0.35</v>
      </c>
      <c r="T37" s="15" t="str">
        <f t="shared" si="1"/>
        <v>D</v>
      </c>
      <c r="U37" s="26" t="str">
        <f>IF('02_의사결정·종합결과'!$B$6="절대평가",T37,IFERROR(IF(S37="","",IF(_xludf.PERCENTRANK.INC($S$6:$S$39,S37)&gt;=1-'02_의사결정·종합결과'!$B$11,"S",IF(_xludf.PERCENTRANK.INC($S$6:$S$39,S37)&gt;=1-'02_의사결정·종합결과'!$B$11-'02_의사결정·종합결과'!$C$11,"A",IF(_xludf.PERCENTRANK.INC($S$6:$S$39,S37)&gt;='02_의사결정·종합결과'!$E$11+'02_의사결정·종합결과'!$F$11,"B",IF(_xludf.PERCENTRANK.INC($S$6:$S$39,S37)&gt;='02_의사결정·종합결과'!$F$11,"C","D"))))),""))</f>
        <v>D</v>
      </c>
    </row>
    <row r="38" spans="1:21" x14ac:dyDescent="0.6">
      <c r="A38" s="15">
        <f>'01_인적정보'!A37</f>
        <v>33</v>
      </c>
      <c r="B38" s="15" t="str">
        <f>'01_인적정보'!B37</f>
        <v>BSS-033</v>
      </c>
      <c r="C38" s="15" t="str">
        <f>'01_인적정보'!C37</f>
        <v>유태석</v>
      </c>
      <c r="D38" s="15" t="str">
        <f>'01_인적정보'!D37</f>
        <v>설계</v>
      </c>
      <c r="E38" s="15" t="str">
        <f>'01_인적정보'!E37</f>
        <v>BIM컨설팅</v>
      </c>
      <c r="F38" s="15" t="str">
        <f>'01_인적정보'!H37</f>
        <v>G1</v>
      </c>
      <c r="G38" s="15">
        <f>'04_역할평가'!O45</f>
        <v>0</v>
      </c>
      <c r="H38" s="15">
        <f>'04_역할평가'!O83</f>
        <v>0</v>
      </c>
      <c r="I38" s="24">
        <f>IF(OR(G38="",H38=""),"",(IF(G38="S",5,IF(G38="A",4,IF(G38="B",3,IF(G38="C",2,IF(G38="D",1,0))))))*'02_의사결정·종합결과'!$B$7+(IF(H38="S",5,IF(H38="A",4,IF(H38="B",3,IF(H38="C",2,IF(H38="D",1,0))))))*'02_의사결정·종합결과'!$B$8)</f>
        <v>0</v>
      </c>
      <c r="J38" s="15" t="str">
        <f>'05_공통역량평가'!Q38</f>
        <v>D</v>
      </c>
      <c r="K38" s="15" t="str">
        <f>'05_공통역량평가'!Q76</f>
        <v>D</v>
      </c>
      <c r="L38" s="24">
        <f>IF(OR(J38="",K38=""),"",(IF(J38="S",5,IF(J38="A",4,IF(J38="B",3,IF(J38="C",2,IF(J38="D",1,0))))))*'02_의사결정·종합결과'!$B$7+(IF(K38="S",5,IF(K38="A",4,IF(K38="B",3,IF(K38="C",2,IF(K38="D",1,0))))))*'02_의사결정·종합결과'!$B$8)</f>
        <v>1</v>
      </c>
      <c r="M38" s="15">
        <f>'06_직무역량평가'!J38</f>
        <v>0</v>
      </c>
      <c r="N38" s="15">
        <f>'06_직무역량평가'!J76</f>
        <v>0</v>
      </c>
      <c r="O38" s="24">
        <f>IF(OR(M38="",N38=""),"",(IF(M38="S",5,IF(M38="A",4,IF(M38="B",3,IF(M38="C",2,IF(M38="D",1,0))))))*'02_의사결정·종합결과'!$B$7+(IF(N38="S",5,IF(N38="A",4,IF(N38="B",3,IF(N38="C",2,IF(N38="D",1,0))))))*'02_의사결정·종합결과'!$B$8)</f>
        <v>0</v>
      </c>
      <c r="P38" s="18">
        <f>IFERROR(VLOOKUP(IF(LEFT(F38,2)="G5","G5",F38),'02_의사결정·종합결과'!$A$15:$D$20,2,FALSE),0)</f>
        <v>0.15</v>
      </c>
      <c r="Q38" s="18">
        <f>IFERROR(VLOOKUP(IF(LEFT(F38,2)="G5","G5",F38),'02_의사결정·종합결과'!$A$15:$D$20,3,FALSE),0)</f>
        <v>0.35</v>
      </c>
      <c r="R38" s="18">
        <f>IFERROR(VLOOKUP(IF(LEFT(F38,2)="G5","G5",F38),'02_의사결정·종합결과'!$A$15:$D$20,4,FALSE),0)</f>
        <v>0.5</v>
      </c>
      <c r="S38" s="24">
        <f t="shared" si="0"/>
        <v>0.35</v>
      </c>
      <c r="T38" s="15" t="str">
        <f t="shared" si="1"/>
        <v>D</v>
      </c>
      <c r="U38" s="26" t="str">
        <f>IF('02_의사결정·종합결과'!$B$6="절대평가",T38,IFERROR(IF(S38="","",IF(_xludf.PERCENTRANK.INC($S$6:$S$39,S38)&gt;=1-'02_의사결정·종합결과'!$B$11,"S",IF(_xludf.PERCENTRANK.INC($S$6:$S$39,S38)&gt;=1-'02_의사결정·종합결과'!$B$11-'02_의사결정·종합결과'!$C$11,"A",IF(_xludf.PERCENTRANK.INC($S$6:$S$39,S38)&gt;='02_의사결정·종합결과'!$E$11+'02_의사결정·종합결과'!$F$11,"B",IF(_xludf.PERCENTRANK.INC($S$6:$S$39,S38)&gt;='02_의사결정·종합결과'!$F$11,"C","D"))))),""))</f>
        <v>D</v>
      </c>
    </row>
    <row r="39" spans="1:21" x14ac:dyDescent="0.6">
      <c r="A39" s="15">
        <f>'01_인적정보'!A38</f>
        <v>34</v>
      </c>
      <c r="B39" s="15" t="str">
        <f>'01_인적정보'!B38</f>
        <v>BSS-034</v>
      </c>
      <c r="C39" s="15" t="str">
        <f>'01_인적정보'!C38</f>
        <v>엄보근</v>
      </c>
      <c r="D39" s="15" t="str">
        <f>'01_인적정보'!D38</f>
        <v>설계</v>
      </c>
      <c r="E39" s="15" t="str">
        <f>'01_인적정보'!E38</f>
        <v>BIM컨설팅</v>
      </c>
      <c r="F39" s="15" t="str">
        <f>'01_인적정보'!H38</f>
        <v>G1</v>
      </c>
      <c r="G39" s="15">
        <f>'04_역할평가'!O46</f>
        <v>0</v>
      </c>
      <c r="H39" s="15">
        <f>'04_역할평가'!O84</f>
        <v>0</v>
      </c>
      <c r="I39" s="24">
        <f>IF(OR(G39="",H39=""),"",(IF(G39="S",5,IF(G39="A",4,IF(G39="B",3,IF(G39="C",2,IF(G39="D",1,0))))))*'02_의사결정·종합결과'!$B$7+(IF(H39="S",5,IF(H39="A",4,IF(H39="B",3,IF(H39="C",2,IF(H39="D",1,0))))))*'02_의사결정·종합결과'!$B$8)</f>
        <v>0</v>
      </c>
      <c r="J39" s="15" t="str">
        <f>'05_공통역량평가'!Q39</f>
        <v>D</v>
      </c>
      <c r="K39" s="15" t="str">
        <f>'05_공통역량평가'!Q77</f>
        <v>D</v>
      </c>
      <c r="L39" s="24">
        <f>IF(OR(J39="",K39=""),"",(IF(J39="S",5,IF(J39="A",4,IF(J39="B",3,IF(J39="C",2,IF(J39="D",1,0))))))*'02_의사결정·종합결과'!$B$7+(IF(K39="S",5,IF(K39="A",4,IF(K39="B",3,IF(K39="C",2,IF(K39="D",1,0))))))*'02_의사결정·종합결과'!$B$8)</f>
        <v>1</v>
      </c>
      <c r="M39" s="15">
        <f>'06_직무역량평가'!J39</f>
        <v>0</v>
      </c>
      <c r="N39" s="15">
        <f>'06_직무역량평가'!J77</f>
        <v>0</v>
      </c>
      <c r="O39" s="24">
        <f>IF(OR(M39="",N39=""),"",(IF(M39="S",5,IF(M39="A",4,IF(M39="B",3,IF(M39="C",2,IF(M39="D",1,0))))))*'02_의사결정·종합결과'!$B$7+(IF(N39="S",5,IF(N39="A",4,IF(N39="B",3,IF(N39="C",2,IF(N39="D",1,0))))))*'02_의사결정·종합결과'!$B$8)</f>
        <v>0</v>
      </c>
      <c r="P39" s="18">
        <f>IFERROR(VLOOKUP(IF(LEFT(F39,2)="G5","G5",F39),'02_의사결정·종합결과'!$A$15:$D$20,2,FALSE),0)</f>
        <v>0.15</v>
      </c>
      <c r="Q39" s="18">
        <f>IFERROR(VLOOKUP(IF(LEFT(F39,2)="G5","G5",F39),'02_의사결정·종합결과'!$A$15:$D$20,3,FALSE),0)</f>
        <v>0.35</v>
      </c>
      <c r="R39" s="18">
        <f>IFERROR(VLOOKUP(IF(LEFT(F39,2)="G5","G5",F39),'02_의사결정·종합결과'!$A$15:$D$20,4,FALSE),0)</f>
        <v>0.5</v>
      </c>
      <c r="S39" s="24">
        <f t="shared" si="0"/>
        <v>0.35</v>
      </c>
      <c r="T39" s="15" t="str">
        <f t="shared" si="1"/>
        <v>D</v>
      </c>
      <c r="U39" s="26" t="str">
        <f>IF('02_의사결정·종합결과'!$B$6="절대평가",T39,IFERROR(IF(S39="","",IF(_xludf.PERCENTRANK.INC($S$6:$S$39,S39)&gt;=1-'02_의사결정·종합결과'!$B$11,"S",IF(_xludf.PERCENTRANK.INC($S$6:$S$39,S39)&gt;=1-'02_의사결정·종합결과'!$B$11-'02_의사결정·종합결과'!$C$11,"A",IF(_xludf.PERCENTRANK.INC($S$6:$S$39,S39)&gt;='02_의사결정·종합결과'!$E$11+'02_의사결정·종합결과'!$F$11,"B",IF(_xludf.PERCENTRANK.INC($S$6:$S$39,S39)&gt;='02_의사결정·종합결과'!$F$11,"C","D"))))),""))</f>
        <v>D</v>
      </c>
    </row>
  </sheetData>
  <mergeCells count="3">
    <mergeCell ref="A1:U1"/>
    <mergeCell ref="A4:U4"/>
    <mergeCell ref="A2:U2"/>
  </mergeCells>
  <phoneticPr fontId="16" type="noConversion"/>
  <conditionalFormatting sqref="G6:H39">
    <cfRule type="cellIs" dxfId="51" priority="1" operator="equal">
      <formula>"S"</formula>
    </cfRule>
    <cfRule type="cellIs" dxfId="50" priority="2" operator="equal">
      <formula>"A"</formula>
    </cfRule>
    <cfRule type="cellIs" dxfId="49" priority="3" operator="equal">
      <formula>"C"</formula>
    </cfRule>
    <cfRule type="cellIs" dxfId="48" priority="4" operator="equal">
      <formula>"D"</formula>
    </cfRule>
  </conditionalFormatting>
  <conditionalFormatting sqref="J6:K39">
    <cfRule type="cellIs" dxfId="47" priority="9" operator="equal">
      <formula>"S"</formula>
    </cfRule>
    <cfRule type="cellIs" dxfId="46" priority="10" operator="equal">
      <formula>"A"</formula>
    </cfRule>
    <cfRule type="cellIs" dxfId="45" priority="11" operator="equal">
      <formula>"C"</formula>
    </cfRule>
    <cfRule type="cellIs" dxfId="44" priority="12" operator="equal">
      <formula>"D"</formula>
    </cfRule>
  </conditionalFormatting>
  <conditionalFormatting sqref="M6:N39">
    <cfRule type="cellIs" dxfId="43" priority="17" operator="equal">
      <formula>"S"</formula>
    </cfRule>
    <cfRule type="cellIs" dxfId="42" priority="18" operator="equal">
      <formula>"A"</formula>
    </cfRule>
    <cfRule type="cellIs" dxfId="41" priority="19" operator="equal">
      <formula>"C"</formula>
    </cfRule>
    <cfRule type="cellIs" dxfId="40" priority="20" operator="equal">
      <formula>"D"</formula>
    </cfRule>
  </conditionalFormatting>
  <conditionalFormatting sqref="T6:U39">
    <cfRule type="cellIs" dxfId="39" priority="25" operator="equal">
      <formula>"S"</formula>
    </cfRule>
    <cfRule type="cellIs" dxfId="38" priority="26" operator="equal">
      <formula>"A"</formula>
    </cfRule>
    <cfRule type="cellIs" dxfId="37" priority="27" operator="equal">
      <formula>"C"</formula>
    </cfRule>
    <cfRule type="cellIs" dxfId="36" priority="28" operator="equal">
      <formula>"D"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P41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N45" sqref="N45"/>
    </sheetView>
  </sheetViews>
  <sheetFormatPr defaultRowHeight="16.899999999999999" x14ac:dyDescent="0.6"/>
  <cols>
    <col min="1" max="1" width="5" customWidth="1"/>
    <col min="2" max="4" width="11" customWidth="1"/>
    <col min="5" max="5" width="14" customWidth="1"/>
    <col min="6" max="6" width="13" customWidth="1"/>
    <col min="7" max="16" width="12.75" customWidth="1"/>
  </cols>
  <sheetData>
    <row r="1" spans="1:16" ht="28.05" customHeight="1" x14ac:dyDescent="0.6">
      <c r="A1" s="51" t="s">
        <v>550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</row>
    <row r="2" spans="1:16" ht="18" customHeight="1" x14ac:dyDescent="0.6">
      <c r="A2" s="48" t="s">
        <v>551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</row>
    <row r="4" spans="1:16" ht="22.05" customHeight="1" x14ac:dyDescent="0.6">
      <c r="A4" s="45" t="s">
        <v>552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</row>
    <row r="5" spans="1:16" ht="33.75" x14ac:dyDescent="0.6">
      <c r="A5" s="2" t="s">
        <v>131</v>
      </c>
      <c r="B5" s="2" t="s">
        <v>132</v>
      </c>
      <c r="C5" s="2" t="s">
        <v>133</v>
      </c>
      <c r="D5" s="2" t="s">
        <v>134</v>
      </c>
      <c r="E5" s="2" t="s">
        <v>136</v>
      </c>
      <c r="F5" s="2" t="s">
        <v>553</v>
      </c>
      <c r="G5" s="2" t="s">
        <v>549</v>
      </c>
      <c r="H5" s="2" t="s">
        <v>554</v>
      </c>
      <c r="I5" s="2" t="s">
        <v>555</v>
      </c>
      <c r="J5" s="2" t="s">
        <v>556</v>
      </c>
      <c r="K5" s="2" t="s">
        <v>557</v>
      </c>
      <c r="L5" s="2" t="s">
        <v>558</v>
      </c>
      <c r="M5" s="2" t="s">
        <v>559</v>
      </c>
      <c r="N5" s="2" t="s">
        <v>560</v>
      </c>
      <c r="O5" s="2" t="s">
        <v>561</v>
      </c>
      <c r="P5" s="2" t="s">
        <v>562</v>
      </c>
    </row>
    <row r="6" spans="1:16" x14ac:dyDescent="0.6">
      <c r="A6" s="15">
        <f>'01_인적정보'!A5</f>
        <v>1</v>
      </c>
      <c r="B6" s="15" t="str">
        <f>'01_인적정보'!B5</f>
        <v>BSS-001</v>
      </c>
      <c r="C6" s="15" t="str">
        <f>'01_인적정보'!C5</f>
        <v>이화형</v>
      </c>
      <c r="D6" s="15" t="str">
        <f>'01_인적정보'!D5</f>
        <v>영업</v>
      </c>
      <c r="E6" s="15" t="str">
        <f>'01_인적정보'!F5</f>
        <v>스마트사업부</v>
      </c>
      <c r="F6" s="21">
        <v>72500000</v>
      </c>
      <c r="G6" s="15" t="str">
        <f>'08_종합평가'!U6</f>
        <v>D</v>
      </c>
      <c r="H6" s="23">
        <f>IF(G6="","",IF(G6="S",'02_의사결정·종합결과'!$B$24,IF(G6="A",'02_의사결정·종합결과'!$C$24,IF(G6="B",'02_의사결정·종합결과'!$D$24,IF(G6="C",'02_의사결정·종합결과'!$E$24,'02_의사결정·종합결과'!$F$24)))))</f>
        <v>0.02</v>
      </c>
      <c r="I6" s="12"/>
      <c r="J6" s="23">
        <f>IF(I6="Y",'02_의사결정·종합결과'!$B$26,0)</f>
        <v>0</v>
      </c>
      <c r="K6" s="23">
        <f t="shared" ref="K6:K39" si="0">IF(H6="","",H6+J6)</f>
        <v>0.02</v>
      </c>
      <c r="L6" s="27">
        <f>IFERROR(VLOOKUP(IF(LEFT('01_인적정보'!H5,2)="G5","G5",'01_인적정보'!H5),'02_의사결정·종합결과'!$A$30:$D$35,2,FALSE),0)</f>
        <v>58000000</v>
      </c>
      <c r="M6" s="27">
        <f>IFERROR(VLOOKUP(IF(LEFT('01_인적정보'!H5,2)="G5","G5",'01_인적정보'!H5),'02_의사결정·종합결과'!$A$30:$D$35,4,FALSE),0)</f>
        <v>80000000</v>
      </c>
      <c r="N6" s="27">
        <f t="shared" ref="N6:N39" si="1">IF(K6="","",ROUND(F6*(1+K6),-4))</f>
        <v>73950000</v>
      </c>
      <c r="O6" s="27">
        <f t="shared" ref="O6:O39" si="2">N6</f>
        <v>73950000</v>
      </c>
      <c r="P6" s="27">
        <f t="shared" ref="P6:P39" si="3">IF(O6="","",O6-F6)</f>
        <v>1450000</v>
      </c>
    </row>
    <row r="7" spans="1:16" x14ac:dyDescent="0.6">
      <c r="A7" s="15">
        <f>'01_인적정보'!A6</f>
        <v>2</v>
      </c>
      <c r="B7" s="15" t="str">
        <f>'01_인적정보'!B6</f>
        <v>BSS-002</v>
      </c>
      <c r="C7" s="15" t="str">
        <f>'01_인적정보'!C6</f>
        <v>강전용</v>
      </c>
      <c r="D7" s="15" t="str">
        <f>'01_인적정보'!D6</f>
        <v>연구&amp;개발</v>
      </c>
      <c r="E7" s="15" t="str">
        <f>'01_인적정보'!F6</f>
        <v>R&amp;D 본부</v>
      </c>
      <c r="F7" s="21">
        <v>68870000</v>
      </c>
      <c r="G7" s="15" t="str">
        <f>'08_종합평가'!U7</f>
        <v>D</v>
      </c>
      <c r="H7" s="23">
        <f>IF(G7="","",IF(G7="S",'02_의사결정·종합결과'!$B$24,IF(G7="A",'02_의사결정·종합결과'!$C$24,IF(G7="B",'02_의사결정·종합결과'!$D$24,IF(G7="C",'02_의사결정·종합결과'!$E$24,'02_의사결정·종합결과'!$F$24)))))</f>
        <v>0.02</v>
      </c>
      <c r="I7" s="12"/>
      <c r="J7" s="23">
        <f>IF(I7="Y",'02_의사결정·종합결과'!$B$26,0)</f>
        <v>0</v>
      </c>
      <c r="K7" s="23">
        <f t="shared" si="0"/>
        <v>0.02</v>
      </c>
      <c r="L7" s="27">
        <f>IFERROR(VLOOKUP(IF(LEFT('01_인적정보'!H6,2)="G5","G5",'01_인적정보'!H6),'02_의사결정·종합결과'!$A$30:$D$35,2,FALSE),0)</f>
        <v>58000000</v>
      </c>
      <c r="M7" s="27">
        <f>IFERROR(VLOOKUP(IF(LEFT('01_인적정보'!H6,2)="G5","G5",'01_인적정보'!H6),'02_의사결정·종합결과'!$A$30:$D$35,4,FALSE),0)</f>
        <v>80000000</v>
      </c>
      <c r="N7" s="27">
        <f t="shared" si="1"/>
        <v>70250000</v>
      </c>
      <c r="O7" s="27">
        <f t="shared" si="2"/>
        <v>70250000</v>
      </c>
      <c r="P7" s="27">
        <f t="shared" si="3"/>
        <v>1380000</v>
      </c>
    </row>
    <row r="8" spans="1:16" x14ac:dyDescent="0.6">
      <c r="A8" s="15">
        <f>'01_인적정보'!A7</f>
        <v>3</v>
      </c>
      <c r="B8" s="15" t="str">
        <f>'01_인적정보'!B7</f>
        <v>BSS-003</v>
      </c>
      <c r="C8" s="15" t="str">
        <f>'01_인적정보'!C7</f>
        <v>김현민</v>
      </c>
      <c r="D8" s="15" t="str">
        <f>'01_인적정보'!D7</f>
        <v>설계</v>
      </c>
      <c r="E8" s="15" t="str">
        <f>'01_인적정보'!F7</f>
        <v>컨설팅본부</v>
      </c>
      <c r="F8" s="21">
        <v>67500000</v>
      </c>
      <c r="G8" s="15" t="str">
        <f>'08_종합평가'!U8</f>
        <v>D</v>
      </c>
      <c r="H8" s="23">
        <f>IF(G8="","",IF(G8="S",'02_의사결정·종합결과'!$B$24,IF(G8="A",'02_의사결정·종합결과'!$C$24,IF(G8="B",'02_의사결정·종합결과'!$D$24,IF(G8="C",'02_의사결정·종합결과'!$E$24,'02_의사결정·종합결과'!$F$24)))))</f>
        <v>0.02</v>
      </c>
      <c r="I8" s="12"/>
      <c r="J8" s="23">
        <f>IF(I8="Y",'02_의사결정·종합결과'!$B$26,0)</f>
        <v>0</v>
      </c>
      <c r="K8" s="23">
        <f t="shared" si="0"/>
        <v>0.02</v>
      </c>
      <c r="L8" s="27">
        <f>IFERROR(VLOOKUP(IF(LEFT('01_인적정보'!H7,2)="G5","G5",'01_인적정보'!H7),'02_의사결정·종합결과'!$A$30:$D$35,2,FALSE),0)</f>
        <v>58000000</v>
      </c>
      <c r="M8" s="27">
        <f>IFERROR(VLOOKUP(IF(LEFT('01_인적정보'!H7,2)="G5","G5",'01_인적정보'!H7),'02_의사결정·종합결과'!$A$30:$D$35,4,FALSE),0)</f>
        <v>80000000</v>
      </c>
      <c r="N8" s="27">
        <f t="shared" si="1"/>
        <v>68850000</v>
      </c>
      <c r="O8" s="27">
        <f t="shared" si="2"/>
        <v>68850000</v>
      </c>
      <c r="P8" s="27">
        <f t="shared" si="3"/>
        <v>1350000</v>
      </c>
    </row>
    <row r="9" spans="1:16" x14ac:dyDescent="0.6">
      <c r="A9" s="15">
        <f>'01_인적정보'!A8</f>
        <v>4</v>
      </c>
      <c r="B9" s="15" t="str">
        <f>'01_인적정보'!B8</f>
        <v>BSS-004</v>
      </c>
      <c r="C9" s="15" t="str">
        <f>'01_인적정보'!C8</f>
        <v>이일곤</v>
      </c>
      <c r="D9" s="15" t="str">
        <f>'01_인적정보'!D8</f>
        <v>경영관리</v>
      </c>
      <c r="E9" s="15" t="str">
        <f>'01_인적정보'!F8</f>
        <v>경영전략실</v>
      </c>
      <c r="F9" s="21">
        <v>64530000</v>
      </c>
      <c r="G9" s="15" t="str">
        <f>'08_종합평가'!U9</f>
        <v>D</v>
      </c>
      <c r="H9" s="23">
        <f>IF(G9="","",IF(G9="S",'02_의사결정·종합결과'!$B$24,IF(G9="A",'02_의사결정·종합결과'!$C$24,IF(G9="B",'02_의사결정·종합결과'!$D$24,IF(G9="C",'02_의사결정·종합결과'!$E$24,'02_의사결정·종합결과'!$F$24)))))</f>
        <v>0.02</v>
      </c>
      <c r="I9" s="12"/>
      <c r="J9" s="23">
        <f>IF(I9="Y",'02_의사결정·종합결과'!$B$26,0)</f>
        <v>0</v>
      </c>
      <c r="K9" s="23">
        <f t="shared" si="0"/>
        <v>0.02</v>
      </c>
      <c r="L9" s="27">
        <f>IFERROR(VLOOKUP(IF(LEFT('01_인적정보'!H8,2)="G5","G5",'01_인적정보'!H8),'02_의사결정·종합결과'!$A$30:$D$35,2,FALSE),0)</f>
        <v>58000000</v>
      </c>
      <c r="M9" s="27">
        <f>IFERROR(VLOOKUP(IF(LEFT('01_인적정보'!H8,2)="G5","G5",'01_인적정보'!H8),'02_의사결정·종합결과'!$A$30:$D$35,4,FALSE),0)</f>
        <v>80000000</v>
      </c>
      <c r="N9" s="27">
        <f t="shared" si="1"/>
        <v>65820000</v>
      </c>
      <c r="O9" s="27">
        <f t="shared" si="2"/>
        <v>65820000</v>
      </c>
      <c r="P9" s="27">
        <f t="shared" si="3"/>
        <v>1290000</v>
      </c>
    </row>
    <row r="10" spans="1:16" x14ac:dyDescent="0.6">
      <c r="A10" s="15">
        <f>'01_인적정보'!A9</f>
        <v>5</v>
      </c>
      <c r="B10" s="15" t="str">
        <f>'01_인적정보'!B9</f>
        <v>BSS-005</v>
      </c>
      <c r="C10" s="15" t="str">
        <f>'01_인적정보'!C9</f>
        <v>송헌영</v>
      </c>
      <c r="D10" s="15" t="str">
        <f>'01_인적정보'!D9</f>
        <v>경영관리</v>
      </c>
      <c r="E10" s="15" t="str">
        <f>'01_인적정보'!F9</f>
        <v>경영전략실</v>
      </c>
      <c r="F10" s="21">
        <v>65180000</v>
      </c>
      <c r="G10" s="15" t="str">
        <f>'08_종합평가'!U10</f>
        <v>D</v>
      </c>
      <c r="H10" s="23">
        <f>IF(G10="","",IF(G10="S",'02_의사결정·종합결과'!$B$24,IF(G10="A",'02_의사결정·종합결과'!$C$24,IF(G10="B",'02_의사결정·종합결과'!$D$24,IF(G10="C",'02_의사결정·종합결과'!$E$24,'02_의사결정·종합결과'!$F$24)))))</f>
        <v>0.02</v>
      </c>
      <c r="I10" s="12"/>
      <c r="J10" s="23">
        <f>IF(I10="Y",'02_의사결정·종합결과'!$B$26,0)</f>
        <v>0</v>
      </c>
      <c r="K10" s="23">
        <f t="shared" si="0"/>
        <v>0.02</v>
      </c>
      <c r="L10" s="27">
        <f>IFERROR(VLOOKUP(IF(LEFT('01_인적정보'!H9,2)="G5","G5",'01_인적정보'!H9),'02_의사결정·종합결과'!$A$30:$D$35,2,FALSE),0)</f>
        <v>58000000</v>
      </c>
      <c r="M10" s="27">
        <f>IFERROR(VLOOKUP(IF(LEFT('01_인적정보'!H9,2)="G5","G5",'01_인적정보'!H9),'02_의사결정·종합결과'!$A$30:$D$35,4,FALSE),0)</f>
        <v>80000000</v>
      </c>
      <c r="N10" s="27">
        <f t="shared" si="1"/>
        <v>66480000</v>
      </c>
      <c r="O10" s="27">
        <f t="shared" si="2"/>
        <v>66480000</v>
      </c>
      <c r="P10" s="27">
        <f t="shared" si="3"/>
        <v>1300000</v>
      </c>
    </row>
    <row r="11" spans="1:16" x14ac:dyDescent="0.6">
      <c r="A11" s="15">
        <f>'01_인적정보'!A10</f>
        <v>6</v>
      </c>
      <c r="B11" s="15" t="str">
        <f>'01_인적정보'!B10</f>
        <v>BSS-006</v>
      </c>
      <c r="C11" s="15" t="str">
        <f>'01_인적정보'!C10</f>
        <v>이재용</v>
      </c>
      <c r="D11" s="15" t="str">
        <f>'01_인적정보'!D10</f>
        <v>경영관리</v>
      </c>
      <c r="E11" s="15" t="str">
        <f>'01_인적정보'!F10</f>
        <v>경영전략실</v>
      </c>
      <c r="F11" s="21">
        <v>62000000</v>
      </c>
      <c r="G11" s="15" t="str">
        <f>'08_종합평가'!U11</f>
        <v>D</v>
      </c>
      <c r="H11" s="23">
        <f>IF(G11="","",IF(G11="S",'02_의사결정·종합결과'!$B$24,IF(G11="A",'02_의사결정·종합결과'!$C$24,IF(G11="B",'02_의사결정·종합결과'!$D$24,IF(G11="C",'02_의사결정·종합결과'!$E$24,'02_의사결정·종합결과'!$F$24)))))</f>
        <v>0.02</v>
      </c>
      <c r="I11" s="12"/>
      <c r="J11" s="23">
        <f>IF(I11="Y",'02_의사결정·종합결과'!$B$26,0)</f>
        <v>0</v>
      </c>
      <c r="K11" s="23">
        <f t="shared" si="0"/>
        <v>0.02</v>
      </c>
      <c r="L11" s="27">
        <f>IFERROR(VLOOKUP(IF(LEFT('01_인적정보'!H10,2)="G5","G5",'01_인적정보'!H10),'02_의사결정·종합결과'!$A$30:$D$35,2,FALSE),0)</f>
        <v>58000000</v>
      </c>
      <c r="M11" s="27">
        <f>IFERROR(VLOOKUP(IF(LEFT('01_인적정보'!H10,2)="G5","G5",'01_인적정보'!H10),'02_의사결정·종합결과'!$A$30:$D$35,4,FALSE),0)</f>
        <v>80000000</v>
      </c>
      <c r="N11" s="27">
        <f t="shared" si="1"/>
        <v>63240000</v>
      </c>
      <c r="O11" s="27">
        <f t="shared" si="2"/>
        <v>63240000</v>
      </c>
      <c r="P11" s="27">
        <f t="shared" si="3"/>
        <v>1240000</v>
      </c>
    </row>
    <row r="12" spans="1:16" x14ac:dyDescent="0.6">
      <c r="A12" s="15">
        <f>'01_인적정보'!A11</f>
        <v>7</v>
      </c>
      <c r="B12" s="15" t="str">
        <f>'01_인적정보'!B11</f>
        <v>BSS-007</v>
      </c>
      <c r="C12" s="15" t="str">
        <f>'01_인적정보'!C11</f>
        <v>이진행</v>
      </c>
      <c r="D12" s="15" t="str">
        <f>'01_인적정보'!D11</f>
        <v>교육 및 기술지원</v>
      </c>
      <c r="E12" s="15" t="str">
        <f>'01_인적정보'!F11</f>
        <v>솔루션본부</v>
      </c>
      <c r="F12" s="21">
        <v>59700000</v>
      </c>
      <c r="G12" s="15" t="str">
        <f>'08_종합평가'!U12</f>
        <v>D</v>
      </c>
      <c r="H12" s="23">
        <f>IF(G12="","",IF(G12="S",'02_의사결정·종합결과'!$B$24,IF(G12="A",'02_의사결정·종합결과'!$C$24,IF(G12="B",'02_의사결정·종합결과'!$D$24,IF(G12="C",'02_의사결정·종합결과'!$E$24,'02_의사결정·종합결과'!$F$24)))))</f>
        <v>0.02</v>
      </c>
      <c r="I12" s="12"/>
      <c r="J12" s="23">
        <f>IF(I12="Y",'02_의사결정·종합결과'!$B$26,0)</f>
        <v>0</v>
      </c>
      <c r="K12" s="23">
        <f t="shared" si="0"/>
        <v>0.02</v>
      </c>
      <c r="L12" s="27">
        <f>IFERROR(VLOOKUP(IF(LEFT('01_인적정보'!H11,2)="G5","G5",'01_인적정보'!H11),'02_의사결정·종합결과'!$A$30:$D$35,2,FALSE),0)</f>
        <v>53000000</v>
      </c>
      <c r="M12" s="27">
        <f>IFERROR(VLOOKUP(IF(LEFT('01_인적정보'!H11,2)="G5","G5",'01_인적정보'!H11),'02_의사결정·종합결과'!$A$30:$D$35,4,FALSE),0)</f>
        <v>73000000</v>
      </c>
      <c r="N12" s="27">
        <f t="shared" si="1"/>
        <v>60890000</v>
      </c>
      <c r="O12" s="27">
        <f t="shared" si="2"/>
        <v>60890000</v>
      </c>
      <c r="P12" s="27">
        <f t="shared" si="3"/>
        <v>1190000</v>
      </c>
    </row>
    <row r="13" spans="1:16" x14ac:dyDescent="0.6">
      <c r="A13" s="15">
        <f>'01_인적정보'!A12</f>
        <v>8</v>
      </c>
      <c r="B13" s="15" t="str">
        <f>'01_인적정보'!B12</f>
        <v>BSS-008</v>
      </c>
      <c r="C13" s="15" t="str">
        <f>'01_인적정보'!C12</f>
        <v>김민수</v>
      </c>
      <c r="D13" s="15" t="str">
        <f>'01_인적정보'!D12</f>
        <v>교육 및 기술지원</v>
      </c>
      <c r="E13" s="15" t="str">
        <f>'01_인적정보'!F12</f>
        <v>솔루션본부</v>
      </c>
      <c r="F13" s="21">
        <v>59050000</v>
      </c>
      <c r="G13" s="15" t="str">
        <f>'08_종합평가'!U13</f>
        <v>D</v>
      </c>
      <c r="H13" s="23">
        <f>IF(G13="","",IF(G13="S",'02_의사결정·종합결과'!$B$24,IF(G13="A",'02_의사결정·종합결과'!$C$24,IF(G13="B",'02_의사결정·종합결과'!$D$24,IF(G13="C",'02_의사결정·종합결과'!$E$24,'02_의사결정·종합결과'!$F$24)))))</f>
        <v>0.02</v>
      </c>
      <c r="I13" s="12"/>
      <c r="J13" s="23">
        <f>IF(I13="Y",'02_의사결정·종합결과'!$B$26,0)</f>
        <v>0</v>
      </c>
      <c r="K13" s="23">
        <f t="shared" si="0"/>
        <v>0.02</v>
      </c>
      <c r="L13" s="27">
        <f>IFERROR(VLOOKUP(IF(LEFT('01_인적정보'!H12,2)="G5","G5",'01_인적정보'!H12),'02_의사결정·종합결과'!$A$30:$D$35,2,FALSE),0)</f>
        <v>53000000</v>
      </c>
      <c r="M13" s="27">
        <f>IFERROR(VLOOKUP(IF(LEFT('01_인적정보'!H12,2)="G5","G5",'01_인적정보'!H12),'02_의사결정·종합결과'!$A$30:$D$35,4,FALSE),0)</f>
        <v>73000000</v>
      </c>
      <c r="N13" s="27">
        <f t="shared" si="1"/>
        <v>60230000</v>
      </c>
      <c r="O13" s="27">
        <f t="shared" si="2"/>
        <v>60230000</v>
      </c>
      <c r="P13" s="27">
        <f t="shared" si="3"/>
        <v>1180000</v>
      </c>
    </row>
    <row r="14" spans="1:16" x14ac:dyDescent="0.6">
      <c r="A14" s="15">
        <f>'01_인적정보'!A13</f>
        <v>9</v>
      </c>
      <c r="B14" s="15" t="str">
        <f>'01_인적정보'!B13</f>
        <v>BSS-009</v>
      </c>
      <c r="C14" s="15" t="str">
        <f>'01_인적정보'!C13</f>
        <v>박남식</v>
      </c>
      <c r="D14" s="15" t="str">
        <f>'01_인적정보'!D13</f>
        <v>설계</v>
      </c>
      <c r="E14" s="15" t="str">
        <f>'01_인적정보'!F13</f>
        <v>컨설팅본부</v>
      </c>
      <c r="F14" s="21">
        <v>59050000</v>
      </c>
      <c r="G14" s="15" t="str">
        <f>'08_종합평가'!U14</f>
        <v>D</v>
      </c>
      <c r="H14" s="23">
        <f>IF(G14="","",IF(G14="S",'02_의사결정·종합결과'!$B$24,IF(G14="A",'02_의사결정·종합결과'!$C$24,IF(G14="B",'02_의사결정·종합결과'!$D$24,IF(G14="C",'02_의사결정·종합결과'!$E$24,'02_의사결정·종합결과'!$F$24)))))</f>
        <v>0.02</v>
      </c>
      <c r="I14" s="12"/>
      <c r="J14" s="23">
        <f>IF(I14="Y",'02_의사결정·종합결과'!$B$26,0)</f>
        <v>0</v>
      </c>
      <c r="K14" s="23">
        <f t="shared" si="0"/>
        <v>0.02</v>
      </c>
      <c r="L14" s="27">
        <f>IFERROR(VLOOKUP(IF(LEFT('01_인적정보'!H13,2)="G5","G5",'01_인적정보'!H13),'02_의사결정·종합결과'!$A$30:$D$35,2,FALSE),0)</f>
        <v>53000000</v>
      </c>
      <c r="M14" s="27">
        <f>IFERROR(VLOOKUP(IF(LEFT('01_인적정보'!H13,2)="G5","G5",'01_인적정보'!H13),'02_의사결정·종합결과'!$A$30:$D$35,4,FALSE),0)</f>
        <v>73000000</v>
      </c>
      <c r="N14" s="27">
        <f t="shared" si="1"/>
        <v>60230000</v>
      </c>
      <c r="O14" s="27">
        <f t="shared" si="2"/>
        <v>60230000</v>
      </c>
      <c r="P14" s="27">
        <f t="shared" si="3"/>
        <v>1180000</v>
      </c>
    </row>
    <row r="15" spans="1:16" x14ac:dyDescent="0.6">
      <c r="A15" s="15">
        <f>'01_인적정보'!A14</f>
        <v>10</v>
      </c>
      <c r="B15" s="15" t="str">
        <f>'01_인적정보'!B14</f>
        <v>BSS-010</v>
      </c>
      <c r="C15" s="15" t="str">
        <f>'01_인적정보'!C14</f>
        <v>신재민</v>
      </c>
      <c r="D15" s="15" t="str">
        <f>'01_인적정보'!D14</f>
        <v>설계</v>
      </c>
      <c r="E15" s="15" t="str">
        <f>'01_인적정보'!F14</f>
        <v>컨설팅본부</v>
      </c>
      <c r="F15" s="21">
        <v>59050000</v>
      </c>
      <c r="G15" s="15" t="str">
        <f>'08_종합평가'!U15</f>
        <v>D</v>
      </c>
      <c r="H15" s="23">
        <f>IF(G15="","",IF(G15="S",'02_의사결정·종합결과'!$B$24,IF(G15="A",'02_의사결정·종합결과'!$C$24,IF(G15="B",'02_의사결정·종합결과'!$D$24,IF(G15="C",'02_의사결정·종합결과'!$E$24,'02_의사결정·종합결과'!$F$24)))))</f>
        <v>0.02</v>
      </c>
      <c r="I15" s="12"/>
      <c r="J15" s="23">
        <f>IF(I15="Y",'02_의사결정·종합결과'!$B$26,0)</f>
        <v>0</v>
      </c>
      <c r="K15" s="23">
        <f t="shared" si="0"/>
        <v>0.02</v>
      </c>
      <c r="L15" s="27">
        <f>IFERROR(VLOOKUP(IF(LEFT('01_인적정보'!H14,2)="G5","G5",'01_인적정보'!H14),'02_의사결정·종합결과'!$A$30:$D$35,2,FALSE),0)</f>
        <v>53000000</v>
      </c>
      <c r="M15" s="27">
        <f>IFERROR(VLOOKUP(IF(LEFT('01_인적정보'!H14,2)="G5","G5",'01_인적정보'!H14),'02_의사결정·종합결과'!$A$30:$D$35,4,FALSE),0)</f>
        <v>73000000</v>
      </c>
      <c r="N15" s="27">
        <f t="shared" si="1"/>
        <v>60230000</v>
      </c>
      <c r="O15" s="27">
        <f t="shared" si="2"/>
        <v>60230000</v>
      </c>
      <c r="P15" s="27">
        <f t="shared" si="3"/>
        <v>1180000</v>
      </c>
    </row>
    <row r="16" spans="1:16" x14ac:dyDescent="0.6">
      <c r="A16" s="15">
        <f>'01_인적정보'!A15</f>
        <v>11</v>
      </c>
      <c r="B16" s="15" t="str">
        <f>'01_인적정보'!B15</f>
        <v>BSS-011</v>
      </c>
      <c r="C16" s="15" t="str">
        <f>'01_인적정보'!C15</f>
        <v>마장엽</v>
      </c>
      <c r="D16" s="15" t="str">
        <f>'01_인적정보'!D15</f>
        <v>설계</v>
      </c>
      <c r="E16" s="15" t="str">
        <f>'01_인적정보'!F15</f>
        <v>컨설팅본부</v>
      </c>
      <c r="F16" s="21">
        <v>57760000</v>
      </c>
      <c r="G16" s="15" t="str">
        <f>'08_종합평가'!U16</f>
        <v>D</v>
      </c>
      <c r="H16" s="23">
        <f>IF(G16="","",IF(G16="S",'02_의사결정·종합결과'!$B$24,IF(G16="A",'02_의사결정·종합결과'!$C$24,IF(G16="B",'02_의사결정·종합결과'!$D$24,IF(G16="C",'02_의사결정·종합결과'!$E$24,'02_의사결정·종합결과'!$F$24)))))</f>
        <v>0.02</v>
      </c>
      <c r="I16" s="12"/>
      <c r="J16" s="23">
        <f>IF(I16="Y",'02_의사결정·종합결과'!$B$26,0)</f>
        <v>0</v>
      </c>
      <c r="K16" s="23">
        <f t="shared" si="0"/>
        <v>0.02</v>
      </c>
      <c r="L16" s="27">
        <f>IFERROR(VLOOKUP(IF(LEFT('01_인적정보'!H15,2)="G5","G5",'01_인적정보'!H15),'02_의사결정·종합결과'!$A$30:$D$35,2,FALSE),0)</f>
        <v>53000000</v>
      </c>
      <c r="M16" s="27">
        <f>IFERROR(VLOOKUP(IF(LEFT('01_인적정보'!H15,2)="G5","G5",'01_인적정보'!H15),'02_의사결정·종합결과'!$A$30:$D$35,4,FALSE),0)</f>
        <v>73000000</v>
      </c>
      <c r="N16" s="27">
        <f t="shared" si="1"/>
        <v>58920000</v>
      </c>
      <c r="O16" s="27">
        <f t="shared" si="2"/>
        <v>58920000</v>
      </c>
      <c r="P16" s="27">
        <f t="shared" si="3"/>
        <v>1160000</v>
      </c>
    </row>
    <row r="17" spans="1:16" x14ac:dyDescent="0.6">
      <c r="A17" s="15">
        <f>'01_인적정보'!A16</f>
        <v>12</v>
      </c>
      <c r="B17" s="15" t="str">
        <f>'01_인적정보'!B16</f>
        <v>BSS-012</v>
      </c>
      <c r="C17" s="15" t="str">
        <f>'01_인적정보'!C16</f>
        <v>하은주</v>
      </c>
      <c r="D17" s="15" t="str">
        <f>'01_인적정보'!D16</f>
        <v>경영관리</v>
      </c>
      <c r="E17" s="15" t="str">
        <f>'01_인적정보'!F16</f>
        <v>마케팅팀</v>
      </c>
      <c r="F17" s="21">
        <v>57760000</v>
      </c>
      <c r="G17" s="15" t="str">
        <f>'08_종합평가'!U17</f>
        <v>D</v>
      </c>
      <c r="H17" s="23">
        <f>IF(G17="","",IF(G17="S",'02_의사결정·종합결과'!$B$24,IF(G17="A",'02_의사결정·종합결과'!$C$24,IF(G17="B",'02_의사결정·종합결과'!$D$24,IF(G17="C",'02_의사결정·종합결과'!$E$24,'02_의사결정·종합결과'!$F$24)))))</f>
        <v>0.02</v>
      </c>
      <c r="I17" s="12"/>
      <c r="J17" s="23">
        <f>IF(I17="Y",'02_의사결정·종합결과'!$B$26,0)</f>
        <v>0</v>
      </c>
      <c r="K17" s="23">
        <f t="shared" si="0"/>
        <v>0.02</v>
      </c>
      <c r="L17" s="27">
        <f>IFERROR(VLOOKUP(IF(LEFT('01_인적정보'!H16,2)="G5","G5",'01_인적정보'!H16),'02_의사결정·종합결과'!$A$30:$D$35,2,FALSE),0)</f>
        <v>53000000</v>
      </c>
      <c r="M17" s="27">
        <f>IFERROR(VLOOKUP(IF(LEFT('01_인적정보'!H16,2)="G5","G5",'01_인적정보'!H16),'02_의사결정·종합결과'!$A$30:$D$35,4,FALSE),0)</f>
        <v>73000000</v>
      </c>
      <c r="N17" s="27">
        <f t="shared" si="1"/>
        <v>58920000</v>
      </c>
      <c r="O17" s="27">
        <f t="shared" si="2"/>
        <v>58920000</v>
      </c>
      <c r="P17" s="27">
        <f t="shared" si="3"/>
        <v>1160000</v>
      </c>
    </row>
    <row r="18" spans="1:16" x14ac:dyDescent="0.6">
      <c r="A18" s="15">
        <f>'01_인적정보'!A17</f>
        <v>13</v>
      </c>
      <c r="B18" s="15" t="str">
        <f>'01_인적정보'!B17</f>
        <v>BSS-013</v>
      </c>
      <c r="C18" s="15" t="str">
        <f>'01_인적정보'!C17</f>
        <v>홍사훈</v>
      </c>
      <c r="D18" s="15" t="str">
        <f>'01_인적정보'!D17</f>
        <v>설계</v>
      </c>
      <c r="E18" s="15" t="str">
        <f>'01_인적정보'!F17</f>
        <v>컨설팅본부</v>
      </c>
      <c r="F18" s="21">
        <v>58400000</v>
      </c>
      <c r="G18" s="15" t="str">
        <f>'08_종합평가'!U18</f>
        <v>D</v>
      </c>
      <c r="H18" s="23">
        <f>IF(G18="","",IF(G18="S",'02_의사결정·종합결과'!$B$24,IF(G18="A",'02_의사결정·종합결과'!$C$24,IF(G18="B",'02_의사결정·종합결과'!$D$24,IF(G18="C",'02_의사결정·종합결과'!$E$24,'02_의사결정·종합결과'!$F$24)))))</f>
        <v>0.02</v>
      </c>
      <c r="I18" s="12"/>
      <c r="J18" s="23">
        <f>IF(I18="Y",'02_의사결정·종합결과'!$B$26,0)</f>
        <v>0</v>
      </c>
      <c r="K18" s="23">
        <f t="shared" si="0"/>
        <v>0.02</v>
      </c>
      <c r="L18" s="27">
        <f>IFERROR(VLOOKUP(IF(LEFT('01_인적정보'!H17,2)="G5","G5",'01_인적정보'!H17),'02_의사결정·종합결과'!$A$30:$D$35,2,FALSE),0)</f>
        <v>53000000</v>
      </c>
      <c r="M18" s="27">
        <f>IFERROR(VLOOKUP(IF(LEFT('01_인적정보'!H17,2)="G5","G5",'01_인적정보'!H17),'02_의사결정·종합결과'!$A$30:$D$35,4,FALSE),0)</f>
        <v>73000000</v>
      </c>
      <c r="N18" s="27">
        <f t="shared" si="1"/>
        <v>59570000</v>
      </c>
      <c r="O18" s="27">
        <f t="shared" si="2"/>
        <v>59570000</v>
      </c>
      <c r="P18" s="27">
        <f t="shared" si="3"/>
        <v>1170000</v>
      </c>
    </row>
    <row r="19" spans="1:16" x14ac:dyDescent="0.6">
      <c r="A19" s="15">
        <f>'01_인적정보'!A18</f>
        <v>14</v>
      </c>
      <c r="B19" s="15" t="str">
        <f>'01_인적정보'!B18</f>
        <v>BSS-014</v>
      </c>
      <c r="C19" s="15" t="str">
        <f>'01_인적정보'!C18</f>
        <v>유자영</v>
      </c>
      <c r="D19" s="15" t="str">
        <f>'01_인적정보'!D18</f>
        <v>설계</v>
      </c>
      <c r="E19" s="15" t="str">
        <f>'01_인적정보'!F18</f>
        <v>컨설팅본부</v>
      </c>
      <c r="F19" s="21">
        <v>56500000</v>
      </c>
      <c r="G19" s="15" t="str">
        <f>'08_종합평가'!U19</f>
        <v>D</v>
      </c>
      <c r="H19" s="23">
        <f>IF(G19="","",IF(G19="S",'02_의사결정·종합결과'!$B$24,IF(G19="A",'02_의사결정·종합결과'!$C$24,IF(G19="B",'02_의사결정·종합결과'!$D$24,IF(G19="C",'02_의사결정·종합결과'!$E$24,'02_의사결정·종합결과'!$F$24)))))</f>
        <v>0.02</v>
      </c>
      <c r="I19" s="12"/>
      <c r="J19" s="23">
        <f>IF(I19="Y",'02_의사결정·종합결과'!$B$26,0)</f>
        <v>0</v>
      </c>
      <c r="K19" s="23">
        <f t="shared" si="0"/>
        <v>0.02</v>
      </c>
      <c r="L19" s="27">
        <f>IFERROR(VLOOKUP(IF(LEFT('01_인적정보'!H18,2)="G5","G5",'01_인적정보'!H18),'02_의사결정·종합결과'!$A$30:$D$35,2,FALSE),0)</f>
        <v>53000000</v>
      </c>
      <c r="M19" s="27">
        <f>IFERROR(VLOOKUP(IF(LEFT('01_인적정보'!H18,2)="G5","G5",'01_인적정보'!H18),'02_의사결정·종합결과'!$A$30:$D$35,4,FALSE),0)</f>
        <v>73000000</v>
      </c>
      <c r="N19" s="27">
        <f t="shared" si="1"/>
        <v>57630000</v>
      </c>
      <c r="O19" s="27">
        <f t="shared" si="2"/>
        <v>57630000</v>
      </c>
      <c r="P19" s="27">
        <f t="shared" si="3"/>
        <v>1130000</v>
      </c>
    </row>
    <row r="20" spans="1:16" x14ac:dyDescent="0.6">
      <c r="A20" s="15">
        <f>'01_인적정보'!A19</f>
        <v>15</v>
      </c>
      <c r="B20" s="15" t="str">
        <f>'01_인적정보'!B19</f>
        <v>BSS-015</v>
      </c>
      <c r="C20" s="15" t="str">
        <f>'01_인적정보'!C19</f>
        <v>민지선</v>
      </c>
      <c r="D20" s="15" t="str">
        <f>'01_인적정보'!D19</f>
        <v>설계</v>
      </c>
      <c r="E20" s="15" t="str">
        <f>'01_인적정보'!F19</f>
        <v>컨설팅본부</v>
      </c>
      <c r="F20" s="21">
        <v>53160000</v>
      </c>
      <c r="G20" s="15" t="str">
        <f>'08_종합평가'!U20</f>
        <v>D</v>
      </c>
      <c r="H20" s="23">
        <f>IF(G20="","",IF(G20="S",'02_의사결정·종합결과'!$B$24,IF(G20="A",'02_의사결정·종합결과'!$C$24,IF(G20="B",'02_의사결정·종합결과'!$D$24,IF(G20="C",'02_의사결정·종합결과'!$E$24,'02_의사결정·종합결과'!$F$24)))))</f>
        <v>0.02</v>
      </c>
      <c r="I20" s="12"/>
      <c r="J20" s="23">
        <f>IF(I20="Y",'02_의사결정·종합결과'!$B$26,0)</f>
        <v>0</v>
      </c>
      <c r="K20" s="23">
        <f t="shared" si="0"/>
        <v>0.02</v>
      </c>
      <c r="L20" s="27">
        <f>IFERROR(VLOOKUP(IF(LEFT('01_인적정보'!H19,2)="G5","G5",'01_인적정보'!H19),'02_의사결정·종합결과'!$A$30:$D$35,2,FALSE),0)</f>
        <v>53000000</v>
      </c>
      <c r="M20" s="27">
        <f>IFERROR(VLOOKUP(IF(LEFT('01_인적정보'!H19,2)="G5","G5",'01_인적정보'!H19),'02_의사결정·종합결과'!$A$30:$D$35,4,FALSE),0)</f>
        <v>73000000</v>
      </c>
      <c r="N20" s="27">
        <f t="shared" si="1"/>
        <v>54220000</v>
      </c>
      <c r="O20" s="27">
        <f t="shared" si="2"/>
        <v>54220000</v>
      </c>
      <c r="P20" s="27">
        <f t="shared" si="3"/>
        <v>1060000</v>
      </c>
    </row>
    <row r="21" spans="1:16" x14ac:dyDescent="0.6">
      <c r="A21" s="15">
        <f>'01_인적정보'!A20</f>
        <v>16</v>
      </c>
      <c r="B21" s="15" t="str">
        <f>'01_인적정보'!B20</f>
        <v>BSS-016</v>
      </c>
      <c r="C21" s="15" t="str">
        <f>'01_인적정보'!C20</f>
        <v>장훈</v>
      </c>
      <c r="D21" s="15" t="str">
        <f>'01_인적정보'!D20</f>
        <v>설계</v>
      </c>
      <c r="E21" s="15" t="str">
        <f>'01_인적정보'!F20</f>
        <v>컨설팅본부</v>
      </c>
      <c r="F21" s="21">
        <v>53750000</v>
      </c>
      <c r="G21" s="15" t="str">
        <f>'08_종합평가'!U21</f>
        <v>D</v>
      </c>
      <c r="H21" s="23">
        <f>IF(G21="","",IF(G21="S",'02_의사결정·종합결과'!$B$24,IF(G21="A",'02_의사결정·종합결과'!$C$24,IF(G21="B",'02_의사결정·종합결과'!$D$24,IF(G21="C",'02_의사결정·종합결과'!$E$24,'02_의사결정·종합결과'!$F$24)))))</f>
        <v>0.02</v>
      </c>
      <c r="I21" s="12"/>
      <c r="J21" s="23">
        <f>IF(I21="Y",'02_의사결정·종합결과'!$B$26,0)</f>
        <v>0</v>
      </c>
      <c r="K21" s="23">
        <f t="shared" si="0"/>
        <v>0.02</v>
      </c>
      <c r="L21" s="27">
        <f>IFERROR(VLOOKUP(IF(LEFT('01_인적정보'!H20,2)="G5","G5",'01_인적정보'!H20),'02_의사결정·종합결과'!$A$30:$D$35,2,FALSE),0)</f>
        <v>53000000</v>
      </c>
      <c r="M21" s="27">
        <f>IFERROR(VLOOKUP(IF(LEFT('01_인적정보'!H20,2)="G5","G5",'01_인적정보'!H20),'02_의사결정·종합결과'!$A$30:$D$35,4,FALSE),0)</f>
        <v>73000000</v>
      </c>
      <c r="N21" s="27">
        <f t="shared" si="1"/>
        <v>54830000</v>
      </c>
      <c r="O21" s="27">
        <f t="shared" si="2"/>
        <v>54830000</v>
      </c>
      <c r="P21" s="27">
        <f t="shared" si="3"/>
        <v>1080000</v>
      </c>
    </row>
    <row r="22" spans="1:16" x14ac:dyDescent="0.6">
      <c r="A22" s="15">
        <f>'01_인적정보'!A21</f>
        <v>17</v>
      </c>
      <c r="B22" s="15" t="str">
        <f>'01_인적정보'!B21</f>
        <v>BSS-017</v>
      </c>
      <c r="C22" s="15" t="str">
        <f>'01_인적정보'!C21</f>
        <v>김우람</v>
      </c>
      <c r="D22" s="15" t="str">
        <f>'01_인적정보'!D21</f>
        <v>교육 및 기술지원</v>
      </c>
      <c r="E22" s="15" t="str">
        <f>'01_인적정보'!F21</f>
        <v>솔루션본부</v>
      </c>
      <c r="F22" s="21">
        <v>49240000</v>
      </c>
      <c r="G22" s="15" t="str">
        <f>'08_종합평가'!U22</f>
        <v>D</v>
      </c>
      <c r="H22" s="23">
        <f>IF(G22="","",IF(G22="S",'02_의사결정·종합결과'!$B$24,IF(G22="A",'02_의사결정·종합결과'!$C$24,IF(G22="B",'02_의사결정·종합결과'!$D$24,IF(G22="C",'02_의사결정·종합결과'!$E$24,'02_의사결정·종합결과'!$F$24)))))</f>
        <v>0.02</v>
      </c>
      <c r="I22" s="12"/>
      <c r="J22" s="23">
        <f>IF(I22="Y",'02_의사결정·종합결과'!$B$26,0)</f>
        <v>0</v>
      </c>
      <c r="K22" s="23">
        <f t="shared" si="0"/>
        <v>0.02</v>
      </c>
      <c r="L22" s="27">
        <f>IFERROR(VLOOKUP(IF(LEFT('01_인적정보'!H21,2)="G5","G5",'01_인적정보'!H21),'02_의사결정·종합결과'!$A$30:$D$35,2,FALSE),0)</f>
        <v>49000000</v>
      </c>
      <c r="M22" s="27">
        <f>IFERROR(VLOOKUP(IF(LEFT('01_인적정보'!H21,2)="G5","G5",'01_인적정보'!H21),'02_의사결정·종합결과'!$A$30:$D$35,4,FALSE),0)</f>
        <v>66000000</v>
      </c>
      <c r="N22" s="27">
        <f t="shared" si="1"/>
        <v>50220000</v>
      </c>
      <c r="O22" s="27">
        <f t="shared" si="2"/>
        <v>50220000</v>
      </c>
      <c r="P22" s="27">
        <f t="shared" si="3"/>
        <v>980000</v>
      </c>
    </row>
    <row r="23" spans="1:16" x14ac:dyDescent="0.6">
      <c r="A23" s="15">
        <f>'01_인적정보'!A22</f>
        <v>18</v>
      </c>
      <c r="B23" s="15" t="str">
        <f>'01_인적정보'!B22</f>
        <v>BSS-018</v>
      </c>
      <c r="C23" s="15" t="str">
        <f>'01_인적정보'!C22</f>
        <v>조성준</v>
      </c>
      <c r="D23" s="15" t="str">
        <f>'01_인적정보'!D22</f>
        <v>설계</v>
      </c>
      <c r="E23" s="15" t="str">
        <f>'01_인적정보'!F22</f>
        <v>컨설팅본부</v>
      </c>
      <c r="F23" s="21">
        <v>48650000</v>
      </c>
      <c r="G23" s="15" t="str">
        <f>'08_종합평가'!U23</f>
        <v>D</v>
      </c>
      <c r="H23" s="23">
        <f>IF(G23="","",IF(G23="S",'02_의사결정·종합결과'!$B$24,IF(G23="A",'02_의사결정·종합결과'!$C$24,IF(G23="B",'02_의사결정·종합결과'!$D$24,IF(G23="C",'02_의사결정·종합결과'!$E$24,'02_의사결정·종합결과'!$F$24)))))</f>
        <v>0.02</v>
      </c>
      <c r="I23" s="12"/>
      <c r="J23" s="23">
        <f>IF(I23="Y",'02_의사결정·종합결과'!$B$26,0)</f>
        <v>0</v>
      </c>
      <c r="K23" s="23">
        <f t="shared" si="0"/>
        <v>0.02</v>
      </c>
      <c r="L23" s="27">
        <f>IFERROR(VLOOKUP(IF(LEFT('01_인적정보'!H22,2)="G5","G5",'01_인적정보'!H22),'02_의사결정·종합결과'!$A$30:$D$35,2,FALSE),0)</f>
        <v>49000000</v>
      </c>
      <c r="M23" s="27">
        <f>IFERROR(VLOOKUP(IF(LEFT('01_인적정보'!H22,2)="G5","G5",'01_인적정보'!H22),'02_의사결정·종합결과'!$A$30:$D$35,4,FALSE),0)</f>
        <v>66000000</v>
      </c>
      <c r="N23" s="27">
        <f t="shared" si="1"/>
        <v>49620000</v>
      </c>
      <c r="O23" s="27">
        <f t="shared" si="2"/>
        <v>49620000</v>
      </c>
      <c r="P23" s="27">
        <f t="shared" si="3"/>
        <v>970000</v>
      </c>
    </row>
    <row r="24" spans="1:16" x14ac:dyDescent="0.6">
      <c r="A24" s="15">
        <f>'01_인적정보'!A23</f>
        <v>19</v>
      </c>
      <c r="B24" s="15" t="str">
        <f>'01_인적정보'!B23</f>
        <v>BSS-019</v>
      </c>
      <c r="C24" s="15" t="str">
        <f>'01_인적정보'!C23</f>
        <v>구서현</v>
      </c>
      <c r="D24" s="15" t="str">
        <f>'01_인적정보'!D23</f>
        <v>설계</v>
      </c>
      <c r="E24" s="15" t="str">
        <f>'01_인적정보'!F23</f>
        <v>컨설팅본부</v>
      </c>
      <c r="F24" s="21">
        <v>47500000</v>
      </c>
      <c r="G24" s="15" t="str">
        <f>'08_종합평가'!U24</f>
        <v>D</v>
      </c>
      <c r="H24" s="23">
        <f>IF(G24="","",IF(G24="S",'02_의사결정·종합결과'!$B$24,IF(G24="A",'02_의사결정·종합결과'!$C$24,IF(G24="B",'02_의사결정·종합결과'!$D$24,IF(G24="C",'02_의사결정·종합결과'!$E$24,'02_의사결정·종합결과'!$F$24)))))</f>
        <v>0.02</v>
      </c>
      <c r="I24" s="12"/>
      <c r="J24" s="23">
        <f>IF(I24="Y",'02_의사결정·종합결과'!$B$26,0)</f>
        <v>0</v>
      </c>
      <c r="K24" s="23">
        <f t="shared" si="0"/>
        <v>0.02</v>
      </c>
      <c r="L24" s="27">
        <f>IFERROR(VLOOKUP(IF(LEFT('01_인적정보'!H23,2)="G5","G5",'01_인적정보'!H23),'02_의사결정·종합결과'!$A$30:$D$35,2,FALSE),0)</f>
        <v>36000000</v>
      </c>
      <c r="M24" s="27">
        <f>IFERROR(VLOOKUP(IF(LEFT('01_인적정보'!H23,2)="G5","G5",'01_인적정보'!H23),'02_의사결정·종합결과'!$A$30:$D$35,4,FALSE),0)</f>
        <v>49000000</v>
      </c>
      <c r="N24" s="27">
        <f t="shared" si="1"/>
        <v>48450000</v>
      </c>
      <c r="O24" s="27">
        <f t="shared" si="2"/>
        <v>48450000</v>
      </c>
      <c r="P24" s="27">
        <f t="shared" si="3"/>
        <v>950000</v>
      </c>
    </row>
    <row r="25" spans="1:16" x14ac:dyDescent="0.6">
      <c r="A25" s="15">
        <f>'01_인적정보'!A24</f>
        <v>20</v>
      </c>
      <c r="B25" s="15" t="str">
        <f>'01_인적정보'!B24</f>
        <v>BSS-020</v>
      </c>
      <c r="C25" s="15" t="str">
        <f>'01_인적정보'!C24</f>
        <v>박진용</v>
      </c>
      <c r="D25" s="15" t="str">
        <f>'01_인적정보'!D24</f>
        <v>교육 및 기술지원</v>
      </c>
      <c r="E25" s="15" t="str">
        <f>'01_인적정보'!F24</f>
        <v>솔루션본부</v>
      </c>
      <c r="F25" s="21">
        <v>43060000</v>
      </c>
      <c r="G25" s="15" t="str">
        <f>'08_종합평가'!U25</f>
        <v>D</v>
      </c>
      <c r="H25" s="23">
        <f>IF(G25="","",IF(G25="S",'02_의사결정·종합결과'!$B$24,IF(G25="A",'02_의사결정·종합결과'!$C$24,IF(G25="B",'02_의사결정·종합결과'!$D$24,IF(G25="C",'02_의사결정·종합결과'!$E$24,'02_의사결정·종합결과'!$F$24)))))</f>
        <v>0.02</v>
      </c>
      <c r="I25" s="12"/>
      <c r="J25" s="23">
        <f>IF(I25="Y",'02_의사결정·종합결과'!$B$26,0)</f>
        <v>0</v>
      </c>
      <c r="K25" s="23">
        <f t="shared" si="0"/>
        <v>0.02</v>
      </c>
      <c r="L25" s="27">
        <f>IFERROR(VLOOKUP(IF(LEFT('01_인적정보'!H24,2)="G5","G5",'01_인적정보'!H24),'02_의사결정·종합결과'!$A$30:$D$35,2,FALSE),0)</f>
        <v>42000000</v>
      </c>
      <c r="M25" s="27">
        <f>IFERROR(VLOOKUP(IF(LEFT('01_인적정보'!H24,2)="G5","G5",'01_인적정보'!H24),'02_의사결정·종합결과'!$A$30:$D$35,4,FALSE),0)</f>
        <v>57000000</v>
      </c>
      <c r="N25" s="27">
        <f t="shared" si="1"/>
        <v>43920000</v>
      </c>
      <c r="O25" s="27">
        <f t="shared" si="2"/>
        <v>43920000</v>
      </c>
      <c r="P25" s="27">
        <f t="shared" si="3"/>
        <v>860000</v>
      </c>
    </row>
    <row r="26" spans="1:16" x14ac:dyDescent="0.6">
      <c r="A26" s="15">
        <f>'01_인적정보'!A25</f>
        <v>21</v>
      </c>
      <c r="B26" s="15" t="str">
        <f>'01_인적정보'!B25</f>
        <v>BSS-021</v>
      </c>
      <c r="C26" s="15" t="str">
        <f>'01_인적정보'!C25</f>
        <v>김가연</v>
      </c>
      <c r="D26" s="15" t="str">
        <f>'01_인적정보'!D25</f>
        <v>설계</v>
      </c>
      <c r="E26" s="15" t="str">
        <f>'01_인적정보'!F25</f>
        <v>컨설팅본부</v>
      </c>
      <c r="F26" s="21">
        <v>42500000</v>
      </c>
      <c r="G26" s="15" t="str">
        <f>'08_종합평가'!U26</f>
        <v>D</v>
      </c>
      <c r="H26" s="23">
        <f>IF(G26="","",IF(G26="S",'02_의사결정·종합결과'!$B$24,IF(G26="A",'02_의사결정·종합결과'!$C$24,IF(G26="B",'02_의사결정·종합결과'!$D$24,IF(G26="C",'02_의사결정·종합결과'!$E$24,'02_의사결정·종합결과'!$F$24)))))</f>
        <v>0.02</v>
      </c>
      <c r="I26" s="12"/>
      <c r="J26" s="23">
        <f>IF(I26="Y",'02_의사결정·종합결과'!$B$26,0)</f>
        <v>0</v>
      </c>
      <c r="K26" s="23">
        <f t="shared" si="0"/>
        <v>0.02</v>
      </c>
      <c r="L26" s="27">
        <f>IFERROR(VLOOKUP(IF(LEFT('01_인적정보'!H25,2)="G5","G5",'01_인적정보'!H25),'02_의사결정·종합결과'!$A$30:$D$35,2,FALSE),0)</f>
        <v>36000000</v>
      </c>
      <c r="M26" s="27">
        <f>IFERROR(VLOOKUP(IF(LEFT('01_인적정보'!H25,2)="G5","G5",'01_인적정보'!H25),'02_의사결정·종합결과'!$A$30:$D$35,4,FALSE),0)</f>
        <v>49000000</v>
      </c>
      <c r="N26" s="27">
        <f t="shared" si="1"/>
        <v>43350000</v>
      </c>
      <c r="O26" s="27">
        <f t="shared" si="2"/>
        <v>43350000</v>
      </c>
      <c r="P26" s="27">
        <f t="shared" si="3"/>
        <v>850000</v>
      </c>
    </row>
    <row r="27" spans="1:16" x14ac:dyDescent="0.6">
      <c r="A27" s="15">
        <f>'01_인적정보'!A26</f>
        <v>22</v>
      </c>
      <c r="B27" s="15" t="str">
        <f>'01_인적정보'!B26</f>
        <v>BSS-022</v>
      </c>
      <c r="C27" s="15" t="str">
        <f>'01_인적정보'!C26</f>
        <v>한근수</v>
      </c>
      <c r="D27" s="15" t="str">
        <f>'01_인적정보'!D26</f>
        <v>설계</v>
      </c>
      <c r="E27" s="15" t="str">
        <f>'01_인적정보'!F26</f>
        <v>컨설팅본부</v>
      </c>
      <c r="F27" s="21">
        <v>42500000</v>
      </c>
      <c r="G27" s="15" t="str">
        <f>'08_종합평가'!U27</f>
        <v>D</v>
      </c>
      <c r="H27" s="23">
        <f>IF(G27="","",IF(G27="S",'02_의사결정·종합결과'!$B$24,IF(G27="A",'02_의사결정·종합결과'!$C$24,IF(G27="B",'02_의사결정·종합결과'!$D$24,IF(G27="C",'02_의사결정·종합결과'!$E$24,'02_의사결정·종합결과'!$F$24)))))</f>
        <v>0.02</v>
      </c>
      <c r="I27" s="12"/>
      <c r="J27" s="23">
        <f>IF(I27="Y",'02_의사결정·종합결과'!$B$26,0)</f>
        <v>0</v>
      </c>
      <c r="K27" s="23">
        <f t="shared" si="0"/>
        <v>0.02</v>
      </c>
      <c r="L27" s="27">
        <f>IFERROR(VLOOKUP(IF(LEFT('01_인적정보'!H26,2)="G5","G5",'01_인적정보'!H26),'02_의사결정·종합결과'!$A$30:$D$35,2,FALSE),0)</f>
        <v>36000000</v>
      </c>
      <c r="M27" s="27">
        <f>IFERROR(VLOOKUP(IF(LEFT('01_인적정보'!H26,2)="G5","G5",'01_인적정보'!H26),'02_의사결정·종합결과'!$A$30:$D$35,4,FALSE),0)</f>
        <v>49000000</v>
      </c>
      <c r="N27" s="27">
        <f t="shared" si="1"/>
        <v>43350000</v>
      </c>
      <c r="O27" s="27">
        <f t="shared" si="2"/>
        <v>43350000</v>
      </c>
      <c r="P27" s="27">
        <f t="shared" si="3"/>
        <v>850000</v>
      </c>
    </row>
    <row r="28" spans="1:16" x14ac:dyDescent="0.6">
      <c r="A28" s="15">
        <f>'01_인적정보'!A27</f>
        <v>23</v>
      </c>
      <c r="B28" s="15" t="str">
        <f>'01_인적정보'!B27</f>
        <v>BSS-023</v>
      </c>
      <c r="C28" s="15" t="str">
        <f>'01_인적정보'!C27</f>
        <v>김성민</v>
      </c>
      <c r="D28" s="15" t="str">
        <f>'01_인적정보'!D27</f>
        <v>설계</v>
      </c>
      <c r="E28" s="15" t="str">
        <f>'01_인적정보'!F27</f>
        <v>컨설팅본부</v>
      </c>
      <c r="F28" s="21">
        <v>42500000</v>
      </c>
      <c r="G28" s="15" t="str">
        <f>'08_종합평가'!U28</f>
        <v>D</v>
      </c>
      <c r="H28" s="23">
        <f>IF(G28="","",IF(G28="S",'02_의사결정·종합결과'!$B$24,IF(G28="A",'02_의사결정·종합결과'!$C$24,IF(G28="B",'02_의사결정·종합결과'!$D$24,IF(G28="C",'02_의사결정·종합결과'!$E$24,'02_의사결정·종합결과'!$F$24)))))</f>
        <v>0.02</v>
      </c>
      <c r="I28" s="12"/>
      <c r="J28" s="23">
        <f>IF(I28="Y",'02_의사결정·종합결과'!$B$26,0)</f>
        <v>0</v>
      </c>
      <c r="K28" s="23">
        <f t="shared" si="0"/>
        <v>0.02</v>
      </c>
      <c r="L28" s="27">
        <f>IFERROR(VLOOKUP(IF(LEFT('01_인적정보'!H27,2)="G5","G5",'01_인적정보'!H27),'02_의사결정·종합결과'!$A$30:$D$35,2,FALSE),0)</f>
        <v>36000000</v>
      </c>
      <c r="M28" s="27">
        <f>IFERROR(VLOOKUP(IF(LEFT('01_인적정보'!H27,2)="G5","G5",'01_인적정보'!H27),'02_의사결정·종합결과'!$A$30:$D$35,4,FALSE),0)</f>
        <v>49000000</v>
      </c>
      <c r="N28" s="27">
        <f t="shared" si="1"/>
        <v>43350000</v>
      </c>
      <c r="O28" s="27">
        <f t="shared" si="2"/>
        <v>43350000</v>
      </c>
      <c r="P28" s="27">
        <f t="shared" si="3"/>
        <v>850000</v>
      </c>
    </row>
    <row r="29" spans="1:16" x14ac:dyDescent="0.6">
      <c r="A29" s="15">
        <f>'01_인적정보'!A28</f>
        <v>24</v>
      </c>
      <c r="B29" s="15" t="str">
        <f>'01_인적정보'!B28</f>
        <v>BSS-024</v>
      </c>
      <c r="C29" s="15" t="str">
        <f>'01_인적정보'!C28</f>
        <v>고광우</v>
      </c>
      <c r="D29" s="15" t="str">
        <f>'01_인적정보'!D28</f>
        <v>설계</v>
      </c>
      <c r="E29" s="15" t="str">
        <f>'01_인적정보'!F28</f>
        <v>컨설팅본부</v>
      </c>
      <c r="F29" s="21">
        <v>42500000</v>
      </c>
      <c r="G29" s="15" t="str">
        <f>'08_종합평가'!U29</f>
        <v>D</v>
      </c>
      <c r="H29" s="23">
        <f>IF(G29="","",IF(G29="S",'02_의사결정·종합결과'!$B$24,IF(G29="A",'02_의사결정·종합결과'!$C$24,IF(G29="B",'02_의사결정·종합결과'!$D$24,IF(G29="C",'02_의사결정·종합결과'!$E$24,'02_의사결정·종합결과'!$F$24)))))</f>
        <v>0.02</v>
      </c>
      <c r="I29" s="12"/>
      <c r="J29" s="23">
        <f>IF(I29="Y",'02_의사결정·종합결과'!$B$26,0)</f>
        <v>0</v>
      </c>
      <c r="K29" s="23">
        <f t="shared" si="0"/>
        <v>0.02</v>
      </c>
      <c r="L29" s="27">
        <f>IFERROR(VLOOKUP(IF(LEFT('01_인적정보'!H28,2)="G5","G5",'01_인적정보'!H28),'02_의사결정·종합결과'!$A$30:$D$35,2,FALSE),0)</f>
        <v>36000000</v>
      </c>
      <c r="M29" s="27">
        <f>IFERROR(VLOOKUP(IF(LEFT('01_인적정보'!H28,2)="G5","G5",'01_인적정보'!H28),'02_의사결정·종합결과'!$A$30:$D$35,4,FALSE),0)</f>
        <v>49000000</v>
      </c>
      <c r="N29" s="27">
        <f t="shared" si="1"/>
        <v>43350000</v>
      </c>
      <c r="O29" s="27">
        <f t="shared" si="2"/>
        <v>43350000</v>
      </c>
      <c r="P29" s="27">
        <f t="shared" si="3"/>
        <v>850000</v>
      </c>
    </row>
    <row r="30" spans="1:16" x14ac:dyDescent="0.6">
      <c r="A30" s="15">
        <f>'01_인적정보'!A29</f>
        <v>25</v>
      </c>
      <c r="B30" s="15" t="str">
        <f>'01_인적정보'!B29</f>
        <v>BSS-025</v>
      </c>
      <c r="C30" s="15" t="str">
        <f>'01_인적정보'!C29</f>
        <v>김성수</v>
      </c>
      <c r="D30" s="15" t="str">
        <f>'01_인적정보'!D29</f>
        <v>연구&amp;개발</v>
      </c>
      <c r="E30" s="15" t="str">
        <f>'01_인적정보'!F29</f>
        <v>컨설팅본부</v>
      </c>
      <c r="F30" s="21">
        <v>42500000</v>
      </c>
      <c r="G30" s="15" t="str">
        <f>'08_종합평가'!U30</f>
        <v>D</v>
      </c>
      <c r="H30" s="23">
        <f>IF(G30="","",IF(G30="S",'02_의사결정·종합결과'!$B$24,IF(G30="A",'02_의사결정·종합결과'!$C$24,IF(G30="B",'02_의사결정·종합결과'!$D$24,IF(G30="C",'02_의사결정·종합결과'!$E$24,'02_의사결정·종합결과'!$F$24)))))</f>
        <v>0.02</v>
      </c>
      <c r="I30" s="12"/>
      <c r="J30" s="23">
        <f>IF(I30="Y",'02_의사결정·종합결과'!$B$26,0)</f>
        <v>0</v>
      </c>
      <c r="K30" s="23">
        <f t="shared" si="0"/>
        <v>0.02</v>
      </c>
      <c r="L30" s="27">
        <f>IFERROR(VLOOKUP(IF(LEFT('01_인적정보'!H29,2)="G5","G5",'01_인적정보'!H29),'02_의사결정·종합결과'!$A$30:$D$35,2,FALSE),0)</f>
        <v>36000000</v>
      </c>
      <c r="M30" s="27">
        <f>IFERROR(VLOOKUP(IF(LEFT('01_인적정보'!H29,2)="G5","G5",'01_인적정보'!H29),'02_의사결정·종합결과'!$A$30:$D$35,4,FALSE),0)</f>
        <v>49000000</v>
      </c>
      <c r="N30" s="27">
        <f t="shared" si="1"/>
        <v>43350000</v>
      </c>
      <c r="O30" s="27">
        <f t="shared" si="2"/>
        <v>43350000</v>
      </c>
      <c r="P30" s="27">
        <f t="shared" si="3"/>
        <v>850000</v>
      </c>
    </row>
    <row r="31" spans="1:16" x14ac:dyDescent="0.6">
      <c r="A31" s="15">
        <f>'01_인적정보'!A30</f>
        <v>26</v>
      </c>
      <c r="B31" s="15" t="str">
        <f>'01_인적정보'!B30</f>
        <v>BSS-026</v>
      </c>
      <c r="C31" s="15" t="str">
        <f>'01_인적정보'!C30</f>
        <v>박진희</v>
      </c>
      <c r="D31" s="15" t="str">
        <f>'01_인적정보'!D30</f>
        <v>경영관리</v>
      </c>
      <c r="E31" s="15" t="str">
        <f>'01_인적정보'!F30</f>
        <v>마케팅팀</v>
      </c>
      <c r="F31" s="21">
        <v>34935000</v>
      </c>
      <c r="G31" s="15" t="str">
        <f>'08_종합평가'!U31</f>
        <v>D</v>
      </c>
      <c r="H31" s="23">
        <f>IF(G31="","",IF(G31="S",'02_의사결정·종합결과'!$B$24,IF(G31="A",'02_의사결정·종합결과'!$C$24,IF(G31="B",'02_의사결정·종합결과'!$D$24,IF(G31="C",'02_의사결정·종합결과'!$E$24,'02_의사결정·종합결과'!$F$24)))))</f>
        <v>0.02</v>
      </c>
      <c r="I31" s="12"/>
      <c r="J31" s="23">
        <f>IF(I31="Y",'02_의사결정·종합결과'!$B$26,0)</f>
        <v>0</v>
      </c>
      <c r="K31" s="23">
        <f t="shared" si="0"/>
        <v>0.02</v>
      </c>
      <c r="L31" s="27">
        <f>IFERROR(VLOOKUP(IF(LEFT('01_인적정보'!H30,2)="G5","G5",'01_인적정보'!H30),'02_의사결정·종합결과'!$A$30:$D$35,2,FALSE),0)</f>
        <v>33000000</v>
      </c>
      <c r="M31" s="27">
        <f>IFERROR(VLOOKUP(IF(LEFT('01_인적정보'!H30,2)="G5","G5",'01_인적정보'!H30),'02_의사결정·종합결과'!$A$30:$D$35,4,FALSE),0)</f>
        <v>44000000</v>
      </c>
      <c r="N31" s="27">
        <f t="shared" si="1"/>
        <v>35630000</v>
      </c>
      <c r="O31" s="27">
        <f t="shared" si="2"/>
        <v>35630000</v>
      </c>
      <c r="P31" s="27">
        <f t="shared" si="3"/>
        <v>695000</v>
      </c>
    </row>
    <row r="32" spans="1:16" ht="31.5" x14ac:dyDescent="0.6">
      <c r="A32" s="15">
        <f>'01_인적정보'!A31</f>
        <v>27</v>
      </c>
      <c r="B32" s="15" t="str">
        <f>'01_인적정보'!B31</f>
        <v>BSS-027</v>
      </c>
      <c r="C32" s="15" t="str">
        <f>'01_인적정보'!C31</f>
        <v>장은한</v>
      </c>
      <c r="D32" s="15" t="str">
        <f>'01_인적정보'!D31</f>
        <v>교육 및 기술지원</v>
      </c>
      <c r="E32" s="15" t="str">
        <f>'01_인적정보'!F31</f>
        <v>솔루션본부</v>
      </c>
      <c r="F32" s="21">
        <v>35000000</v>
      </c>
      <c r="G32" s="15" t="str">
        <f>'08_종합평가'!U32</f>
        <v>D</v>
      </c>
      <c r="H32" s="23">
        <f>IF(G32="","",IF(G32="S",'02_의사결정·종합결과'!$B$24,IF(G32="A",'02_의사결정·종합결과'!$C$24,IF(G32="B",'02_의사결정·종합결과'!$D$24,IF(G32="C",'02_의사결정·종합결과'!$E$24,'02_의사결정·종합결과'!$F$24)))))</f>
        <v>0.02</v>
      </c>
      <c r="I32" s="12"/>
      <c r="J32" s="23">
        <f>IF(I32="Y",'02_의사결정·종합결과'!$B$26,0)</f>
        <v>0</v>
      </c>
      <c r="K32" s="23">
        <f t="shared" si="0"/>
        <v>0.02</v>
      </c>
      <c r="L32" s="27">
        <f>IFERROR(VLOOKUP(IF(LEFT('01_인적정보'!H31,2)="G5","G5",'01_인적정보'!H31),'02_의사결정·종합결과'!$A$30:$D$35,2,FALSE),0)</f>
        <v>36000000</v>
      </c>
      <c r="M32" s="27">
        <f>IFERROR(VLOOKUP(IF(LEFT('01_인적정보'!H31,2)="G5","G5",'01_인적정보'!H31),'02_의사결정·종합결과'!$A$30:$D$35,4,FALSE),0)</f>
        <v>49000000</v>
      </c>
      <c r="N32" s="27">
        <f t="shared" si="1"/>
        <v>35700000</v>
      </c>
      <c r="O32" s="27">
        <f t="shared" si="2"/>
        <v>35700000</v>
      </c>
      <c r="P32" s="27">
        <f t="shared" si="3"/>
        <v>700000</v>
      </c>
    </row>
    <row r="33" spans="1:16" x14ac:dyDescent="0.6">
      <c r="A33" s="15">
        <f>'01_인적정보'!A32</f>
        <v>28</v>
      </c>
      <c r="B33" s="15" t="str">
        <f>'01_인적정보'!B32</f>
        <v>BSS-028</v>
      </c>
      <c r="C33" s="15" t="str">
        <f>'01_인적정보'!C32</f>
        <v>김현수</v>
      </c>
      <c r="D33" s="15" t="str">
        <f>'01_인적정보'!D32</f>
        <v>설계</v>
      </c>
      <c r="E33" s="15" t="str">
        <f>'01_인적정보'!F32</f>
        <v>컨설팅본부</v>
      </c>
      <c r="F33" s="21">
        <v>36000000</v>
      </c>
      <c r="G33" s="15" t="str">
        <f>'08_종합평가'!U33</f>
        <v>D</v>
      </c>
      <c r="H33" s="23">
        <f>IF(G33="","",IF(G33="S",'02_의사결정·종합결과'!$B$24,IF(G33="A",'02_의사결정·종합결과'!$C$24,IF(G33="B",'02_의사결정·종합결과'!$D$24,IF(G33="C",'02_의사결정·종합결과'!$E$24,'02_의사결정·종합결과'!$F$24)))))</f>
        <v>0.02</v>
      </c>
      <c r="I33" s="12"/>
      <c r="J33" s="23">
        <f>IF(I33="Y",'02_의사결정·종합결과'!$B$26,0)</f>
        <v>0</v>
      </c>
      <c r="K33" s="23">
        <f t="shared" si="0"/>
        <v>0.02</v>
      </c>
      <c r="L33" s="27">
        <f>IFERROR(VLOOKUP(IF(LEFT('01_인적정보'!H32,2)="G5","G5",'01_인적정보'!H32),'02_의사결정·종합결과'!$A$30:$D$35,2,FALSE),0)</f>
        <v>33000000</v>
      </c>
      <c r="M33" s="27">
        <f>IFERROR(VLOOKUP(IF(LEFT('01_인적정보'!H32,2)="G5","G5",'01_인적정보'!H32),'02_의사결정·종합결과'!$A$30:$D$35,4,FALSE),0)</f>
        <v>44000000</v>
      </c>
      <c r="N33" s="27">
        <f t="shared" si="1"/>
        <v>36720000</v>
      </c>
      <c r="O33" s="27">
        <f t="shared" si="2"/>
        <v>36720000</v>
      </c>
      <c r="P33" s="27">
        <f t="shared" si="3"/>
        <v>720000</v>
      </c>
    </row>
    <row r="34" spans="1:16" x14ac:dyDescent="0.6">
      <c r="A34" s="15">
        <f>'01_인적정보'!A33</f>
        <v>29</v>
      </c>
      <c r="B34" s="15" t="str">
        <f>'01_인적정보'!B33</f>
        <v>BSS-029</v>
      </c>
      <c r="C34" s="15" t="str">
        <f>'01_인적정보'!C33</f>
        <v>콜셍홍</v>
      </c>
      <c r="D34" s="15" t="str">
        <f>'01_인적정보'!D33</f>
        <v>설계</v>
      </c>
      <c r="E34" s="15" t="str">
        <f>'01_인적정보'!F33</f>
        <v>컨설팅본부</v>
      </c>
      <c r="F34" s="21">
        <v>36000000</v>
      </c>
      <c r="G34" s="15" t="str">
        <f>'08_종합평가'!U34</f>
        <v>D</v>
      </c>
      <c r="H34" s="23">
        <f>IF(G34="","",IF(G34="S",'02_의사결정·종합결과'!$B$24,IF(G34="A",'02_의사결정·종합결과'!$C$24,IF(G34="B",'02_의사결정·종합결과'!$D$24,IF(G34="C",'02_의사결정·종합결과'!$E$24,'02_의사결정·종합결과'!$F$24)))))</f>
        <v>0.02</v>
      </c>
      <c r="I34" s="12"/>
      <c r="J34" s="23">
        <f>IF(I34="Y",'02_의사결정·종합결과'!$B$26,0)</f>
        <v>0</v>
      </c>
      <c r="K34" s="23">
        <f t="shared" si="0"/>
        <v>0.02</v>
      </c>
      <c r="L34" s="27">
        <f>IFERROR(VLOOKUP(IF(LEFT('01_인적정보'!H33,2)="G5","G5",'01_인적정보'!H33),'02_의사결정·종합결과'!$A$30:$D$35,2,FALSE),0)</f>
        <v>33000000</v>
      </c>
      <c r="M34" s="27">
        <f>IFERROR(VLOOKUP(IF(LEFT('01_인적정보'!H33,2)="G5","G5",'01_인적정보'!H33),'02_의사결정·종합결과'!$A$30:$D$35,4,FALSE),0)</f>
        <v>44000000</v>
      </c>
      <c r="N34" s="27">
        <f t="shared" si="1"/>
        <v>36720000</v>
      </c>
      <c r="O34" s="27">
        <f t="shared" si="2"/>
        <v>36720000</v>
      </c>
      <c r="P34" s="27">
        <f t="shared" si="3"/>
        <v>720000</v>
      </c>
    </row>
    <row r="35" spans="1:16" x14ac:dyDescent="0.6">
      <c r="A35" s="15">
        <f>'01_인적정보'!A34</f>
        <v>30</v>
      </c>
      <c r="B35" s="15" t="str">
        <f>'01_인적정보'!B34</f>
        <v>BSS-030</v>
      </c>
      <c r="C35" s="15" t="str">
        <f>'01_인적정보'!C34</f>
        <v>안성진</v>
      </c>
      <c r="D35" s="15" t="str">
        <f>'01_인적정보'!D34</f>
        <v>설계</v>
      </c>
      <c r="E35" s="15" t="str">
        <f>'01_인적정보'!F34</f>
        <v>컨설팅본부</v>
      </c>
      <c r="F35" s="21">
        <v>36540000</v>
      </c>
      <c r="G35" s="15" t="str">
        <f>'08_종합평가'!U35</f>
        <v>D</v>
      </c>
      <c r="H35" s="23">
        <f>IF(G35="","",IF(G35="S",'02_의사결정·종합결과'!$B$24,IF(G35="A",'02_의사결정·종합결과'!$C$24,IF(G35="B",'02_의사결정·종합결과'!$D$24,IF(G35="C",'02_의사결정·종합결과'!$E$24,'02_의사결정·종합결과'!$F$24)))))</f>
        <v>0.02</v>
      </c>
      <c r="I35" s="12"/>
      <c r="J35" s="23">
        <f>IF(I35="Y",'02_의사결정·종합결과'!$B$26,0)</f>
        <v>0</v>
      </c>
      <c r="K35" s="23">
        <f t="shared" si="0"/>
        <v>0.02</v>
      </c>
      <c r="L35" s="27">
        <f>IFERROR(VLOOKUP(IF(LEFT('01_인적정보'!H34,2)="G5","G5",'01_인적정보'!H34),'02_의사결정·종합결과'!$A$30:$D$35,2,FALSE),0)</f>
        <v>33000000</v>
      </c>
      <c r="M35" s="27">
        <f>IFERROR(VLOOKUP(IF(LEFT('01_인적정보'!H34,2)="G5","G5",'01_인적정보'!H34),'02_의사결정·종합결과'!$A$30:$D$35,4,FALSE),0)</f>
        <v>44000000</v>
      </c>
      <c r="N35" s="27">
        <f t="shared" si="1"/>
        <v>37270000</v>
      </c>
      <c r="O35" s="27">
        <f t="shared" si="2"/>
        <v>37270000</v>
      </c>
      <c r="P35" s="27">
        <f t="shared" si="3"/>
        <v>730000</v>
      </c>
    </row>
    <row r="36" spans="1:16" x14ac:dyDescent="0.6">
      <c r="A36" s="15">
        <f>'01_인적정보'!A35</f>
        <v>31</v>
      </c>
      <c r="B36" s="15" t="str">
        <f>'01_인적정보'!B35</f>
        <v>BSS-031</v>
      </c>
      <c r="C36" s="15" t="str">
        <f>'01_인적정보'!C35</f>
        <v>이정일</v>
      </c>
      <c r="D36" s="15" t="str">
        <f>'01_인적정보'!D35</f>
        <v>설계</v>
      </c>
      <c r="E36" s="15" t="str">
        <f>'01_인적정보'!F35</f>
        <v>컨설팅본부</v>
      </c>
      <c r="F36" s="21">
        <v>37090000</v>
      </c>
      <c r="G36" s="15" t="str">
        <f>'08_종합평가'!U36</f>
        <v>D</v>
      </c>
      <c r="H36" s="23">
        <f>IF(G36="","",IF(G36="S",'02_의사결정·종합결과'!$B$24,IF(G36="A",'02_의사결정·종합결과'!$C$24,IF(G36="B",'02_의사결정·종합결과'!$D$24,IF(G36="C",'02_의사결정·종합결과'!$E$24,'02_의사결정·종합결과'!$F$24)))))</f>
        <v>0.02</v>
      </c>
      <c r="I36" s="12"/>
      <c r="J36" s="23">
        <f>IF(I36="Y",'02_의사결정·종합결과'!$B$26,0)</f>
        <v>0</v>
      </c>
      <c r="K36" s="23">
        <f t="shared" si="0"/>
        <v>0.02</v>
      </c>
      <c r="L36" s="27">
        <f>IFERROR(VLOOKUP(IF(LEFT('01_인적정보'!H35,2)="G5","G5",'01_인적정보'!H35),'02_의사결정·종합결과'!$A$30:$D$35,2,FALSE),0)</f>
        <v>33000000</v>
      </c>
      <c r="M36" s="27">
        <f>IFERROR(VLOOKUP(IF(LEFT('01_인적정보'!H35,2)="G5","G5",'01_인적정보'!H35),'02_의사결정·종합결과'!$A$30:$D$35,4,FALSE),0)</f>
        <v>44000000</v>
      </c>
      <c r="N36" s="27">
        <f t="shared" si="1"/>
        <v>37830000</v>
      </c>
      <c r="O36" s="27">
        <f t="shared" si="2"/>
        <v>37830000</v>
      </c>
      <c r="P36" s="27">
        <f t="shared" si="3"/>
        <v>740000</v>
      </c>
    </row>
    <row r="37" spans="1:16" x14ac:dyDescent="0.6">
      <c r="A37" s="15">
        <f>'01_인적정보'!A36</f>
        <v>32</v>
      </c>
      <c r="B37" s="15" t="str">
        <f>'01_인적정보'!B36</f>
        <v>BSS-032</v>
      </c>
      <c r="C37" s="15" t="str">
        <f>'01_인적정보'!C36</f>
        <v>안재성</v>
      </c>
      <c r="D37" s="15" t="str">
        <f>'01_인적정보'!D36</f>
        <v>설계</v>
      </c>
      <c r="E37" s="15" t="str">
        <f>'01_인적정보'!F36</f>
        <v>컨설팅본부</v>
      </c>
      <c r="F37" s="21">
        <v>32000000</v>
      </c>
      <c r="G37" s="15" t="str">
        <f>'08_종합평가'!U37</f>
        <v>D</v>
      </c>
      <c r="H37" s="23">
        <f>IF(G37="","",IF(G37="S",'02_의사결정·종합결과'!$B$24,IF(G37="A",'02_의사결정·종합결과'!$C$24,IF(G37="B",'02_의사결정·종합결과'!$D$24,IF(G37="C",'02_의사결정·종합결과'!$E$24,'02_의사결정·종합결과'!$F$24)))))</f>
        <v>0.02</v>
      </c>
      <c r="I37" s="12"/>
      <c r="J37" s="23">
        <f>IF(I37="Y",'02_의사결정·종합결과'!$B$26,0)</f>
        <v>0</v>
      </c>
      <c r="K37" s="23">
        <f t="shared" si="0"/>
        <v>0.02</v>
      </c>
      <c r="L37" s="27">
        <f>IFERROR(VLOOKUP(IF(LEFT('01_인적정보'!H36,2)="G5","G5",'01_인적정보'!H36),'02_의사결정·종합결과'!$A$30:$D$35,2,FALSE),0)</f>
        <v>33000000</v>
      </c>
      <c r="M37" s="27">
        <f>IFERROR(VLOOKUP(IF(LEFT('01_인적정보'!H36,2)="G5","G5",'01_인적정보'!H36),'02_의사결정·종합결과'!$A$30:$D$35,4,FALSE),0)</f>
        <v>44000000</v>
      </c>
      <c r="N37" s="27">
        <f t="shared" si="1"/>
        <v>32640000</v>
      </c>
      <c r="O37" s="27">
        <f t="shared" si="2"/>
        <v>32640000</v>
      </c>
      <c r="P37" s="27">
        <f t="shared" si="3"/>
        <v>640000</v>
      </c>
    </row>
    <row r="38" spans="1:16" x14ac:dyDescent="0.6">
      <c r="A38" s="15">
        <f>'01_인적정보'!A37</f>
        <v>33</v>
      </c>
      <c r="B38" s="15" t="str">
        <f>'01_인적정보'!B37</f>
        <v>BSS-033</v>
      </c>
      <c r="C38" s="15" t="str">
        <f>'01_인적정보'!C37</f>
        <v>유태석</v>
      </c>
      <c r="D38" s="15" t="str">
        <f>'01_인적정보'!D37</f>
        <v>설계</v>
      </c>
      <c r="E38" s="15" t="str">
        <f>'01_인적정보'!F37</f>
        <v>컨설팅본부</v>
      </c>
      <c r="F38" s="21">
        <v>32000000</v>
      </c>
      <c r="G38" s="15" t="str">
        <f>'08_종합평가'!U38</f>
        <v>D</v>
      </c>
      <c r="H38" s="23">
        <f>IF(G38="","",IF(G38="S",'02_의사결정·종합결과'!$B$24,IF(G38="A",'02_의사결정·종합결과'!$C$24,IF(G38="B",'02_의사결정·종합결과'!$D$24,IF(G38="C",'02_의사결정·종합결과'!$E$24,'02_의사결정·종합결과'!$F$24)))))</f>
        <v>0.02</v>
      </c>
      <c r="I38" s="12"/>
      <c r="J38" s="23">
        <f>IF(I38="Y",'02_의사결정·종합결과'!$B$26,0)</f>
        <v>0</v>
      </c>
      <c r="K38" s="23">
        <f t="shared" si="0"/>
        <v>0.02</v>
      </c>
      <c r="L38" s="27">
        <f>IFERROR(VLOOKUP(IF(LEFT('01_인적정보'!H37,2)="G5","G5",'01_인적정보'!H37),'02_의사결정·종합결과'!$A$30:$D$35,2,FALSE),0)</f>
        <v>33000000</v>
      </c>
      <c r="M38" s="27">
        <f>IFERROR(VLOOKUP(IF(LEFT('01_인적정보'!H37,2)="G5","G5",'01_인적정보'!H37),'02_의사결정·종합결과'!$A$30:$D$35,4,FALSE),0)</f>
        <v>44000000</v>
      </c>
      <c r="N38" s="27">
        <f t="shared" si="1"/>
        <v>32640000</v>
      </c>
      <c r="O38" s="27">
        <f t="shared" si="2"/>
        <v>32640000</v>
      </c>
      <c r="P38" s="27">
        <f t="shared" si="3"/>
        <v>640000</v>
      </c>
    </row>
    <row r="39" spans="1:16" x14ac:dyDescent="0.6">
      <c r="A39" s="15">
        <f>'01_인적정보'!A38</f>
        <v>34</v>
      </c>
      <c r="B39" s="15" t="str">
        <f>'01_인적정보'!B38</f>
        <v>BSS-034</v>
      </c>
      <c r="C39" s="15" t="str">
        <f>'01_인적정보'!C38</f>
        <v>엄보근</v>
      </c>
      <c r="D39" s="15" t="str">
        <f>'01_인적정보'!D38</f>
        <v>설계</v>
      </c>
      <c r="E39" s="15" t="str">
        <f>'01_인적정보'!F38</f>
        <v>컨설팅본부</v>
      </c>
      <c r="F39" s="21">
        <v>32000000</v>
      </c>
      <c r="G39" s="15" t="str">
        <f>'08_종합평가'!U39</f>
        <v>D</v>
      </c>
      <c r="H39" s="23">
        <f>IF(G39="","",IF(G39="S",'02_의사결정·종합결과'!$B$24,IF(G39="A",'02_의사결정·종합결과'!$C$24,IF(G39="B",'02_의사결정·종합결과'!$D$24,IF(G39="C",'02_의사결정·종합결과'!$E$24,'02_의사결정·종합결과'!$F$24)))))</f>
        <v>0.02</v>
      </c>
      <c r="I39" s="12"/>
      <c r="J39" s="23">
        <f>IF(I39="Y",'02_의사결정·종합결과'!$B$26,0)</f>
        <v>0</v>
      </c>
      <c r="K39" s="23">
        <f t="shared" si="0"/>
        <v>0.02</v>
      </c>
      <c r="L39" s="27">
        <f>IFERROR(VLOOKUP(IF(LEFT('01_인적정보'!H38,2)="G5","G5",'01_인적정보'!H38),'02_의사결정·종합결과'!$A$30:$D$35,2,FALSE),0)</f>
        <v>33000000</v>
      </c>
      <c r="M39" s="27">
        <f>IFERROR(VLOOKUP(IF(LEFT('01_인적정보'!H38,2)="G5","G5",'01_인적정보'!H38),'02_의사결정·종합결과'!$A$30:$D$35,4,FALSE),0)</f>
        <v>44000000</v>
      </c>
      <c r="N39" s="27">
        <f t="shared" si="1"/>
        <v>32640000</v>
      </c>
      <c r="O39" s="27">
        <f t="shared" si="2"/>
        <v>32640000</v>
      </c>
      <c r="P39" s="27">
        <f t="shared" si="3"/>
        <v>640000</v>
      </c>
    </row>
    <row r="41" spans="1:16" x14ac:dyDescent="0.6">
      <c r="A41" s="58" t="s">
        <v>108</v>
      </c>
      <c r="B41" s="38"/>
      <c r="C41" s="38"/>
      <c r="D41" s="38"/>
      <c r="E41" s="39"/>
      <c r="F41" s="27">
        <f>SUM(F6:F39)</f>
        <v>1687275000</v>
      </c>
      <c r="K41" s="23">
        <f>IFERROR(AVERAGE(K6:K39),0)</f>
        <v>2.0000000000000007E-2</v>
      </c>
      <c r="N41" s="27">
        <f>SUM(N6:N39)</f>
        <v>1721010000</v>
      </c>
      <c r="O41" s="27">
        <f>SUM(O6:O39)</f>
        <v>1721010000</v>
      </c>
      <c r="P41" s="27">
        <f>SUM(P6:P39)</f>
        <v>33735000</v>
      </c>
    </row>
  </sheetData>
  <mergeCells count="4">
    <mergeCell ref="A1:P1"/>
    <mergeCell ref="A4:P4"/>
    <mergeCell ref="A41:E41"/>
    <mergeCell ref="A2:P2"/>
  </mergeCells>
  <phoneticPr fontId="16" type="noConversion"/>
  <conditionalFormatting sqref="G6:G39">
    <cfRule type="cellIs" dxfId="35" priority="1" operator="equal">
      <formula>"S"</formula>
    </cfRule>
    <cfRule type="cellIs" dxfId="34" priority="2" operator="equal">
      <formula>"A"</formula>
    </cfRule>
    <cfRule type="cellIs" dxfId="33" priority="3" operator="equal">
      <formula>"C"</formula>
    </cfRule>
    <cfRule type="cellIs" dxfId="32" priority="4" operator="equal">
      <formula>"D"</formula>
    </cfRule>
  </conditionalFormatting>
  <dataValidations count="1">
    <dataValidation type="list" allowBlank="1" sqref="I6:I39" xr:uid="{00000000-0002-0000-0A00-000000000000}">
      <formula1>"Y,N"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N54"/>
  <sheetViews>
    <sheetView showGridLines="0" workbookViewId="0">
      <pane xSplit="3" ySplit="8" topLeftCell="D9" activePane="bottomRight" state="frozen"/>
      <selection pane="topRight"/>
      <selection pane="bottomLeft"/>
      <selection pane="bottomRight" activeCell="K35" sqref="K35"/>
    </sheetView>
  </sheetViews>
  <sheetFormatPr defaultRowHeight="16.899999999999999" x14ac:dyDescent="0.6"/>
  <cols>
    <col min="1" max="1" width="5" customWidth="1"/>
    <col min="2" max="2" width="11" customWidth="1"/>
    <col min="3" max="5" width="15.375" customWidth="1"/>
    <col min="6" max="12" width="15.5" customWidth="1"/>
    <col min="13" max="13" width="12" customWidth="1"/>
    <col min="14" max="14" width="14" customWidth="1"/>
  </cols>
  <sheetData>
    <row r="1" spans="1:14" ht="28.05" customHeight="1" x14ac:dyDescent="0.6">
      <c r="A1" s="51" t="s">
        <v>563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</row>
    <row r="2" spans="1:14" ht="18" customHeight="1" x14ac:dyDescent="0.6">
      <c r="A2" s="48" t="s">
        <v>564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</row>
    <row r="4" spans="1:14" ht="22.05" customHeight="1" x14ac:dyDescent="0.6">
      <c r="A4" s="45" t="s">
        <v>565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</row>
    <row r="5" spans="1:14" ht="63" x14ac:dyDescent="0.6">
      <c r="A5" s="16" t="s">
        <v>277</v>
      </c>
      <c r="B5" s="15" t="str">
        <f>'03_전사업적평가'!I19</f>
        <v/>
      </c>
      <c r="C5" s="16" t="s">
        <v>566</v>
      </c>
      <c r="D5" s="24">
        <f>IF(B5="S",1.2,IF(B5="A",1.1,IF(B5="B",1,IF(B5="C",0.9,IF(B5="D",0.8,1)))))</f>
        <v>1</v>
      </c>
      <c r="E5" s="16" t="s">
        <v>567</v>
      </c>
      <c r="F5" s="28">
        <v>1</v>
      </c>
      <c r="G5" s="37" t="s">
        <v>568</v>
      </c>
      <c r="H5" s="38"/>
      <c r="I5" s="38"/>
      <c r="J5" s="38"/>
      <c r="K5" s="38"/>
      <c r="L5" s="38"/>
      <c r="M5" s="38"/>
      <c r="N5" s="39"/>
    </row>
    <row r="7" spans="1:14" ht="22.05" customHeight="1" x14ac:dyDescent="0.6">
      <c r="A7" s="45" t="s">
        <v>569</v>
      </c>
      <c r="B7" s="43"/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</row>
    <row r="8" spans="1:14" x14ac:dyDescent="0.6">
      <c r="A8" s="2" t="s">
        <v>131</v>
      </c>
      <c r="B8" s="2" t="s">
        <v>132</v>
      </c>
      <c r="C8" s="2" t="s">
        <v>133</v>
      </c>
      <c r="D8" s="2" t="s">
        <v>134</v>
      </c>
      <c r="E8" s="2" t="s">
        <v>136</v>
      </c>
      <c r="F8" s="2" t="s">
        <v>105</v>
      </c>
      <c r="G8" s="2" t="s">
        <v>553</v>
      </c>
      <c r="H8" s="2" t="s">
        <v>549</v>
      </c>
      <c r="I8" s="2" t="s">
        <v>570</v>
      </c>
      <c r="J8" s="2" t="s">
        <v>571</v>
      </c>
      <c r="K8" s="2" t="s">
        <v>572</v>
      </c>
      <c r="L8" s="2" t="s">
        <v>573</v>
      </c>
      <c r="M8" s="2" t="s">
        <v>574</v>
      </c>
      <c r="N8" s="2" t="s">
        <v>143</v>
      </c>
    </row>
    <row r="9" spans="1:14" x14ac:dyDescent="0.6">
      <c r="A9" s="15">
        <f>'01_인적정보'!A5</f>
        <v>1</v>
      </c>
      <c r="B9" s="15" t="str">
        <f>'01_인적정보'!B5</f>
        <v>BSS-001</v>
      </c>
      <c r="C9" s="15" t="str">
        <f>'01_인적정보'!C5</f>
        <v>이화형</v>
      </c>
      <c r="D9" s="15" t="str">
        <f>'01_인적정보'!D5</f>
        <v>영업</v>
      </c>
      <c r="E9" s="15" t="str">
        <f>'01_인적정보'!F5</f>
        <v>스마트사업부</v>
      </c>
      <c r="F9" s="15" t="str">
        <f>'01_인적정보'!H5</f>
        <v>G6</v>
      </c>
      <c r="G9" s="27">
        <f>'09_보상연계'!F6</f>
        <v>72500000</v>
      </c>
      <c r="H9" s="15" t="str">
        <f>'08_종합평가'!U6</f>
        <v>D</v>
      </c>
      <c r="I9" s="18">
        <f>IF(H9="","",IF(H9="S",'02_의사결정·종합결과'!$B$25,IF(H9="A",'02_의사결정·종합결과'!$C$25,IF(H9="B",'02_의사결정·종합결과'!$D$25,IF(H9="C",'02_의사결정·종합결과'!$E$25,'02_의사결정·종합결과'!$F$25)))))</f>
        <v>0</v>
      </c>
      <c r="J9" s="27">
        <f t="shared" ref="J9:J42" si="0">IF(OR(G9="",I9=""),"",ROUND(G9*I9,-4))</f>
        <v>0</v>
      </c>
      <c r="K9" s="27">
        <f t="shared" ref="K9:K42" si="1">IF(J9="","",ROUND(J9*$F$5,-4))</f>
        <v>0</v>
      </c>
      <c r="L9" s="27">
        <f t="shared" ref="L9:L42" si="2">K9</f>
        <v>0</v>
      </c>
      <c r="M9" s="12"/>
      <c r="N9" s="12"/>
    </row>
    <row r="10" spans="1:14" x14ac:dyDescent="0.6">
      <c r="A10" s="15">
        <f>'01_인적정보'!A6</f>
        <v>2</v>
      </c>
      <c r="B10" s="15" t="str">
        <f>'01_인적정보'!B6</f>
        <v>BSS-002</v>
      </c>
      <c r="C10" s="15" t="str">
        <f>'01_인적정보'!C6</f>
        <v>강전용</v>
      </c>
      <c r="D10" s="15" t="str">
        <f>'01_인적정보'!D6</f>
        <v>연구&amp;개발</v>
      </c>
      <c r="E10" s="15" t="str">
        <f>'01_인적정보'!F6</f>
        <v>R&amp;D 본부</v>
      </c>
      <c r="F10" s="15" t="str">
        <f>'01_인적정보'!H6</f>
        <v>G6</v>
      </c>
      <c r="G10" s="27">
        <f>'09_보상연계'!F7</f>
        <v>68870000</v>
      </c>
      <c r="H10" s="15" t="str">
        <f>'08_종합평가'!U7</f>
        <v>D</v>
      </c>
      <c r="I10" s="18">
        <f>IF(H10="","",IF(H10="S",'02_의사결정·종합결과'!$B$25,IF(H10="A",'02_의사결정·종합결과'!$C$25,IF(H10="B",'02_의사결정·종합결과'!$D$25,IF(H10="C",'02_의사결정·종합결과'!$E$25,'02_의사결정·종합결과'!$F$25)))))</f>
        <v>0</v>
      </c>
      <c r="J10" s="27">
        <f t="shared" si="0"/>
        <v>0</v>
      </c>
      <c r="K10" s="27">
        <f t="shared" si="1"/>
        <v>0</v>
      </c>
      <c r="L10" s="27">
        <f t="shared" si="2"/>
        <v>0</v>
      </c>
      <c r="M10" s="12"/>
      <c r="N10" s="12"/>
    </row>
    <row r="11" spans="1:14" x14ac:dyDescent="0.6">
      <c r="A11" s="15">
        <f>'01_인적정보'!A7</f>
        <v>3</v>
      </c>
      <c r="B11" s="15" t="str">
        <f>'01_인적정보'!B7</f>
        <v>BSS-003</v>
      </c>
      <c r="C11" s="15" t="str">
        <f>'01_인적정보'!C7</f>
        <v>김현민</v>
      </c>
      <c r="D11" s="15" t="str">
        <f>'01_인적정보'!D7</f>
        <v>설계</v>
      </c>
      <c r="E11" s="15" t="str">
        <f>'01_인적정보'!F7</f>
        <v>컨설팅본부</v>
      </c>
      <c r="F11" s="15" t="str">
        <f>'01_인적정보'!H7</f>
        <v>G6</v>
      </c>
      <c r="G11" s="27">
        <f>'09_보상연계'!F8</f>
        <v>67500000</v>
      </c>
      <c r="H11" s="15" t="str">
        <f>'08_종합평가'!U8</f>
        <v>D</v>
      </c>
      <c r="I11" s="18">
        <f>IF(H11="","",IF(H11="S",'02_의사결정·종합결과'!$B$25,IF(H11="A",'02_의사결정·종합결과'!$C$25,IF(H11="B",'02_의사결정·종합결과'!$D$25,IF(H11="C",'02_의사결정·종합결과'!$E$25,'02_의사결정·종합결과'!$F$25)))))</f>
        <v>0</v>
      </c>
      <c r="J11" s="27">
        <f t="shared" si="0"/>
        <v>0</v>
      </c>
      <c r="K11" s="27">
        <f t="shared" si="1"/>
        <v>0</v>
      </c>
      <c r="L11" s="27">
        <f t="shared" si="2"/>
        <v>0</v>
      </c>
      <c r="M11" s="12"/>
      <c r="N11" s="12"/>
    </row>
    <row r="12" spans="1:14" x14ac:dyDescent="0.6">
      <c r="A12" s="15">
        <f>'01_인적정보'!A8</f>
        <v>4</v>
      </c>
      <c r="B12" s="15" t="str">
        <f>'01_인적정보'!B8</f>
        <v>BSS-004</v>
      </c>
      <c r="C12" s="15" t="str">
        <f>'01_인적정보'!C8</f>
        <v>이일곤</v>
      </c>
      <c r="D12" s="15" t="str">
        <f>'01_인적정보'!D8</f>
        <v>경영관리</v>
      </c>
      <c r="E12" s="15" t="str">
        <f>'01_인적정보'!F8</f>
        <v>경영전략실</v>
      </c>
      <c r="F12" s="15" t="str">
        <f>'01_인적정보'!H8</f>
        <v>G6</v>
      </c>
      <c r="G12" s="27">
        <f>'09_보상연계'!F9</f>
        <v>64530000</v>
      </c>
      <c r="H12" s="15" t="str">
        <f>'08_종합평가'!U9</f>
        <v>D</v>
      </c>
      <c r="I12" s="18">
        <f>IF(H12="","",IF(H12="S",'02_의사결정·종합결과'!$B$25,IF(H12="A",'02_의사결정·종합결과'!$C$25,IF(H12="B",'02_의사결정·종합결과'!$D$25,IF(H12="C",'02_의사결정·종합결과'!$E$25,'02_의사결정·종합결과'!$F$25)))))</f>
        <v>0</v>
      </c>
      <c r="J12" s="27">
        <f t="shared" si="0"/>
        <v>0</v>
      </c>
      <c r="K12" s="27">
        <f t="shared" si="1"/>
        <v>0</v>
      </c>
      <c r="L12" s="27">
        <f t="shared" si="2"/>
        <v>0</v>
      </c>
      <c r="M12" s="12"/>
      <c r="N12" s="12"/>
    </row>
    <row r="13" spans="1:14" x14ac:dyDescent="0.6">
      <c r="A13" s="15">
        <f>'01_인적정보'!A9</f>
        <v>5</v>
      </c>
      <c r="B13" s="15" t="str">
        <f>'01_인적정보'!B9</f>
        <v>BSS-005</v>
      </c>
      <c r="C13" s="15" t="str">
        <f>'01_인적정보'!C9</f>
        <v>송헌영</v>
      </c>
      <c r="D13" s="15" t="str">
        <f>'01_인적정보'!D9</f>
        <v>경영관리</v>
      </c>
      <c r="E13" s="15" t="str">
        <f>'01_인적정보'!F9</f>
        <v>경영전략실</v>
      </c>
      <c r="F13" s="15" t="str">
        <f>'01_인적정보'!H9</f>
        <v>G6</v>
      </c>
      <c r="G13" s="27">
        <f>'09_보상연계'!F10</f>
        <v>65180000</v>
      </c>
      <c r="H13" s="15" t="str">
        <f>'08_종합평가'!U10</f>
        <v>D</v>
      </c>
      <c r="I13" s="18">
        <f>IF(H13="","",IF(H13="S",'02_의사결정·종합결과'!$B$25,IF(H13="A",'02_의사결정·종합결과'!$C$25,IF(H13="B",'02_의사결정·종합결과'!$D$25,IF(H13="C",'02_의사결정·종합결과'!$E$25,'02_의사결정·종합결과'!$F$25)))))</f>
        <v>0</v>
      </c>
      <c r="J13" s="27">
        <f t="shared" si="0"/>
        <v>0</v>
      </c>
      <c r="K13" s="27">
        <f t="shared" si="1"/>
        <v>0</v>
      </c>
      <c r="L13" s="27">
        <f t="shared" si="2"/>
        <v>0</v>
      </c>
      <c r="M13" s="12"/>
      <c r="N13" s="12"/>
    </row>
    <row r="14" spans="1:14" x14ac:dyDescent="0.6">
      <c r="A14" s="15">
        <f>'01_인적정보'!A10</f>
        <v>6</v>
      </c>
      <c r="B14" s="15" t="str">
        <f>'01_인적정보'!B10</f>
        <v>BSS-006</v>
      </c>
      <c r="C14" s="15" t="str">
        <f>'01_인적정보'!C10</f>
        <v>이재용</v>
      </c>
      <c r="D14" s="15" t="str">
        <f>'01_인적정보'!D10</f>
        <v>경영관리</v>
      </c>
      <c r="E14" s="15" t="str">
        <f>'01_인적정보'!F10</f>
        <v>경영전략실</v>
      </c>
      <c r="F14" s="15" t="str">
        <f>'01_인적정보'!H10</f>
        <v>G6</v>
      </c>
      <c r="G14" s="27">
        <f>'09_보상연계'!F11</f>
        <v>62000000</v>
      </c>
      <c r="H14" s="15" t="str">
        <f>'08_종합평가'!U11</f>
        <v>D</v>
      </c>
      <c r="I14" s="18">
        <f>IF(H14="","",IF(H14="S",'02_의사결정·종합결과'!$B$25,IF(H14="A",'02_의사결정·종합결과'!$C$25,IF(H14="B",'02_의사결정·종합결과'!$D$25,IF(H14="C",'02_의사결정·종합결과'!$E$25,'02_의사결정·종합결과'!$F$25)))))</f>
        <v>0</v>
      </c>
      <c r="J14" s="27">
        <f t="shared" si="0"/>
        <v>0</v>
      </c>
      <c r="K14" s="27">
        <f t="shared" si="1"/>
        <v>0</v>
      </c>
      <c r="L14" s="27">
        <f t="shared" si="2"/>
        <v>0</v>
      </c>
      <c r="M14" s="12"/>
      <c r="N14" s="12"/>
    </row>
    <row r="15" spans="1:14" x14ac:dyDescent="0.6">
      <c r="A15" s="15">
        <f>'01_인적정보'!A11</f>
        <v>7</v>
      </c>
      <c r="B15" s="15" t="str">
        <f>'01_인적정보'!B11</f>
        <v>BSS-007</v>
      </c>
      <c r="C15" s="15" t="str">
        <f>'01_인적정보'!C11</f>
        <v>이진행</v>
      </c>
      <c r="D15" s="15" t="str">
        <f>'01_인적정보'!D11</f>
        <v>교육 및 기술지원</v>
      </c>
      <c r="E15" s="15" t="str">
        <f>'01_인적정보'!F11</f>
        <v>솔루션본부</v>
      </c>
      <c r="F15" s="15" t="str">
        <f>'01_인적정보'!H11</f>
        <v>G5</v>
      </c>
      <c r="G15" s="27">
        <f>'09_보상연계'!F12</f>
        <v>59700000</v>
      </c>
      <c r="H15" s="15" t="str">
        <f>'08_종합평가'!U12</f>
        <v>D</v>
      </c>
      <c r="I15" s="18">
        <f>IF(H15="","",IF(H15="S",'02_의사결정·종합결과'!$B$25,IF(H15="A",'02_의사결정·종합결과'!$C$25,IF(H15="B",'02_의사결정·종합결과'!$D$25,IF(H15="C",'02_의사결정·종합결과'!$E$25,'02_의사결정·종합결과'!$F$25)))))</f>
        <v>0</v>
      </c>
      <c r="J15" s="27">
        <f t="shared" si="0"/>
        <v>0</v>
      </c>
      <c r="K15" s="27">
        <f t="shared" si="1"/>
        <v>0</v>
      </c>
      <c r="L15" s="27">
        <f t="shared" si="2"/>
        <v>0</v>
      </c>
      <c r="M15" s="12"/>
      <c r="N15" s="12"/>
    </row>
    <row r="16" spans="1:14" x14ac:dyDescent="0.6">
      <c r="A16" s="15">
        <f>'01_인적정보'!A12</f>
        <v>8</v>
      </c>
      <c r="B16" s="15" t="str">
        <f>'01_인적정보'!B12</f>
        <v>BSS-008</v>
      </c>
      <c r="C16" s="15" t="str">
        <f>'01_인적정보'!C12</f>
        <v>김민수</v>
      </c>
      <c r="D16" s="15" t="str">
        <f>'01_인적정보'!D12</f>
        <v>교육 및 기술지원</v>
      </c>
      <c r="E16" s="15" t="str">
        <f>'01_인적정보'!F12</f>
        <v>솔루션본부</v>
      </c>
      <c r="F16" s="15" t="str">
        <f>'01_인적정보'!H12</f>
        <v>G5</v>
      </c>
      <c r="G16" s="27">
        <f>'09_보상연계'!F13</f>
        <v>59050000</v>
      </c>
      <c r="H16" s="15" t="str">
        <f>'08_종합평가'!U13</f>
        <v>D</v>
      </c>
      <c r="I16" s="18">
        <f>IF(H16="","",IF(H16="S",'02_의사결정·종합결과'!$B$25,IF(H16="A",'02_의사결정·종합결과'!$C$25,IF(H16="B",'02_의사결정·종합결과'!$D$25,IF(H16="C",'02_의사결정·종합결과'!$E$25,'02_의사결정·종합결과'!$F$25)))))</f>
        <v>0</v>
      </c>
      <c r="J16" s="27">
        <f t="shared" si="0"/>
        <v>0</v>
      </c>
      <c r="K16" s="27">
        <f t="shared" si="1"/>
        <v>0</v>
      </c>
      <c r="L16" s="27">
        <f t="shared" si="2"/>
        <v>0</v>
      </c>
      <c r="M16" s="12"/>
      <c r="N16" s="12"/>
    </row>
    <row r="17" spans="1:14" x14ac:dyDescent="0.6">
      <c r="A17" s="15">
        <f>'01_인적정보'!A13</f>
        <v>9</v>
      </c>
      <c r="B17" s="15" t="str">
        <f>'01_인적정보'!B13</f>
        <v>BSS-009</v>
      </c>
      <c r="C17" s="15" t="str">
        <f>'01_인적정보'!C13</f>
        <v>박남식</v>
      </c>
      <c r="D17" s="15" t="str">
        <f>'01_인적정보'!D13</f>
        <v>설계</v>
      </c>
      <c r="E17" s="15" t="str">
        <f>'01_인적정보'!F13</f>
        <v>컨설팅본부</v>
      </c>
      <c r="F17" s="15" t="str">
        <f>'01_인적정보'!H13</f>
        <v>G5</v>
      </c>
      <c r="G17" s="27">
        <f>'09_보상연계'!F14</f>
        <v>59050000</v>
      </c>
      <c r="H17" s="15" t="str">
        <f>'08_종합평가'!U14</f>
        <v>D</v>
      </c>
      <c r="I17" s="18">
        <f>IF(H17="","",IF(H17="S",'02_의사결정·종합결과'!$B$25,IF(H17="A",'02_의사결정·종합결과'!$C$25,IF(H17="B",'02_의사결정·종합결과'!$D$25,IF(H17="C",'02_의사결정·종합결과'!$E$25,'02_의사결정·종합결과'!$F$25)))))</f>
        <v>0</v>
      </c>
      <c r="J17" s="27">
        <f t="shared" si="0"/>
        <v>0</v>
      </c>
      <c r="K17" s="27">
        <f t="shared" si="1"/>
        <v>0</v>
      </c>
      <c r="L17" s="27">
        <f t="shared" si="2"/>
        <v>0</v>
      </c>
      <c r="M17" s="12"/>
      <c r="N17" s="12"/>
    </row>
    <row r="18" spans="1:14" x14ac:dyDescent="0.6">
      <c r="A18" s="15">
        <f>'01_인적정보'!A14</f>
        <v>10</v>
      </c>
      <c r="B18" s="15" t="str">
        <f>'01_인적정보'!B14</f>
        <v>BSS-010</v>
      </c>
      <c r="C18" s="15" t="str">
        <f>'01_인적정보'!C14</f>
        <v>신재민</v>
      </c>
      <c r="D18" s="15" t="str">
        <f>'01_인적정보'!D14</f>
        <v>설계</v>
      </c>
      <c r="E18" s="15" t="str">
        <f>'01_인적정보'!F14</f>
        <v>컨설팅본부</v>
      </c>
      <c r="F18" s="15" t="str">
        <f>'01_인적정보'!H14</f>
        <v>G5</v>
      </c>
      <c r="G18" s="27">
        <f>'09_보상연계'!F15</f>
        <v>59050000</v>
      </c>
      <c r="H18" s="15" t="str">
        <f>'08_종합평가'!U15</f>
        <v>D</v>
      </c>
      <c r="I18" s="18">
        <f>IF(H18="","",IF(H18="S",'02_의사결정·종합결과'!$B$25,IF(H18="A",'02_의사결정·종합결과'!$C$25,IF(H18="B",'02_의사결정·종합결과'!$D$25,IF(H18="C",'02_의사결정·종합결과'!$E$25,'02_의사결정·종합결과'!$F$25)))))</f>
        <v>0</v>
      </c>
      <c r="J18" s="27">
        <f t="shared" si="0"/>
        <v>0</v>
      </c>
      <c r="K18" s="27">
        <f t="shared" si="1"/>
        <v>0</v>
      </c>
      <c r="L18" s="27">
        <f t="shared" si="2"/>
        <v>0</v>
      </c>
      <c r="M18" s="12"/>
      <c r="N18" s="12"/>
    </row>
    <row r="19" spans="1:14" x14ac:dyDescent="0.6">
      <c r="A19" s="15">
        <f>'01_인적정보'!A15</f>
        <v>11</v>
      </c>
      <c r="B19" s="15" t="str">
        <f>'01_인적정보'!B15</f>
        <v>BSS-011</v>
      </c>
      <c r="C19" s="15" t="str">
        <f>'01_인적정보'!C15</f>
        <v>마장엽</v>
      </c>
      <c r="D19" s="15" t="str">
        <f>'01_인적정보'!D15</f>
        <v>설계</v>
      </c>
      <c r="E19" s="15" t="str">
        <f>'01_인적정보'!F15</f>
        <v>컨설팅본부</v>
      </c>
      <c r="F19" s="15" t="str">
        <f>'01_인적정보'!H15</f>
        <v>G5</v>
      </c>
      <c r="G19" s="27">
        <f>'09_보상연계'!F16</f>
        <v>57760000</v>
      </c>
      <c r="H19" s="15" t="str">
        <f>'08_종합평가'!U16</f>
        <v>D</v>
      </c>
      <c r="I19" s="18">
        <f>IF(H19="","",IF(H19="S",'02_의사결정·종합결과'!$B$25,IF(H19="A",'02_의사결정·종합결과'!$C$25,IF(H19="B",'02_의사결정·종합결과'!$D$25,IF(H19="C",'02_의사결정·종합결과'!$E$25,'02_의사결정·종합결과'!$F$25)))))</f>
        <v>0</v>
      </c>
      <c r="J19" s="27">
        <f t="shared" si="0"/>
        <v>0</v>
      </c>
      <c r="K19" s="27">
        <f t="shared" si="1"/>
        <v>0</v>
      </c>
      <c r="L19" s="27">
        <f t="shared" si="2"/>
        <v>0</v>
      </c>
      <c r="M19" s="12"/>
      <c r="N19" s="12"/>
    </row>
    <row r="20" spans="1:14" x14ac:dyDescent="0.6">
      <c r="A20" s="15">
        <f>'01_인적정보'!A16</f>
        <v>12</v>
      </c>
      <c r="B20" s="15" t="str">
        <f>'01_인적정보'!B16</f>
        <v>BSS-012</v>
      </c>
      <c r="C20" s="15" t="str">
        <f>'01_인적정보'!C16</f>
        <v>하은주</v>
      </c>
      <c r="D20" s="15" t="str">
        <f>'01_인적정보'!D16</f>
        <v>경영관리</v>
      </c>
      <c r="E20" s="15" t="str">
        <f>'01_인적정보'!F16</f>
        <v>마케팅팀</v>
      </c>
      <c r="F20" s="15" t="str">
        <f>'01_인적정보'!H16</f>
        <v>G5</v>
      </c>
      <c r="G20" s="27">
        <f>'09_보상연계'!F17</f>
        <v>57760000</v>
      </c>
      <c r="H20" s="15" t="str">
        <f>'08_종합평가'!U17</f>
        <v>D</v>
      </c>
      <c r="I20" s="18">
        <f>IF(H20="","",IF(H20="S",'02_의사결정·종합결과'!$B$25,IF(H20="A",'02_의사결정·종합결과'!$C$25,IF(H20="B",'02_의사결정·종합결과'!$D$25,IF(H20="C",'02_의사결정·종합결과'!$E$25,'02_의사결정·종합결과'!$F$25)))))</f>
        <v>0</v>
      </c>
      <c r="J20" s="27">
        <f t="shared" si="0"/>
        <v>0</v>
      </c>
      <c r="K20" s="27">
        <f t="shared" si="1"/>
        <v>0</v>
      </c>
      <c r="L20" s="27">
        <f t="shared" si="2"/>
        <v>0</v>
      </c>
      <c r="M20" s="12"/>
      <c r="N20" s="12"/>
    </row>
    <row r="21" spans="1:14" x14ac:dyDescent="0.6">
      <c r="A21" s="15">
        <f>'01_인적정보'!A17</f>
        <v>13</v>
      </c>
      <c r="B21" s="15" t="str">
        <f>'01_인적정보'!B17</f>
        <v>BSS-013</v>
      </c>
      <c r="C21" s="15" t="str">
        <f>'01_인적정보'!C17</f>
        <v>홍사훈</v>
      </c>
      <c r="D21" s="15" t="str">
        <f>'01_인적정보'!D17</f>
        <v>설계</v>
      </c>
      <c r="E21" s="15" t="str">
        <f>'01_인적정보'!F17</f>
        <v>컨설팅본부</v>
      </c>
      <c r="F21" s="15" t="str">
        <f>'01_인적정보'!H17</f>
        <v>G5</v>
      </c>
      <c r="G21" s="27">
        <f>'09_보상연계'!F18</f>
        <v>58400000</v>
      </c>
      <c r="H21" s="15" t="str">
        <f>'08_종합평가'!U18</f>
        <v>D</v>
      </c>
      <c r="I21" s="18">
        <f>IF(H21="","",IF(H21="S",'02_의사결정·종합결과'!$B$25,IF(H21="A",'02_의사결정·종합결과'!$C$25,IF(H21="B",'02_의사결정·종합결과'!$D$25,IF(H21="C",'02_의사결정·종합결과'!$E$25,'02_의사결정·종합결과'!$F$25)))))</f>
        <v>0</v>
      </c>
      <c r="J21" s="27">
        <f t="shared" si="0"/>
        <v>0</v>
      </c>
      <c r="K21" s="27">
        <f t="shared" si="1"/>
        <v>0</v>
      </c>
      <c r="L21" s="27">
        <f t="shared" si="2"/>
        <v>0</v>
      </c>
      <c r="M21" s="12"/>
      <c r="N21" s="12"/>
    </row>
    <row r="22" spans="1:14" x14ac:dyDescent="0.6">
      <c r="A22" s="15">
        <f>'01_인적정보'!A18</f>
        <v>14</v>
      </c>
      <c r="B22" s="15" t="str">
        <f>'01_인적정보'!B18</f>
        <v>BSS-014</v>
      </c>
      <c r="C22" s="15" t="str">
        <f>'01_인적정보'!C18</f>
        <v>유자영</v>
      </c>
      <c r="D22" s="15" t="str">
        <f>'01_인적정보'!D18</f>
        <v>설계</v>
      </c>
      <c r="E22" s="15" t="str">
        <f>'01_인적정보'!F18</f>
        <v>컨설팅본부</v>
      </c>
      <c r="F22" s="15" t="str">
        <f>'01_인적정보'!H18</f>
        <v>G5</v>
      </c>
      <c r="G22" s="27">
        <f>'09_보상연계'!F19</f>
        <v>56500000</v>
      </c>
      <c r="H22" s="15" t="str">
        <f>'08_종합평가'!U19</f>
        <v>D</v>
      </c>
      <c r="I22" s="18">
        <f>IF(H22="","",IF(H22="S",'02_의사결정·종합결과'!$B$25,IF(H22="A",'02_의사결정·종합결과'!$C$25,IF(H22="B",'02_의사결정·종합결과'!$D$25,IF(H22="C",'02_의사결정·종합결과'!$E$25,'02_의사결정·종합결과'!$F$25)))))</f>
        <v>0</v>
      </c>
      <c r="J22" s="27">
        <f t="shared" si="0"/>
        <v>0</v>
      </c>
      <c r="K22" s="27">
        <f t="shared" si="1"/>
        <v>0</v>
      </c>
      <c r="L22" s="27">
        <f t="shared" si="2"/>
        <v>0</v>
      </c>
      <c r="M22" s="12"/>
      <c r="N22" s="12"/>
    </row>
    <row r="23" spans="1:14" x14ac:dyDescent="0.6">
      <c r="A23" s="15">
        <f>'01_인적정보'!A19</f>
        <v>15</v>
      </c>
      <c r="B23" s="15" t="str">
        <f>'01_인적정보'!B19</f>
        <v>BSS-015</v>
      </c>
      <c r="C23" s="15" t="str">
        <f>'01_인적정보'!C19</f>
        <v>민지선</v>
      </c>
      <c r="D23" s="15" t="str">
        <f>'01_인적정보'!D19</f>
        <v>설계</v>
      </c>
      <c r="E23" s="15" t="str">
        <f>'01_인적정보'!F19</f>
        <v>컨설팅본부</v>
      </c>
      <c r="F23" s="15" t="str">
        <f>'01_인적정보'!H19</f>
        <v>G5</v>
      </c>
      <c r="G23" s="27">
        <f>'09_보상연계'!F20</f>
        <v>53160000</v>
      </c>
      <c r="H23" s="15" t="str">
        <f>'08_종합평가'!U20</f>
        <v>D</v>
      </c>
      <c r="I23" s="18">
        <f>IF(H23="","",IF(H23="S",'02_의사결정·종합결과'!$B$25,IF(H23="A",'02_의사결정·종합결과'!$C$25,IF(H23="B",'02_의사결정·종합결과'!$D$25,IF(H23="C",'02_의사결정·종합결과'!$E$25,'02_의사결정·종합결과'!$F$25)))))</f>
        <v>0</v>
      </c>
      <c r="J23" s="27">
        <f t="shared" si="0"/>
        <v>0</v>
      </c>
      <c r="K23" s="27">
        <f t="shared" si="1"/>
        <v>0</v>
      </c>
      <c r="L23" s="27">
        <f t="shared" si="2"/>
        <v>0</v>
      </c>
      <c r="M23" s="12"/>
      <c r="N23" s="12"/>
    </row>
    <row r="24" spans="1:14" x14ac:dyDescent="0.6">
      <c r="A24" s="15">
        <f>'01_인적정보'!A20</f>
        <v>16</v>
      </c>
      <c r="B24" s="15" t="str">
        <f>'01_인적정보'!B20</f>
        <v>BSS-016</v>
      </c>
      <c r="C24" s="15" t="str">
        <f>'01_인적정보'!C20</f>
        <v>장훈</v>
      </c>
      <c r="D24" s="15" t="str">
        <f>'01_인적정보'!D20</f>
        <v>설계</v>
      </c>
      <c r="E24" s="15" t="str">
        <f>'01_인적정보'!F20</f>
        <v>컨설팅본부</v>
      </c>
      <c r="F24" s="15" t="str">
        <f>'01_인적정보'!H20</f>
        <v>G5</v>
      </c>
      <c r="G24" s="27">
        <f>'09_보상연계'!F21</f>
        <v>53750000</v>
      </c>
      <c r="H24" s="15" t="str">
        <f>'08_종합평가'!U21</f>
        <v>D</v>
      </c>
      <c r="I24" s="18">
        <f>IF(H24="","",IF(H24="S",'02_의사결정·종합결과'!$B$25,IF(H24="A",'02_의사결정·종합결과'!$C$25,IF(H24="B",'02_의사결정·종합결과'!$D$25,IF(H24="C",'02_의사결정·종합결과'!$E$25,'02_의사결정·종합결과'!$F$25)))))</f>
        <v>0</v>
      </c>
      <c r="J24" s="27">
        <f t="shared" si="0"/>
        <v>0</v>
      </c>
      <c r="K24" s="27">
        <f t="shared" si="1"/>
        <v>0</v>
      </c>
      <c r="L24" s="27">
        <f t="shared" si="2"/>
        <v>0</v>
      </c>
      <c r="M24" s="12"/>
      <c r="N24" s="12"/>
    </row>
    <row r="25" spans="1:14" x14ac:dyDescent="0.6">
      <c r="A25" s="15">
        <f>'01_인적정보'!A21</f>
        <v>17</v>
      </c>
      <c r="B25" s="15" t="str">
        <f>'01_인적정보'!B21</f>
        <v>BSS-017</v>
      </c>
      <c r="C25" s="15" t="str">
        <f>'01_인적정보'!C21</f>
        <v>김우람</v>
      </c>
      <c r="D25" s="15" t="str">
        <f>'01_인적정보'!D21</f>
        <v>교육 및 기술지원</v>
      </c>
      <c r="E25" s="15" t="str">
        <f>'01_인적정보'!F21</f>
        <v>솔루션본부</v>
      </c>
      <c r="F25" s="15" t="str">
        <f>'01_인적정보'!H21</f>
        <v>G4</v>
      </c>
      <c r="G25" s="27">
        <f>'09_보상연계'!F22</f>
        <v>49240000</v>
      </c>
      <c r="H25" s="15" t="str">
        <f>'08_종합평가'!U22</f>
        <v>D</v>
      </c>
      <c r="I25" s="18">
        <f>IF(H25="","",IF(H25="S",'02_의사결정·종합결과'!$B$25,IF(H25="A",'02_의사결정·종합결과'!$C$25,IF(H25="B",'02_의사결정·종합결과'!$D$25,IF(H25="C",'02_의사결정·종합결과'!$E$25,'02_의사결정·종합결과'!$F$25)))))</f>
        <v>0</v>
      </c>
      <c r="J25" s="27">
        <f t="shared" si="0"/>
        <v>0</v>
      </c>
      <c r="K25" s="27">
        <f t="shared" si="1"/>
        <v>0</v>
      </c>
      <c r="L25" s="27">
        <f t="shared" si="2"/>
        <v>0</v>
      </c>
      <c r="M25" s="12"/>
      <c r="N25" s="12"/>
    </row>
    <row r="26" spans="1:14" x14ac:dyDescent="0.6">
      <c r="A26" s="15">
        <f>'01_인적정보'!A22</f>
        <v>18</v>
      </c>
      <c r="B26" s="15" t="str">
        <f>'01_인적정보'!B22</f>
        <v>BSS-018</v>
      </c>
      <c r="C26" s="15" t="str">
        <f>'01_인적정보'!C22</f>
        <v>조성준</v>
      </c>
      <c r="D26" s="15" t="str">
        <f>'01_인적정보'!D22</f>
        <v>설계</v>
      </c>
      <c r="E26" s="15" t="str">
        <f>'01_인적정보'!F22</f>
        <v>컨설팅본부</v>
      </c>
      <c r="F26" s="15" t="str">
        <f>'01_인적정보'!H22</f>
        <v>G4</v>
      </c>
      <c r="G26" s="27">
        <f>'09_보상연계'!F23</f>
        <v>48650000</v>
      </c>
      <c r="H26" s="15" t="str">
        <f>'08_종합평가'!U23</f>
        <v>D</v>
      </c>
      <c r="I26" s="18">
        <f>IF(H26="","",IF(H26="S",'02_의사결정·종합결과'!$B$25,IF(H26="A",'02_의사결정·종합결과'!$C$25,IF(H26="B",'02_의사결정·종합결과'!$D$25,IF(H26="C",'02_의사결정·종합결과'!$E$25,'02_의사결정·종합결과'!$F$25)))))</f>
        <v>0</v>
      </c>
      <c r="J26" s="27">
        <f t="shared" si="0"/>
        <v>0</v>
      </c>
      <c r="K26" s="27">
        <f t="shared" si="1"/>
        <v>0</v>
      </c>
      <c r="L26" s="27">
        <f t="shared" si="2"/>
        <v>0</v>
      </c>
      <c r="M26" s="12"/>
      <c r="N26" s="12"/>
    </row>
    <row r="27" spans="1:14" x14ac:dyDescent="0.6">
      <c r="A27" s="15">
        <f>'01_인적정보'!A23</f>
        <v>19</v>
      </c>
      <c r="B27" s="15" t="str">
        <f>'01_인적정보'!B23</f>
        <v>BSS-019</v>
      </c>
      <c r="C27" s="15" t="str">
        <f>'01_인적정보'!C23</f>
        <v>구서현</v>
      </c>
      <c r="D27" s="15" t="str">
        <f>'01_인적정보'!D23</f>
        <v>설계</v>
      </c>
      <c r="E27" s="15" t="str">
        <f>'01_인적정보'!F23</f>
        <v>컨설팅본부</v>
      </c>
      <c r="F27" s="15" t="str">
        <f>'01_인적정보'!H23</f>
        <v>G2</v>
      </c>
      <c r="G27" s="27">
        <f>'09_보상연계'!F24</f>
        <v>47500000</v>
      </c>
      <c r="H27" s="15" t="str">
        <f>'08_종합평가'!U24</f>
        <v>D</v>
      </c>
      <c r="I27" s="18">
        <f>IF(H27="","",IF(H27="S",'02_의사결정·종합결과'!$B$25,IF(H27="A",'02_의사결정·종합결과'!$C$25,IF(H27="B",'02_의사결정·종합결과'!$D$25,IF(H27="C",'02_의사결정·종합결과'!$E$25,'02_의사결정·종합결과'!$F$25)))))</f>
        <v>0</v>
      </c>
      <c r="J27" s="27">
        <f t="shared" si="0"/>
        <v>0</v>
      </c>
      <c r="K27" s="27">
        <f t="shared" si="1"/>
        <v>0</v>
      </c>
      <c r="L27" s="27">
        <f t="shared" si="2"/>
        <v>0</v>
      </c>
      <c r="M27" s="12"/>
      <c r="N27" s="12"/>
    </row>
    <row r="28" spans="1:14" ht="31.5" x14ac:dyDescent="0.6">
      <c r="A28" s="15">
        <f>'01_인적정보'!A24</f>
        <v>20</v>
      </c>
      <c r="B28" s="15" t="str">
        <f>'01_인적정보'!B24</f>
        <v>BSS-020</v>
      </c>
      <c r="C28" s="15" t="str">
        <f>'01_인적정보'!C24</f>
        <v>박진용</v>
      </c>
      <c r="D28" s="15" t="str">
        <f>'01_인적정보'!D24</f>
        <v>교육 및 기술지원</v>
      </c>
      <c r="E28" s="15" t="str">
        <f>'01_인적정보'!F24</f>
        <v>솔루션본부</v>
      </c>
      <c r="F28" s="15" t="str">
        <f>'01_인적정보'!H24</f>
        <v>G3</v>
      </c>
      <c r="G28" s="27">
        <f>'09_보상연계'!F25</f>
        <v>43060000</v>
      </c>
      <c r="H28" s="15" t="str">
        <f>'08_종합평가'!U25</f>
        <v>D</v>
      </c>
      <c r="I28" s="18">
        <f>IF(H28="","",IF(H28="S",'02_의사결정·종합결과'!$B$25,IF(H28="A",'02_의사결정·종합결과'!$C$25,IF(H28="B",'02_의사결정·종합결과'!$D$25,IF(H28="C",'02_의사결정·종합결과'!$E$25,'02_의사결정·종합결과'!$F$25)))))</f>
        <v>0</v>
      </c>
      <c r="J28" s="27">
        <f t="shared" si="0"/>
        <v>0</v>
      </c>
      <c r="K28" s="27">
        <f t="shared" si="1"/>
        <v>0</v>
      </c>
      <c r="L28" s="27">
        <f t="shared" si="2"/>
        <v>0</v>
      </c>
      <c r="M28" s="12"/>
      <c r="N28" s="12"/>
    </row>
    <row r="29" spans="1:14" x14ac:dyDescent="0.6">
      <c r="A29" s="15">
        <f>'01_인적정보'!A25</f>
        <v>21</v>
      </c>
      <c r="B29" s="15" t="str">
        <f>'01_인적정보'!B25</f>
        <v>BSS-021</v>
      </c>
      <c r="C29" s="15" t="str">
        <f>'01_인적정보'!C25</f>
        <v>김가연</v>
      </c>
      <c r="D29" s="15" t="str">
        <f>'01_인적정보'!D25</f>
        <v>설계</v>
      </c>
      <c r="E29" s="15" t="str">
        <f>'01_인적정보'!F25</f>
        <v>컨설팅본부</v>
      </c>
      <c r="F29" s="15" t="str">
        <f>'01_인적정보'!H25</f>
        <v>G2</v>
      </c>
      <c r="G29" s="27">
        <f>'09_보상연계'!F26</f>
        <v>42500000</v>
      </c>
      <c r="H29" s="15" t="str">
        <f>'08_종합평가'!U26</f>
        <v>D</v>
      </c>
      <c r="I29" s="18">
        <f>IF(H29="","",IF(H29="S",'02_의사결정·종합결과'!$B$25,IF(H29="A",'02_의사결정·종합결과'!$C$25,IF(H29="B",'02_의사결정·종합결과'!$D$25,IF(H29="C",'02_의사결정·종합결과'!$E$25,'02_의사결정·종합결과'!$F$25)))))</f>
        <v>0</v>
      </c>
      <c r="J29" s="27">
        <f t="shared" si="0"/>
        <v>0</v>
      </c>
      <c r="K29" s="27">
        <f t="shared" si="1"/>
        <v>0</v>
      </c>
      <c r="L29" s="27">
        <f t="shared" si="2"/>
        <v>0</v>
      </c>
      <c r="M29" s="12"/>
      <c r="N29" s="12"/>
    </row>
    <row r="30" spans="1:14" x14ac:dyDescent="0.6">
      <c r="A30" s="15">
        <f>'01_인적정보'!A26</f>
        <v>22</v>
      </c>
      <c r="B30" s="15" t="str">
        <f>'01_인적정보'!B26</f>
        <v>BSS-022</v>
      </c>
      <c r="C30" s="15" t="str">
        <f>'01_인적정보'!C26</f>
        <v>한근수</v>
      </c>
      <c r="D30" s="15" t="str">
        <f>'01_인적정보'!D26</f>
        <v>설계</v>
      </c>
      <c r="E30" s="15" t="str">
        <f>'01_인적정보'!F26</f>
        <v>컨설팅본부</v>
      </c>
      <c r="F30" s="15" t="str">
        <f>'01_인적정보'!H26</f>
        <v>G2</v>
      </c>
      <c r="G30" s="27">
        <f>'09_보상연계'!F27</f>
        <v>42500000</v>
      </c>
      <c r="H30" s="15" t="str">
        <f>'08_종합평가'!U27</f>
        <v>D</v>
      </c>
      <c r="I30" s="18">
        <f>IF(H30="","",IF(H30="S",'02_의사결정·종합결과'!$B$25,IF(H30="A",'02_의사결정·종합결과'!$C$25,IF(H30="B",'02_의사결정·종합결과'!$D$25,IF(H30="C",'02_의사결정·종합결과'!$E$25,'02_의사결정·종합결과'!$F$25)))))</f>
        <v>0</v>
      </c>
      <c r="J30" s="27">
        <f t="shared" si="0"/>
        <v>0</v>
      </c>
      <c r="K30" s="27">
        <f t="shared" si="1"/>
        <v>0</v>
      </c>
      <c r="L30" s="27">
        <f t="shared" si="2"/>
        <v>0</v>
      </c>
      <c r="M30" s="12"/>
      <c r="N30" s="12"/>
    </row>
    <row r="31" spans="1:14" x14ac:dyDescent="0.6">
      <c r="A31" s="15">
        <f>'01_인적정보'!A27</f>
        <v>23</v>
      </c>
      <c r="B31" s="15" t="str">
        <f>'01_인적정보'!B27</f>
        <v>BSS-023</v>
      </c>
      <c r="C31" s="15" t="str">
        <f>'01_인적정보'!C27</f>
        <v>김성민</v>
      </c>
      <c r="D31" s="15" t="str">
        <f>'01_인적정보'!D27</f>
        <v>설계</v>
      </c>
      <c r="E31" s="15" t="str">
        <f>'01_인적정보'!F27</f>
        <v>컨설팅본부</v>
      </c>
      <c r="F31" s="15" t="str">
        <f>'01_인적정보'!H27</f>
        <v>G2</v>
      </c>
      <c r="G31" s="27">
        <f>'09_보상연계'!F28</f>
        <v>42500000</v>
      </c>
      <c r="H31" s="15" t="str">
        <f>'08_종합평가'!U28</f>
        <v>D</v>
      </c>
      <c r="I31" s="18">
        <f>IF(H31="","",IF(H31="S",'02_의사결정·종합결과'!$B$25,IF(H31="A",'02_의사결정·종합결과'!$C$25,IF(H31="B",'02_의사결정·종합결과'!$D$25,IF(H31="C",'02_의사결정·종합결과'!$E$25,'02_의사결정·종합결과'!$F$25)))))</f>
        <v>0</v>
      </c>
      <c r="J31" s="27">
        <f t="shared" si="0"/>
        <v>0</v>
      </c>
      <c r="K31" s="27">
        <f t="shared" si="1"/>
        <v>0</v>
      </c>
      <c r="L31" s="27">
        <f t="shared" si="2"/>
        <v>0</v>
      </c>
      <c r="M31" s="12"/>
      <c r="N31" s="12"/>
    </row>
    <row r="32" spans="1:14" x14ac:dyDescent="0.6">
      <c r="A32" s="15">
        <f>'01_인적정보'!A28</f>
        <v>24</v>
      </c>
      <c r="B32" s="15" t="str">
        <f>'01_인적정보'!B28</f>
        <v>BSS-024</v>
      </c>
      <c r="C32" s="15" t="str">
        <f>'01_인적정보'!C28</f>
        <v>고광우</v>
      </c>
      <c r="D32" s="15" t="str">
        <f>'01_인적정보'!D28</f>
        <v>설계</v>
      </c>
      <c r="E32" s="15" t="str">
        <f>'01_인적정보'!F28</f>
        <v>컨설팅본부</v>
      </c>
      <c r="F32" s="15" t="str">
        <f>'01_인적정보'!H28</f>
        <v>G2</v>
      </c>
      <c r="G32" s="27">
        <f>'09_보상연계'!F29</f>
        <v>42500000</v>
      </c>
      <c r="H32" s="15" t="str">
        <f>'08_종합평가'!U29</f>
        <v>D</v>
      </c>
      <c r="I32" s="18">
        <f>IF(H32="","",IF(H32="S",'02_의사결정·종합결과'!$B$25,IF(H32="A",'02_의사결정·종합결과'!$C$25,IF(H32="B",'02_의사결정·종합결과'!$D$25,IF(H32="C",'02_의사결정·종합결과'!$E$25,'02_의사결정·종합결과'!$F$25)))))</f>
        <v>0</v>
      </c>
      <c r="J32" s="27">
        <f t="shared" si="0"/>
        <v>0</v>
      </c>
      <c r="K32" s="27">
        <f t="shared" si="1"/>
        <v>0</v>
      </c>
      <c r="L32" s="27">
        <f t="shared" si="2"/>
        <v>0</v>
      </c>
      <c r="M32" s="12"/>
      <c r="N32" s="12"/>
    </row>
    <row r="33" spans="1:14" x14ac:dyDescent="0.6">
      <c r="A33" s="15">
        <f>'01_인적정보'!A29</f>
        <v>25</v>
      </c>
      <c r="B33" s="15" t="str">
        <f>'01_인적정보'!B29</f>
        <v>BSS-025</v>
      </c>
      <c r="C33" s="15" t="str">
        <f>'01_인적정보'!C29</f>
        <v>김성수</v>
      </c>
      <c r="D33" s="15" t="str">
        <f>'01_인적정보'!D29</f>
        <v>연구&amp;개발</v>
      </c>
      <c r="E33" s="15" t="str">
        <f>'01_인적정보'!F29</f>
        <v>컨설팅본부</v>
      </c>
      <c r="F33" s="15" t="str">
        <f>'01_인적정보'!H29</f>
        <v>G2</v>
      </c>
      <c r="G33" s="27">
        <f>'09_보상연계'!F30</f>
        <v>42500000</v>
      </c>
      <c r="H33" s="15" t="str">
        <f>'08_종합평가'!U30</f>
        <v>D</v>
      </c>
      <c r="I33" s="18">
        <f>IF(H33="","",IF(H33="S",'02_의사결정·종합결과'!$B$25,IF(H33="A",'02_의사결정·종합결과'!$C$25,IF(H33="B",'02_의사결정·종합결과'!$D$25,IF(H33="C",'02_의사결정·종합결과'!$E$25,'02_의사결정·종합결과'!$F$25)))))</f>
        <v>0</v>
      </c>
      <c r="J33" s="27">
        <f t="shared" si="0"/>
        <v>0</v>
      </c>
      <c r="K33" s="27">
        <f t="shared" si="1"/>
        <v>0</v>
      </c>
      <c r="L33" s="27">
        <f t="shared" si="2"/>
        <v>0</v>
      </c>
      <c r="M33" s="12"/>
      <c r="N33" s="12"/>
    </row>
    <row r="34" spans="1:14" x14ac:dyDescent="0.6">
      <c r="A34" s="15">
        <f>'01_인적정보'!A30</f>
        <v>26</v>
      </c>
      <c r="B34" s="15" t="str">
        <f>'01_인적정보'!B30</f>
        <v>BSS-026</v>
      </c>
      <c r="C34" s="15" t="str">
        <f>'01_인적정보'!C30</f>
        <v>박진희</v>
      </c>
      <c r="D34" s="15" t="str">
        <f>'01_인적정보'!D30</f>
        <v>경영관리</v>
      </c>
      <c r="E34" s="15" t="str">
        <f>'01_인적정보'!F30</f>
        <v>마케팅팀</v>
      </c>
      <c r="F34" s="15" t="str">
        <f>'01_인적정보'!H30</f>
        <v>G1</v>
      </c>
      <c r="G34" s="27">
        <f>'09_보상연계'!F31</f>
        <v>34935000</v>
      </c>
      <c r="H34" s="15" t="str">
        <f>'08_종합평가'!U31</f>
        <v>D</v>
      </c>
      <c r="I34" s="18">
        <f>IF(H34="","",IF(H34="S",'02_의사결정·종합결과'!$B$25,IF(H34="A",'02_의사결정·종합결과'!$C$25,IF(H34="B",'02_의사결정·종합결과'!$D$25,IF(H34="C",'02_의사결정·종합결과'!$E$25,'02_의사결정·종합결과'!$F$25)))))</f>
        <v>0</v>
      </c>
      <c r="J34" s="27">
        <f t="shared" si="0"/>
        <v>0</v>
      </c>
      <c r="K34" s="27">
        <f t="shared" si="1"/>
        <v>0</v>
      </c>
      <c r="L34" s="27">
        <f t="shared" si="2"/>
        <v>0</v>
      </c>
      <c r="M34" s="12"/>
      <c r="N34" s="12"/>
    </row>
    <row r="35" spans="1:14" ht="31.5" x14ac:dyDescent="0.6">
      <c r="A35" s="15">
        <f>'01_인적정보'!A31</f>
        <v>27</v>
      </c>
      <c r="B35" s="15" t="str">
        <f>'01_인적정보'!B31</f>
        <v>BSS-027</v>
      </c>
      <c r="C35" s="15" t="str">
        <f>'01_인적정보'!C31</f>
        <v>장은한</v>
      </c>
      <c r="D35" s="15" t="str">
        <f>'01_인적정보'!D31</f>
        <v>교육 및 기술지원</v>
      </c>
      <c r="E35" s="15" t="str">
        <f>'01_인적정보'!F31</f>
        <v>솔루션본부</v>
      </c>
      <c r="F35" s="15" t="str">
        <f>'01_인적정보'!H31</f>
        <v>G2</v>
      </c>
      <c r="G35" s="27">
        <f>'09_보상연계'!F32</f>
        <v>35000000</v>
      </c>
      <c r="H35" s="15" t="str">
        <f>'08_종합평가'!U32</f>
        <v>D</v>
      </c>
      <c r="I35" s="18">
        <f>IF(H35="","",IF(H35="S",'02_의사결정·종합결과'!$B$25,IF(H35="A",'02_의사결정·종합결과'!$C$25,IF(H35="B",'02_의사결정·종합결과'!$D$25,IF(H35="C",'02_의사결정·종합결과'!$E$25,'02_의사결정·종합결과'!$F$25)))))</f>
        <v>0</v>
      </c>
      <c r="J35" s="27">
        <f t="shared" si="0"/>
        <v>0</v>
      </c>
      <c r="K35" s="27">
        <f t="shared" si="1"/>
        <v>0</v>
      </c>
      <c r="L35" s="27">
        <f t="shared" si="2"/>
        <v>0</v>
      </c>
      <c r="M35" s="12"/>
      <c r="N35" s="12"/>
    </row>
    <row r="36" spans="1:14" x14ac:dyDescent="0.6">
      <c r="A36" s="15">
        <f>'01_인적정보'!A32</f>
        <v>28</v>
      </c>
      <c r="B36" s="15" t="str">
        <f>'01_인적정보'!B32</f>
        <v>BSS-028</v>
      </c>
      <c r="C36" s="15" t="str">
        <f>'01_인적정보'!C32</f>
        <v>김현수</v>
      </c>
      <c r="D36" s="15" t="str">
        <f>'01_인적정보'!D32</f>
        <v>설계</v>
      </c>
      <c r="E36" s="15" t="str">
        <f>'01_인적정보'!F32</f>
        <v>컨설팅본부</v>
      </c>
      <c r="F36" s="15" t="str">
        <f>'01_인적정보'!H32</f>
        <v>G1</v>
      </c>
      <c r="G36" s="27">
        <f>'09_보상연계'!F33</f>
        <v>36000000</v>
      </c>
      <c r="H36" s="15" t="str">
        <f>'08_종합평가'!U33</f>
        <v>D</v>
      </c>
      <c r="I36" s="18">
        <f>IF(H36="","",IF(H36="S",'02_의사결정·종합결과'!$B$25,IF(H36="A",'02_의사결정·종합결과'!$C$25,IF(H36="B",'02_의사결정·종합결과'!$D$25,IF(H36="C",'02_의사결정·종합결과'!$E$25,'02_의사결정·종합결과'!$F$25)))))</f>
        <v>0</v>
      </c>
      <c r="J36" s="27">
        <f t="shared" si="0"/>
        <v>0</v>
      </c>
      <c r="K36" s="27">
        <f t="shared" si="1"/>
        <v>0</v>
      </c>
      <c r="L36" s="27">
        <f t="shared" si="2"/>
        <v>0</v>
      </c>
      <c r="M36" s="12"/>
      <c r="N36" s="12"/>
    </row>
    <row r="37" spans="1:14" x14ac:dyDescent="0.6">
      <c r="A37" s="15">
        <f>'01_인적정보'!A33</f>
        <v>29</v>
      </c>
      <c r="B37" s="15" t="str">
        <f>'01_인적정보'!B33</f>
        <v>BSS-029</v>
      </c>
      <c r="C37" s="15" t="str">
        <f>'01_인적정보'!C33</f>
        <v>콜셍홍</v>
      </c>
      <c r="D37" s="15" t="str">
        <f>'01_인적정보'!D33</f>
        <v>설계</v>
      </c>
      <c r="E37" s="15" t="str">
        <f>'01_인적정보'!F33</f>
        <v>컨설팅본부</v>
      </c>
      <c r="F37" s="15" t="str">
        <f>'01_인적정보'!H33</f>
        <v>G1</v>
      </c>
      <c r="G37" s="27">
        <f>'09_보상연계'!F34</f>
        <v>36000000</v>
      </c>
      <c r="H37" s="15" t="str">
        <f>'08_종합평가'!U34</f>
        <v>D</v>
      </c>
      <c r="I37" s="18">
        <f>IF(H37="","",IF(H37="S",'02_의사결정·종합결과'!$B$25,IF(H37="A",'02_의사결정·종합결과'!$C$25,IF(H37="B",'02_의사결정·종합결과'!$D$25,IF(H37="C",'02_의사결정·종합결과'!$E$25,'02_의사결정·종합결과'!$F$25)))))</f>
        <v>0</v>
      </c>
      <c r="J37" s="27">
        <f t="shared" si="0"/>
        <v>0</v>
      </c>
      <c r="K37" s="27">
        <f t="shared" si="1"/>
        <v>0</v>
      </c>
      <c r="L37" s="27">
        <f t="shared" si="2"/>
        <v>0</v>
      </c>
      <c r="M37" s="12"/>
      <c r="N37" s="12"/>
    </row>
    <row r="38" spans="1:14" x14ac:dyDescent="0.6">
      <c r="A38" s="15">
        <f>'01_인적정보'!A34</f>
        <v>30</v>
      </c>
      <c r="B38" s="15" t="str">
        <f>'01_인적정보'!B34</f>
        <v>BSS-030</v>
      </c>
      <c r="C38" s="15" t="str">
        <f>'01_인적정보'!C34</f>
        <v>안성진</v>
      </c>
      <c r="D38" s="15" t="str">
        <f>'01_인적정보'!D34</f>
        <v>설계</v>
      </c>
      <c r="E38" s="15" t="str">
        <f>'01_인적정보'!F34</f>
        <v>컨설팅본부</v>
      </c>
      <c r="F38" s="15" t="str">
        <f>'01_인적정보'!H34</f>
        <v>G1</v>
      </c>
      <c r="G38" s="27">
        <f>'09_보상연계'!F35</f>
        <v>36540000</v>
      </c>
      <c r="H38" s="15" t="str">
        <f>'08_종합평가'!U35</f>
        <v>D</v>
      </c>
      <c r="I38" s="18">
        <f>IF(H38="","",IF(H38="S",'02_의사결정·종합결과'!$B$25,IF(H38="A",'02_의사결정·종합결과'!$C$25,IF(H38="B",'02_의사결정·종합결과'!$D$25,IF(H38="C",'02_의사결정·종합결과'!$E$25,'02_의사결정·종합결과'!$F$25)))))</f>
        <v>0</v>
      </c>
      <c r="J38" s="27">
        <f t="shared" si="0"/>
        <v>0</v>
      </c>
      <c r="K38" s="27">
        <f t="shared" si="1"/>
        <v>0</v>
      </c>
      <c r="L38" s="27">
        <f t="shared" si="2"/>
        <v>0</v>
      </c>
      <c r="M38" s="12"/>
      <c r="N38" s="12"/>
    </row>
    <row r="39" spans="1:14" x14ac:dyDescent="0.6">
      <c r="A39" s="15">
        <f>'01_인적정보'!A35</f>
        <v>31</v>
      </c>
      <c r="B39" s="15" t="str">
        <f>'01_인적정보'!B35</f>
        <v>BSS-031</v>
      </c>
      <c r="C39" s="15" t="str">
        <f>'01_인적정보'!C35</f>
        <v>이정일</v>
      </c>
      <c r="D39" s="15" t="str">
        <f>'01_인적정보'!D35</f>
        <v>설계</v>
      </c>
      <c r="E39" s="15" t="str">
        <f>'01_인적정보'!F35</f>
        <v>컨설팅본부</v>
      </c>
      <c r="F39" s="15" t="str">
        <f>'01_인적정보'!H35</f>
        <v>G1</v>
      </c>
      <c r="G39" s="27">
        <f>'09_보상연계'!F36</f>
        <v>37090000</v>
      </c>
      <c r="H39" s="15" t="str">
        <f>'08_종합평가'!U36</f>
        <v>D</v>
      </c>
      <c r="I39" s="18">
        <f>IF(H39="","",IF(H39="S",'02_의사결정·종합결과'!$B$25,IF(H39="A",'02_의사결정·종합결과'!$C$25,IF(H39="B",'02_의사결정·종합결과'!$D$25,IF(H39="C",'02_의사결정·종합결과'!$E$25,'02_의사결정·종합결과'!$F$25)))))</f>
        <v>0</v>
      </c>
      <c r="J39" s="27">
        <f t="shared" si="0"/>
        <v>0</v>
      </c>
      <c r="K39" s="27">
        <f t="shared" si="1"/>
        <v>0</v>
      </c>
      <c r="L39" s="27">
        <f t="shared" si="2"/>
        <v>0</v>
      </c>
      <c r="M39" s="12"/>
      <c r="N39" s="12"/>
    </row>
    <row r="40" spans="1:14" x14ac:dyDescent="0.6">
      <c r="A40" s="15">
        <f>'01_인적정보'!A36</f>
        <v>32</v>
      </c>
      <c r="B40" s="15" t="str">
        <f>'01_인적정보'!B36</f>
        <v>BSS-032</v>
      </c>
      <c r="C40" s="15" t="str">
        <f>'01_인적정보'!C36</f>
        <v>안재성</v>
      </c>
      <c r="D40" s="15" t="str">
        <f>'01_인적정보'!D36</f>
        <v>설계</v>
      </c>
      <c r="E40" s="15" t="str">
        <f>'01_인적정보'!F36</f>
        <v>컨설팅본부</v>
      </c>
      <c r="F40" s="15" t="str">
        <f>'01_인적정보'!H36</f>
        <v>G1</v>
      </c>
      <c r="G40" s="27">
        <f>'09_보상연계'!F37</f>
        <v>32000000</v>
      </c>
      <c r="H40" s="15" t="str">
        <f>'08_종합평가'!U37</f>
        <v>D</v>
      </c>
      <c r="I40" s="18">
        <f>IF(H40="","",IF(H40="S",'02_의사결정·종합결과'!$B$25,IF(H40="A",'02_의사결정·종합결과'!$C$25,IF(H40="B",'02_의사결정·종합결과'!$D$25,IF(H40="C",'02_의사결정·종합결과'!$E$25,'02_의사결정·종합결과'!$F$25)))))</f>
        <v>0</v>
      </c>
      <c r="J40" s="27">
        <f t="shared" si="0"/>
        <v>0</v>
      </c>
      <c r="K40" s="27">
        <f t="shared" si="1"/>
        <v>0</v>
      </c>
      <c r="L40" s="27">
        <f t="shared" si="2"/>
        <v>0</v>
      </c>
      <c r="M40" s="12"/>
      <c r="N40" s="12"/>
    </row>
    <row r="41" spans="1:14" x14ac:dyDescent="0.6">
      <c r="A41" s="15">
        <f>'01_인적정보'!A37</f>
        <v>33</v>
      </c>
      <c r="B41" s="15" t="str">
        <f>'01_인적정보'!B37</f>
        <v>BSS-033</v>
      </c>
      <c r="C41" s="15" t="str">
        <f>'01_인적정보'!C37</f>
        <v>유태석</v>
      </c>
      <c r="D41" s="15" t="str">
        <f>'01_인적정보'!D37</f>
        <v>설계</v>
      </c>
      <c r="E41" s="15" t="str">
        <f>'01_인적정보'!F37</f>
        <v>컨설팅본부</v>
      </c>
      <c r="F41" s="15" t="str">
        <f>'01_인적정보'!H37</f>
        <v>G1</v>
      </c>
      <c r="G41" s="27">
        <f>'09_보상연계'!F38</f>
        <v>32000000</v>
      </c>
      <c r="H41" s="15" t="str">
        <f>'08_종합평가'!U38</f>
        <v>D</v>
      </c>
      <c r="I41" s="18">
        <f>IF(H41="","",IF(H41="S",'02_의사결정·종합결과'!$B$25,IF(H41="A",'02_의사결정·종합결과'!$C$25,IF(H41="B",'02_의사결정·종합결과'!$D$25,IF(H41="C",'02_의사결정·종합결과'!$E$25,'02_의사결정·종합결과'!$F$25)))))</f>
        <v>0</v>
      </c>
      <c r="J41" s="27">
        <f t="shared" si="0"/>
        <v>0</v>
      </c>
      <c r="K41" s="27">
        <f t="shared" si="1"/>
        <v>0</v>
      </c>
      <c r="L41" s="27">
        <f t="shared" si="2"/>
        <v>0</v>
      </c>
      <c r="M41" s="12"/>
      <c r="N41" s="12"/>
    </row>
    <row r="42" spans="1:14" x14ac:dyDescent="0.6">
      <c r="A42" s="15">
        <f>'01_인적정보'!A38</f>
        <v>34</v>
      </c>
      <c r="B42" s="15" t="str">
        <f>'01_인적정보'!B38</f>
        <v>BSS-034</v>
      </c>
      <c r="C42" s="15" t="str">
        <f>'01_인적정보'!C38</f>
        <v>엄보근</v>
      </c>
      <c r="D42" s="15" t="str">
        <f>'01_인적정보'!D38</f>
        <v>설계</v>
      </c>
      <c r="E42" s="15" t="str">
        <f>'01_인적정보'!F38</f>
        <v>컨설팅본부</v>
      </c>
      <c r="F42" s="15" t="str">
        <f>'01_인적정보'!H38</f>
        <v>G1</v>
      </c>
      <c r="G42" s="27">
        <f>'09_보상연계'!F39</f>
        <v>32000000</v>
      </c>
      <c r="H42" s="15" t="str">
        <f>'08_종합평가'!U39</f>
        <v>D</v>
      </c>
      <c r="I42" s="18">
        <f>IF(H42="","",IF(H42="S",'02_의사결정·종합결과'!$B$25,IF(H42="A",'02_의사결정·종합결과'!$C$25,IF(H42="B",'02_의사결정·종합결과'!$D$25,IF(H42="C",'02_의사결정·종합결과'!$E$25,'02_의사결정·종합결과'!$F$25)))))</f>
        <v>0</v>
      </c>
      <c r="J42" s="27">
        <f t="shared" si="0"/>
        <v>0</v>
      </c>
      <c r="K42" s="27">
        <f t="shared" si="1"/>
        <v>0</v>
      </c>
      <c r="L42" s="27">
        <f t="shared" si="2"/>
        <v>0</v>
      </c>
      <c r="M42" s="12"/>
      <c r="N42" s="12"/>
    </row>
    <row r="44" spans="1:14" x14ac:dyDescent="0.6">
      <c r="A44" s="58" t="s">
        <v>108</v>
      </c>
      <c r="B44" s="38"/>
      <c r="C44" s="38"/>
      <c r="D44" s="38"/>
      <c r="E44" s="38"/>
      <c r="F44" s="39"/>
      <c r="G44" s="27">
        <f>SUM(G9:G42)</f>
        <v>1687275000</v>
      </c>
      <c r="J44" s="27">
        <f>SUM(J9:J42)</f>
        <v>0</v>
      </c>
      <c r="K44" s="27">
        <f>SUM(K9:K42)</f>
        <v>0</v>
      </c>
      <c r="L44" s="27">
        <f>SUM(L9:L42)</f>
        <v>0</v>
      </c>
    </row>
    <row r="47" spans="1:14" ht="22.05" customHeight="1" x14ac:dyDescent="0.6">
      <c r="A47" s="45" t="s">
        <v>575</v>
      </c>
      <c r="B47" s="43"/>
      <c r="C47" s="43"/>
      <c r="D47" s="43"/>
      <c r="E47" s="43"/>
      <c r="F47" s="43"/>
      <c r="G47" s="43"/>
      <c r="H47" s="43"/>
      <c r="I47" s="43"/>
      <c r="J47" s="43"/>
      <c r="K47" s="43"/>
      <c r="L47" s="43"/>
      <c r="M47" s="43"/>
      <c r="N47" s="43"/>
    </row>
    <row r="48" spans="1:14" ht="33.75" x14ac:dyDescent="0.6">
      <c r="A48" s="2" t="s">
        <v>136</v>
      </c>
      <c r="B48" s="2" t="s">
        <v>576</v>
      </c>
      <c r="C48" s="2" t="s">
        <v>261</v>
      </c>
      <c r="D48" s="2" t="s">
        <v>262</v>
      </c>
      <c r="E48" s="2" t="s">
        <v>263</v>
      </c>
      <c r="F48" s="2" t="s">
        <v>264</v>
      </c>
      <c r="G48" s="2" t="s">
        <v>265</v>
      </c>
      <c r="H48" s="2" t="s">
        <v>259</v>
      </c>
      <c r="I48" s="2" t="s">
        <v>577</v>
      </c>
    </row>
    <row r="49" spans="1:9" ht="47.25" x14ac:dyDescent="0.6">
      <c r="A49" s="4" t="s">
        <v>148</v>
      </c>
      <c r="B49" s="25">
        <f>COUNTIF($E$9:$E$42,"스마트사업부")</f>
        <v>1</v>
      </c>
      <c r="C49" s="25">
        <f>COUNTIFS($E$9:$E$42,"스마트사업부",$H$9:$H$42,"S")</f>
        <v>0</v>
      </c>
      <c r="D49" s="25">
        <f>COUNTIFS($E$9:$E$42,"스마트사업부",$H$9:$H$42,"A")</f>
        <v>0</v>
      </c>
      <c r="E49" s="25">
        <f>COUNTIFS($E$9:$E$42,"스마트사업부",$H$9:$H$42,"B")</f>
        <v>0</v>
      </c>
      <c r="F49" s="25">
        <f>COUNTIFS($E$9:$E$42,"스마트사업부",$H$9:$H$42,"C")</f>
        <v>0</v>
      </c>
      <c r="G49" s="25">
        <f>COUNTIFS($E$9:$E$42,"스마트사업부",$H$9:$H$42,"D")</f>
        <v>1</v>
      </c>
      <c r="H49" s="27">
        <f>SUMIF($E$9:$E$42,"스마트사업부",$L$9:$L$42)</f>
        <v>0</v>
      </c>
      <c r="I49" s="27">
        <f t="shared" ref="I49:I54" si="3">IFERROR(H49/B49,0)</f>
        <v>0</v>
      </c>
    </row>
    <row r="50" spans="1:9" ht="31.5" x14ac:dyDescent="0.6">
      <c r="A50" s="4" t="s">
        <v>154</v>
      </c>
      <c r="B50" s="25">
        <f>COUNTIF($E$9:$E$42,"R&amp;D 본부")</f>
        <v>1</v>
      </c>
      <c r="C50" s="25">
        <f>COUNTIFS($E$9:$E$42,"R&amp;D 본부",$H$9:$H$42,"S")</f>
        <v>0</v>
      </c>
      <c r="D50" s="25">
        <f>COUNTIFS($E$9:$E$42,"R&amp;D 본부",$H$9:$H$42,"A")</f>
        <v>0</v>
      </c>
      <c r="E50" s="25">
        <f>COUNTIFS($E$9:$E$42,"R&amp;D 본부",$H$9:$H$42,"B")</f>
        <v>0</v>
      </c>
      <c r="F50" s="25">
        <f>COUNTIFS($E$9:$E$42,"R&amp;D 본부",$H$9:$H$42,"C")</f>
        <v>0</v>
      </c>
      <c r="G50" s="25">
        <f>COUNTIFS($E$9:$E$42,"R&amp;D 본부",$H$9:$H$42,"D")</f>
        <v>1</v>
      </c>
      <c r="H50" s="27">
        <f>SUMIF($E$9:$E$42,"R&amp;D 본부",$L$9:$L$42)</f>
        <v>0</v>
      </c>
      <c r="I50" s="27">
        <f t="shared" si="3"/>
        <v>0</v>
      </c>
    </row>
    <row r="51" spans="1:9" ht="47.25" x14ac:dyDescent="0.6">
      <c r="A51" s="4" t="s">
        <v>160</v>
      </c>
      <c r="B51" s="25">
        <f>COUNTIF($E$9:$E$42,"컨설팅본부")</f>
        <v>22</v>
      </c>
      <c r="C51" s="25">
        <f>COUNTIFS($E$9:$E$42,"컨설팅본부",$H$9:$H$42,"S")</f>
        <v>0</v>
      </c>
      <c r="D51" s="25">
        <f>COUNTIFS($E$9:$E$42,"컨설팅본부",$H$9:$H$42,"A")</f>
        <v>0</v>
      </c>
      <c r="E51" s="25">
        <f>COUNTIFS($E$9:$E$42,"컨설팅본부",$H$9:$H$42,"B")</f>
        <v>0</v>
      </c>
      <c r="F51" s="25">
        <f>COUNTIFS($E$9:$E$42,"컨설팅본부",$H$9:$H$42,"C")</f>
        <v>0</v>
      </c>
      <c r="G51" s="25">
        <f>COUNTIFS($E$9:$E$42,"컨설팅본부",$H$9:$H$42,"D")</f>
        <v>22</v>
      </c>
      <c r="H51" s="27">
        <f>SUMIF($E$9:$E$42,"컨설팅본부",$L$9:$L$42)</f>
        <v>0</v>
      </c>
      <c r="I51" s="27">
        <f t="shared" si="3"/>
        <v>0</v>
      </c>
    </row>
    <row r="52" spans="1:9" ht="47.25" x14ac:dyDescent="0.6">
      <c r="A52" s="4" t="s">
        <v>165</v>
      </c>
      <c r="B52" s="25">
        <f>COUNTIF($E$9:$E$42,"경영전략실")</f>
        <v>3</v>
      </c>
      <c r="C52" s="25">
        <f>COUNTIFS($E$9:$E$42,"경영전략실",$H$9:$H$42,"S")</f>
        <v>0</v>
      </c>
      <c r="D52" s="25">
        <f>COUNTIFS($E$9:$E$42,"경영전략실",$H$9:$H$42,"A")</f>
        <v>0</v>
      </c>
      <c r="E52" s="25">
        <f>COUNTIFS($E$9:$E$42,"경영전략실",$H$9:$H$42,"B")</f>
        <v>0</v>
      </c>
      <c r="F52" s="25">
        <f>COUNTIFS($E$9:$E$42,"경영전략실",$H$9:$H$42,"C")</f>
        <v>0</v>
      </c>
      <c r="G52" s="25">
        <f>COUNTIFS($E$9:$E$42,"경영전략실",$H$9:$H$42,"D")</f>
        <v>3</v>
      </c>
      <c r="H52" s="27">
        <f>SUMIF($E$9:$E$42,"경영전략실",$L$9:$L$42)</f>
        <v>0</v>
      </c>
      <c r="I52" s="27">
        <f t="shared" si="3"/>
        <v>0</v>
      </c>
    </row>
    <row r="53" spans="1:9" ht="47.25" x14ac:dyDescent="0.6">
      <c r="A53" s="4" t="s">
        <v>175</v>
      </c>
      <c r="B53" s="25">
        <f>COUNTIF($E$9:$E$42,"솔루션본부")</f>
        <v>5</v>
      </c>
      <c r="C53" s="25">
        <f>COUNTIFS($E$9:$E$42,"솔루션본부",$H$9:$H$42,"S")</f>
        <v>0</v>
      </c>
      <c r="D53" s="25">
        <f>COUNTIFS($E$9:$E$42,"솔루션본부",$H$9:$H$42,"A")</f>
        <v>0</v>
      </c>
      <c r="E53" s="25">
        <f>COUNTIFS($E$9:$E$42,"솔루션본부",$H$9:$H$42,"B")</f>
        <v>0</v>
      </c>
      <c r="F53" s="25">
        <f>COUNTIFS($E$9:$E$42,"솔루션본부",$H$9:$H$42,"C")</f>
        <v>0</v>
      </c>
      <c r="G53" s="25">
        <f>COUNTIFS($E$9:$E$42,"솔루션본부",$H$9:$H$42,"D")</f>
        <v>5</v>
      </c>
      <c r="H53" s="27">
        <f>SUMIF($E$9:$E$42,"솔루션본부",$L$9:$L$42)</f>
        <v>0</v>
      </c>
      <c r="I53" s="27">
        <f t="shared" si="3"/>
        <v>0</v>
      </c>
    </row>
    <row r="54" spans="1:9" ht="31.5" x14ac:dyDescent="0.6">
      <c r="A54" s="4" t="s">
        <v>187</v>
      </c>
      <c r="B54" s="25">
        <f>COUNTIF($E$9:$E$42,"마케팅팀")</f>
        <v>2</v>
      </c>
      <c r="C54" s="25">
        <f>COUNTIFS($E$9:$E$42,"마케팅팀",$H$9:$H$42,"S")</f>
        <v>0</v>
      </c>
      <c r="D54" s="25">
        <f>COUNTIFS($E$9:$E$42,"마케팅팀",$H$9:$H$42,"A")</f>
        <v>0</v>
      </c>
      <c r="E54" s="25">
        <f>COUNTIFS($E$9:$E$42,"마케팅팀",$H$9:$H$42,"B")</f>
        <v>0</v>
      </c>
      <c r="F54" s="25">
        <f>COUNTIFS($E$9:$E$42,"마케팅팀",$H$9:$H$42,"C")</f>
        <v>0</v>
      </c>
      <c r="G54" s="25">
        <f>COUNTIFS($E$9:$E$42,"마케팅팀",$H$9:$H$42,"D")</f>
        <v>2</v>
      </c>
      <c r="H54" s="27">
        <f>SUMIF($E$9:$E$42,"마케팅팀",$L$9:$L$42)</f>
        <v>0</v>
      </c>
      <c r="I54" s="27">
        <f t="shared" si="3"/>
        <v>0</v>
      </c>
    </row>
  </sheetData>
  <mergeCells count="7">
    <mergeCell ref="A1:N1"/>
    <mergeCell ref="A4:N4"/>
    <mergeCell ref="A44:F44"/>
    <mergeCell ref="A2:N2"/>
    <mergeCell ref="A7:N7"/>
    <mergeCell ref="A47:N47"/>
    <mergeCell ref="G5:N5"/>
  </mergeCells>
  <phoneticPr fontId="16" type="noConversion"/>
  <conditionalFormatting sqref="H9:H42">
    <cfRule type="cellIs" dxfId="31" priority="1" operator="equal">
      <formula>"S"</formula>
    </cfRule>
    <cfRule type="cellIs" dxfId="30" priority="2" operator="equal">
      <formula>"A"</formula>
    </cfRule>
    <cfRule type="cellIs" dxfId="29" priority="3" operator="equal">
      <formula>"C"</formula>
    </cfRule>
    <cfRule type="cellIs" dxfId="28" priority="4" operator="equal">
      <formula>"D"</formula>
    </cfRule>
  </conditionalFormatting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Q49"/>
  <sheetViews>
    <sheetView showGridLines="0" workbookViewId="0">
      <pane xSplit="3" ySplit="15" topLeftCell="D16" activePane="bottomRight" state="frozen"/>
      <selection pane="topRight"/>
      <selection pane="bottomLeft"/>
      <selection pane="bottomRight" activeCell="F19" sqref="F19"/>
    </sheetView>
  </sheetViews>
  <sheetFormatPr defaultRowHeight="16.899999999999999" x14ac:dyDescent="0.6"/>
  <cols>
    <col min="1" max="1" width="5" customWidth="1"/>
    <col min="2" max="3" width="11" customWidth="1"/>
    <col min="4" max="17" width="14.25" customWidth="1"/>
  </cols>
  <sheetData>
    <row r="1" spans="1:17" ht="28.05" customHeight="1" x14ac:dyDescent="0.6">
      <c r="A1" s="51" t="s">
        <v>578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</row>
    <row r="2" spans="1:17" ht="18" customHeight="1" x14ac:dyDescent="0.6">
      <c r="A2" s="48" t="s">
        <v>579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</row>
    <row r="4" spans="1:17" ht="22.05" customHeight="1" x14ac:dyDescent="0.6">
      <c r="A4" s="45" t="s">
        <v>580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</row>
    <row r="5" spans="1:17" ht="33.75" x14ac:dyDescent="0.6">
      <c r="A5" s="2" t="s">
        <v>105</v>
      </c>
      <c r="B5" s="2" t="s">
        <v>295</v>
      </c>
      <c r="C5" s="2" t="s">
        <v>296</v>
      </c>
      <c r="D5" s="2" t="s">
        <v>297</v>
      </c>
      <c r="E5" s="2" t="s">
        <v>298</v>
      </c>
      <c r="F5" s="2" t="s">
        <v>581</v>
      </c>
      <c r="G5" s="2" t="s">
        <v>582</v>
      </c>
      <c r="H5" s="2" t="s">
        <v>583</v>
      </c>
    </row>
    <row r="6" spans="1:17" x14ac:dyDescent="0.6">
      <c r="A6" s="5" t="s">
        <v>114</v>
      </c>
      <c r="B6" s="27">
        <f>'02_의사결정·종합결과'!B30</f>
        <v>33000000</v>
      </c>
      <c r="C6" s="27">
        <f>'02_의사결정·종합결과'!C30</f>
        <v>38500000</v>
      </c>
      <c r="D6" s="27">
        <f>'02_의사결정·종합결과'!D30</f>
        <v>44000000</v>
      </c>
      <c r="E6" s="18">
        <f t="shared" ref="E6:E11" si="0">(D6-B6)/B6</f>
        <v>0.33333333333333331</v>
      </c>
      <c r="F6" s="25" t="e">
        <f t="shared" ref="F6:F11" si="1">SUMPRODUCT(--(IF(LEFT($F$16:$F$49,2)="G5","G5",$F$16:$F$49)=A6))</f>
        <v>#VALUE!</v>
      </c>
      <c r="G6" s="25" t="e">
        <f t="shared" ref="G6:G11" si="2">SUMPRODUCT(--(IF(LEFT($F$16:$F$49,2)="G5","G5",$F$16:$F$49)=A6),--($O$16:$O$49="적합"))</f>
        <v>#VALUE!</v>
      </c>
      <c r="H6" s="25" t="e">
        <f t="shared" ref="H6:H11" si="3">F6-G6</f>
        <v>#VALUE!</v>
      </c>
    </row>
    <row r="7" spans="1:17" x14ac:dyDescent="0.6">
      <c r="A7" s="5" t="s">
        <v>113</v>
      </c>
      <c r="B7" s="27">
        <f>'02_의사결정·종합결과'!B31</f>
        <v>36000000</v>
      </c>
      <c r="C7" s="27">
        <f>'02_의사결정·종합결과'!C31</f>
        <v>42500000</v>
      </c>
      <c r="D7" s="27">
        <f>'02_의사결정·종합결과'!D31</f>
        <v>49000000</v>
      </c>
      <c r="E7" s="18">
        <f t="shared" si="0"/>
        <v>0.3611111111111111</v>
      </c>
      <c r="F7" s="25" t="e">
        <f t="shared" si="1"/>
        <v>#VALUE!</v>
      </c>
      <c r="G7" s="25" t="e">
        <f t="shared" si="2"/>
        <v>#VALUE!</v>
      </c>
      <c r="H7" s="25" t="e">
        <f t="shared" si="3"/>
        <v>#VALUE!</v>
      </c>
    </row>
    <row r="8" spans="1:17" x14ac:dyDescent="0.6">
      <c r="A8" s="5" t="s">
        <v>112</v>
      </c>
      <c r="B8" s="27">
        <f>'02_의사결정·종합결과'!B32</f>
        <v>42000000</v>
      </c>
      <c r="C8" s="27">
        <f>'02_의사결정·종합결과'!C32</f>
        <v>49500000</v>
      </c>
      <c r="D8" s="27">
        <f>'02_의사결정·종합결과'!D32</f>
        <v>57000000</v>
      </c>
      <c r="E8" s="18">
        <f t="shared" si="0"/>
        <v>0.35714285714285715</v>
      </c>
      <c r="F8" s="25" t="e">
        <f t="shared" si="1"/>
        <v>#VALUE!</v>
      </c>
      <c r="G8" s="25" t="e">
        <f t="shared" si="2"/>
        <v>#VALUE!</v>
      </c>
      <c r="H8" s="25" t="e">
        <f t="shared" si="3"/>
        <v>#VALUE!</v>
      </c>
    </row>
    <row r="9" spans="1:17" x14ac:dyDescent="0.6">
      <c r="A9" s="5" t="s">
        <v>111</v>
      </c>
      <c r="B9" s="27">
        <f>'02_의사결정·종합결과'!B33</f>
        <v>49000000</v>
      </c>
      <c r="C9" s="27">
        <f>'02_의사결정·종합결과'!C33</f>
        <v>57500000</v>
      </c>
      <c r="D9" s="27">
        <f>'02_의사결정·종합결과'!D33</f>
        <v>66000000</v>
      </c>
      <c r="E9" s="18">
        <f t="shared" si="0"/>
        <v>0.34693877551020408</v>
      </c>
      <c r="F9" s="25" t="e">
        <f t="shared" si="1"/>
        <v>#VALUE!</v>
      </c>
      <c r="G9" s="25" t="e">
        <f t="shared" si="2"/>
        <v>#VALUE!</v>
      </c>
      <c r="H9" s="25" t="e">
        <f t="shared" si="3"/>
        <v>#VALUE!</v>
      </c>
    </row>
    <row r="10" spans="1:17" x14ac:dyDescent="0.6">
      <c r="A10" s="5" t="s">
        <v>110</v>
      </c>
      <c r="B10" s="27">
        <f>'02_의사결정·종합결과'!B34</f>
        <v>53000000</v>
      </c>
      <c r="C10" s="27">
        <f>'02_의사결정·종합결과'!C34</f>
        <v>63000000</v>
      </c>
      <c r="D10" s="27">
        <f>'02_의사결정·종합결과'!D34</f>
        <v>73000000</v>
      </c>
      <c r="E10" s="18">
        <f t="shared" si="0"/>
        <v>0.37735849056603776</v>
      </c>
      <c r="F10" s="25" t="e">
        <f t="shared" si="1"/>
        <v>#VALUE!</v>
      </c>
      <c r="G10" s="25" t="e">
        <f t="shared" si="2"/>
        <v>#VALUE!</v>
      </c>
      <c r="H10" s="25" t="e">
        <f t="shared" si="3"/>
        <v>#VALUE!</v>
      </c>
    </row>
    <row r="11" spans="1:17" x14ac:dyDescent="0.6">
      <c r="A11" s="5" t="s">
        <v>109</v>
      </c>
      <c r="B11" s="27">
        <f>'02_의사결정·종합결과'!B35</f>
        <v>58000000</v>
      </c>
      <c r="C11" s="27">
        <f>'02_의사결정·종합결과'!C35</f>
        <v>69000000</v>
      </c>
      <c r="D11" s="27">
        <f>'02_의사결정·종합결과'!D35</f>
        <v>80000000</v>
      </c>
      <c r="E11" s="18">
        <f t="shared" si="0"/>
        <v>0.37931034482758619</v>
      </c>
      <c r="F11" s="25" t="e">
        <f t="shared" si="1"/>
        <v>#VALUE!</v>
      </c>
      <c r="G11" s="25" t="e">
        <f t="shared" si="2"/>
        <v>#VALUE!</v>
      </c>
      <c r="H11" s="25" t="e">
        <f t="shared" si="3"/>
        <v>#VALUE!</v>
      </c>
    </row>
    <row r="14" spans="1:17" ht="22.05" customHeight="1" x14ac:dyDescent="0.6">
      <c r="A14" s="45" t="s">
        <v>584</v>
      </c>
      <c r="B14" s="43"/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</row>
    <row r="15" spans="1:17" ht="33.75" x14ac:dyDescent="0.6">
      <c r="A15" s="2" t="s">
        <v>131</v>
      </c>
      <c r="B15" s="2" t="s">
        <v>132</v>
      </c>
      <c r="C15" s="2" t="s">
        <v>133</v>
      </c>
      <c r="D15" s="2" t="s">
        <v>134</v>
      </c>
      <c r="E15" s="2" t="s">
        <v>136</v>
      </c>
      <c r="F15" s="2" t="s">
        <v>105</v>
      </c>
      <c r="G15" s="2" t="s">
        <v>585</v>
      </c>
      <c r="H15" s="2" t="s">
        <v>586</v>
      </c>
      <c r="I15" s="2" t="s">
        <v>587</v>
      </c>
      <c r="J15" s="2" t="s">
        <v>588</v>
      </c>
      <c r="K15" s="2" t="s">
        <v>589</v>
      </c>
      <c r="L15" s="2" t="s">
        <v>590</v>
      </c>
      <c r="M15" s="2" t="s">
        <v>591</v>
      </c>
      <c r="N15" s="2" t="s">
        <v>592</v>
      </c>
      <c r="O15" s="2" t="s">
        <v>593</v>
      </c>
      <c r="P15" s="2" t="s">
        <v>594</v>
      </c>
      <c r="Q15" s="2" t="s">
        <v>595</v>
      </c>
    </row>
    <row r="16" spans="1:17" x14ac:dyDescent="0.6">
      <c r="A16" s="15">
        <f>'01_인적정보'!A5</f>
        <v>1</v>
      </c>
      <c r="B16" s="15" t="str">
        <f>'01_인적정보'!B5</f>
        <v>BSS-001</v>
      </c>
      <c r="C16" s="15" t="str">
        <f>'01_인적정보'!C5</f>
        <v>이화형</v>
      </c>
      <c r="D16" s="15" t="str">
        <f>'01_인적정보'!D5</f>
        <v>영업</v>
      </c>
      <c r="E16" s="15" t="str">
        <f>'01_인적정보'!F5</f>
        <v>스마트사업부</v>
      </c>
      <c r="F16" s="15" t="str">
        <f>'01_인적정보'!H5</f>
        <v>G6</v>
      </c>
      <c r="G16" s="27">
        <f>'09_보상연계'!F6</f>
        <v>72500000</v>
      </c>
      <c r="H16" s="27">
        <f t="shared" ref="H16:H49" si="4">IFERROR(VLOOKUP(IF(LEFT(F16,2)="G5","G5",F16),$A$6:$D$11,2,FALSE),0)</f>
        <v>58000000</v>
      </c>
      <c r="I16" s="27">
        <f t="shared" ref="I16:I49" si="5">IFERROR(VLOOKUP(IF(LEFT(F16,2)="G5","G5",F16),$A$6:$D$11,3,FALSE),0)</f>
        <v>69000000</v>
      </c>
      <c r="J16" s="27">
        <f t="shared" ref="J16:J49" si="6">IFERROR(VLOOKUP(IF(LEFT(F16,2)="G5","G5",F16),$A$6:$D$11,4,FALSE),0)</f>
        <v>80000000</v>
      </c>
      <c r="K16" s="19">
        <f t="shared" ref="K16:K49" si="7">IFERROR((G16-H16)/(J16-H16),"")</f>
        <v>0.65909090909090906</v>
      </c>
      <c r="L16" s="15" t="str">
        <f t="shared" ref="L16:L49" si="8">IF(G16="","",IF(AND(G16&gt;=H16,G16&lt;=J16),"적합","이탈"))</f>
        <v>적합</v>
      </c>
      <c r="M16" s="27">
        <f>'09_보상연계'!O6</f>
        <v>73950000</v>
      </c>
      <c r="N16" s="19">
        <f t="shared" ref="N16:N49" si="9">IFERROR((M16-H16)/(J16-H16),"")</f>
        <v>0.72499999999999998</v>
      </c>
      <c r="O16" s="15" t="str">
        <f t="shared" ref="O16:O49" si="10">IF(M16="","",IF(AND(M16&gt;=H16,M16&lt;=J16),"적합","이탈"))</f>
        <v>적합</v>
      </c>
      <c r="P16" s="15" t="str">
        <f t="shared" ref="P16:P49" si="11">IF(OR(L16="",O16=""),"",IF(AND(L16="적합",O16="적합"),"적합",IF(AND(L16="이탈",O16="적합"),"개선",IF(AND(L16="적합",O16="이탈"),"신규이탈","지속이탈"))))</f>
        <v>적합</v>
      </c>
      <c r="Q16" s="27">
        <f t="shared" ref="Q16:Q49" si="12">IF(O16="이탈",IF(M16&lt;H16,H16-M16,IF(M16&gt;J16,J16-M16,0)),0)</f>
        <v>0</v>
      </c>
    </row>
    <row r="17" spans="1:17" x14ac:dyDescent="0.6">
      <c r="A17" s="15">
        <f>'01_인적정보'!A6</f>
        <v>2</v>
      </c>
      <c r="B17" s="15" t="str">
        <f>'01_인적정보'!B6</f>
        <v>BSS-002</v>
      </c>
      <c r="C17" s="15" t="str">
        <f>'01_인적정보'!C6</f>
        <v>강전용</v>
      </c>
      <c r="D17" s="15" t="str">
        <f>'01_인적정보'!D6</f>
        <v>연구&amp;개발</v>
      </c>
      <c r="E17" s="15" t="str">
        <f>'01_인적정보'!F6</f>
        <v>R&amp;D 본부</v>
      </c>
      <c r="F17" s="15" t="str">
        <f>'01_인적정보'!H6</f>
        <v>G6</v>
      </c>
      <c r="G17" s="27">
        <f>'09_보상연계'!F7</f>
        <v>68870000</v>
      </c>
      <c r="H17" s="27">
        <f t="shared" si="4"/>
        <v>58000000</v>
      </c>
      <c r="I17" s="27">
        <f t="shared" si="5"/>
        <v>69000000</v>
      </c>
      <c r="J17" s="27">
        <f t="shared" si="6"/>
        <v>80000000</v>
      </c>
      <c r="K17" s="19">
        <f t="shared" si="7"/>
        <v>0.49409090909090908</v>
      </c>
      <c r="L17" s="15" t="str">
        <f t="shared" si="8"/>
        <v>적합</v>
      </c>
      <c r="M17" s="27">
        <f>'09_보상연계'!O7</f>
        <v>70250000</v>
      </c>
      <c r="N17" s="19">
        <f t="shared" si="9"/>
        <v>0.55681818181818177</v>
      </c>
      <c r="O17" s="15" t="str">
        <f t="shared" si="10"/>
        <v>적합</v>
      </c>
      <c r="P17" s="15" t="str">
        <f t="shared" si="11"/>
        <v>적합</v>
      </c>
      <c r="Q17" s="27">
        <f t="shared" si="12"/>
        <v>0</v>
      </c>
    </row>
    <row r="18" spans="1:17" x14ac:dyDescent="0.6">
      <c r="A18" s="15">
        <f>'01_인적정보'!A7</f>
        <v>3</v>
      </c>
      <c r="B18" s="15" t="str">
        <f>'01_인적정보'!B7</f>
        <v>BSS-003</v>
      </c>
      <c r="C18" s="15" t="str">
        <f>'01_인적정보'!C7</f>
        <v>김현민</v>
      </c>
      <c r="D18" s="15" t="str">
        <f>'01_인적정보'!D7</f>
        <v>설계</v>
      </c>
      <c r="E18" s="15" t="str">
        <f>'01_인적정보'!F7</f>
        <v>컨설팅본부</v>
      </c>
      <c r="F18" s="15" t="str">
        <f>'01_인적정보'!H7</f>
        <v>G6</v>
      </c>
      <c r="G18" s="27">
        <f>'09_보상연계'!F8</f>
        <v>67500000</v>
      </c>
      <c r="H18" s="27">
        <f t="shared" si="4"/>
        <v>58000000</v>
      </c>
      <c r="I18" s="27">
        <f t="shared" si="5"/>
        <v>69000000</v>
      </c>
      <c r="J18" s="27">
        <f t="shared" si="6"/>
        <v>80000000</v>
      </c>
      <c r="K18" s="19">
        <f t="shared" si="7"/>
        <v>0.43181818181818182</v>
      </c>
      <c r="L18" s="15" t="str">
        <f t="shared" si="8"/>
        <v>적합</v>
      </c>
      <c r="M18" s="27">
        <f>'09_보상연계'!O8</f>
        <v>68850000</v>
      </c>
      <c r="N18" s="19">
        <f t="shared" si="9"/>
        <v>0.49318181818181817</v>
      </c>
      <c r="O18" s="15" t="str">
        <f t="shared" si="10"/>
        <v>적합</v>
      </c>
      <c r="P18" s="15" t="str">
        <f t="shared" si="11"/>
        <v>적합</v>
      </c>
      <c r="Q18" s="27">
        <f t="shared" si="12"/>
        <v>0</v>
      </c>
    </row>
    <row r="19" spans="1:17" x14ac:dyDescent="0.6">
      <c r="A19" s="15">
        <f>'01_인적정보'!A8</f>
        <v>4</v>
      </c>
      <c r="B19" s="15" t="str">
        <f>'01_인적정보'!B8</f>
        <v>BSS-004</v>
      </c>
      <c r="C19" s="15" t="str">
        <f>'01_인적정보'!C8</f>
        <v>이일곤</v>
      </c>
      <c r="D19" s="15" t="str">
        <f>'01_인적정보'!D8</f>
        <v>경영관리</v>
      </c>
      <c r="E19" s="15" t="str">
        <f>'01_인적정보'!F8</f>
        <v>경영전략실</v>
      </c>
      <c r="F19" s="15" t="str">
        <f>'01_인적정보'!H8</f>
        <v>G6</v>
      </c>
      <c r="G19" s="27">
        <f>'09_보상연계'!F9</f>
        <v>64530000</v>
      </c>
      <c r="H19" s="27">
        <f t="shared" si="4"/>
        <v>58000000</v>
      </c>
      <c r="I19" s="27">
        <f t="shared" si="5"/>
        <v>69000000</v>
      </c>
      <c r="J19" s="27">
        <f t="shared" si="6"/>
        <v>80000000</v>
      </c>
      <c r="K19" s="19">
        <f t="shared" si="7"/>
        <v>0.29681818181818181</v>
      </c>
      <c r="L19" s="15" t="str">
        <f t="shared" si="8"/>
        <v>적합</v>
      </c>
      <c r="M19" s="27">
        <f>'09_보상연계'!O9</f>
        <v>65820000</v>
      </c>
      <c r="N19" s="19">
        <f t="shared" si="9"/>
        <v>0.35545454545454547</v>
      </c>
      <c r="O19" s="15" t="str">
        <f t="shared" si="10"/>
        <v>적합</v>
      </c>
      <c r="P19" s="15" t="str">
        <f t="shared" si="11"/>
        <v>적합</v>
      </c>
      <c r="Q19" s="27">
        <f t="shared" si="12"/>
        <v>0</v>
      </c>
    </row>
    <row r="20" spans="1:17" x14ac:dyDescent="0.6">
      <c r="A20" s="15">
        <f>'01_인적정보'!A9</f>
        <v>5</v>
      </c>
      <c r="B20" s="15" t="str">
        <f>'01_인적정보'!B9</f>
        <v>BSS-005</v>
      </c>
      <c r="C20" s="15" t="str">
        <f>'01_인적정보'!C9</f>
        <v>송헌영</v>
      </c>
      <c r="D20" s="15" t="str">
        <f>'01_인적정보'!D9</f>
        <v>경영관리</v>
      </c>
      <c r="E20" s="15" t="str">
        <f>'01_인적정보'!F9</f>
        <v>경영전략실</v>
      </c>
      <c r="F20" s="15" t="str">
        <f>'01_인적정보'!H9</f>
        <v>G6</v>
      </c>
      <c r="G20" s="27">
        <f>'09_보상연계'!F10</f>
        <v>65180000</v>
      </c>
      <c r="H20" s="27">
        <f t="shared" si="4"/>
        <v>58000000</v>
      </c>
      <c r="I20" s="27">
        <f t="shared" si="5"/>
        <v>69000000</v>
      </c>
      <c r="J20" s="27">
        <f t="shared" si="6"/>
        <v>80000000</v>
      </c>
      <c r="K20" s="19">
        <f t="shared" si="7"/>
        <v>0.32636363636363636</v>
      </c>
      <c r="L20" s="15" t="str">
        <f t="shared" si="8"/>
        <v>적합</v>
      </c>
      <c r="M20" s="27">
        <f>'09_보상연계'!O10</f>
        <v>66480000</v>
      </c>
      <c r="N20" s="19">
        <f t="shared" si="9"/>
        <v>0.38545454545454544</v>
      </c>
      <c r="O20" s="15" t="str">
        <f t="shared" si="10"/>
        <v>적합</v>
      </c>
      <c r="P20" s="15" t="str">
        <f t="shared" si="11"/>
        <v>적합</v>
      </c>
      <c r="Q20" s="27">
        <f t="shared" si="12"/>
        <v>0</v>
      </c>
    </row>
    <row r="21" spans="1:17" x14ac:dyDescent="0.6">
      <c r="A21" s="15">
        <f>'01_인적정보'!A10</f>
        <v>6</v>
      </c>
      <c r="B21" s="15" t="str">
        <f>'01_인적정보'!B10</f>
        <v>BSS-006</v>
      </c>
      <c r="C21" s="15" t="str">
        <f>'01_인적정보'!C10</f>
        <v>이재용</v>
      </c>
      <c r="D21" s="15" t="str">
        <f>'01_인적정보'!D10</f>
        <v>경영관리</v>
      </c>
      <c r="E21" s="15" t="str">
        <f>'01_인적정보'!F10</f>
        <v>경영전략실</v>
      </c>
      <c r="F21" s="15" t="str">
        <f>'01_인적정보'!H10</f>
        <v>G6</v>
      </c>
      <c r="G21" s="27">
        <f>'09_보상연계'!F11</f>
        <v>62000000</v>
      </c>
      <c r="H21" s="27">
        <f t="shared" si="4"/>
        <v>58000000</v>
      </c>
      <c r="I21" s="27">
        <f t="shared" si="5"/>
        <v>69000000</v>
      </c>
      <c r="J21" s="27">
        <f t="shared" si="6"/>
        <v>80000000</v>
      </c>
      <c r="K21" s="19">
        <f t="shared" si="7"/>
        <v>0.18181818181818182</v>
      </c>
      <c r="L21" s="15" t="str">
        <f t="shared" si="8"/>
        <v>적합</v>
      </c>
      <c r="M21" s="27">
        <f>'09_보상연계'!O11</f>
        <v>63240000</v>
      </c>
      <c r="N21" s="19">
        <f t="shared" si="9"/>
        <v>0.23818181818181819</v>
      </c>
      <c r="O21" s="15" t="str">
        <f t="shared" si="10"/>
        <v>적합</v>
      </c>
      <c r="P21" s="15" t="str">
        <f t="shared" si="11"/>
        <v>적합</v>
      </c>
      <c r="Q21" s="27">
        <f t="shared" si="12"/>
        <v>0</v>
      </c>
    </row>
    <row r="22" spans="1:17" x14ac:dyDescent="0.6">
      <c r="A22" s="15">
        <f>'01_인적정보'!A11</f>
        <v>7</v>
      </c>
      <c r="B22" s="15" t="str">
        <f>'01_인적정보'!B11</f>
        <v>BSS-007</v>
      </c>
      <c r="C22" s="15" t="str">
        <f>'01_인적정보'!C11</f>
        <v>이진행</v>
      </c>
      <c r="D22" s="15" t="str">
        <f>'01_인적정보'!D11</f>
        <v>교육 및 기술지원</v>
      </c>
      <c r="E22" s="15" t="str">
        <f>'01_인적정보'!F11</f>
        <v>솔루션본부</v>
      </c>
      <c r="F22" s="15" t="str">
        <f>'01_인적정보'!H11</f>
        <v>G5</v>
      </c>
      <c r="G22" s="27">
        <f>'09_보상연계'!F12</f>
        <v>59700000</v>
      </c>
      <c r="H22" s="27">
        <f t="shared" si="4"/>
        <v>53000000</v>
      </c>
      <c r="I22" s="27">
        <f t="shared" si="5"/>
        <v>63000000</v>
      </c>
      <c r="J22" s="27">
        <f t="shared" si="6"/>
        <v>73000000</v>
      </c>
      <c r="K22" s="19">
        <f t="shared" si="7"/>
        <v>0.33500000000000002</v>
      </c>
      <c r="L22" s="15" t="str">
        <f t="shared" si="8"/>
        <v>적합</v>
      </c>
      <c r="M22" s="27">
        <f>'09_보상연계'!O12</f>
        <v>60890000</v>
      </c>
      <c r="N22" s="19">
        <f t="shared" si="9"/>
        <v>0.39450000000000002</v>
      </c>
      <c r="O22" s="15" t="str">
        <f t="shared" si="10"/>
        <v>적합</v>
      </c>
      <c r="P22" s="15" t="str">
        <f t="shared" si="11"/>
        <v>적합</v>
      </c>
      <c r="Q22" s="27">
        <f t="shared" si="12"/>
        <v>0</v>
      </c>
    </row>
    <row r="23" spans="1:17" x14ac:dyDescent="0.6">
      <c r="A23" s="15">
        <f>'01_인적정보'!A12</f>
        <v>8</v>
      </c>
      <c r="B23" s="15" t="str">
        <f>'01_인적정보'!B12</f>
        <v>BSS-008</v>
      </c>
      <c r="C23" s="15" t="str">
        <f>'01_인적정보'!C12</f>
        <v>김민수</v>
      </c>
      <c r="D23" s="15" t="str">
        <f>'01_인적정보'!D12</f>
        <v>교육 및 기술지원</v>
      </c>
      <c r="E23" s="15" t="str">
        <f>'01_인적정보'!F12</f>
        <v>솔루션본부</v>
      </c>
      <c r="F23" s="15" t="str">
        <f>'01_인적정보'!H12</f>
        <v>G5</v>
      </c>
      <c r="G23" s="27">
        <f>'09_보상연계'!F13</f>
        <v>59050000</v>
      </c>
      <c r="H23" s="27">
        <f t="shared" si="4"/>
        <v>53000000</v>
      </c>
      <c r="I23" s="27">
        <f t="shared" si="5"/>
        <v>63000000</v>
      </c>
      <c r="J23" s="27">
        <f t="shared" si="6"/>
        <v>73000000</v>
      </c>
      <c r="K23" s="19">
        <f t="shared" si="7"/>
        <v>0.30249999999999999</v>
      </c>
      <c r="L23" s="15" t="str">
        <f t="shared" si="8"/>
        <v>적합</v>
      </c>
      <c r="M23" s="27">
        <f>'09_보상연계'!O13</f>
        <v>60230000</v>
      </c>
      <c r="N23" s="19">
        <f t="shared" si="9"/>
        <v>0.36149999999999999</v>
      </c>
      <c r="O23" s="15" t="str">
        <f t="shared" si="10"/>
        <v>적합</v>
      </c>
      <c r="P23" s="15" t="str">
        <f t="shared" si="11"/>
        <v>적합</v>
      </c>
      <c r="Q23" s="27">
        <f t="shared" si="12"/>
        <v>0</v>
      </c>
    </row>
    <row r="24" spans="1:17" x14ac:dyDescent="0.6">
      <c r="A24" s="15">
        <f>'01_인적정보'!A13</f>
        <v>9</v>
      </c>
      <c r="B24" s="15" t="str">
        <f>'01_인적정보'!B13</f>
        <v>BSS-009</v>
      </c>
      <c r="C24" s="15" t="str">
        <f>'01_인적정보'!C13</f>
        <v>박남식</v>
      </c>
      <c r="D24" s="15" t="str">
        <f>'01_인적정보'!D13</f>
        <v>설계</v>
      </c>
      <c r="E24" s="15" t="str">
        <f>'01_인적정보'!F13</f>
        <v>컨설팅본부</v>
      </c>
      <c r="F24" s="15" t="str">
        <f>'01_인적정보'!H13</f>
        <v>G5</v>
      </c>
      <c r="G24" s="27">
        <f>'09_보상연계'!F14</f>
        <v>59050000</v>
      </c>
      <c r="H24" s="27">
        <f t="shared" si="4"/>
        <v>53000000</v>
      </c>
      <c r="I24" s="27">
        <f t="shared" si="5"/>
        <v>63000000</v>
      </c>
      <c r="J24" s="27">
        <f t="shared" si="6"/>
        <v>73000000</v>
      </c>
      <c r="K24" s="19">
        <f t="shared" si="7"/>
        <v>0.30249999999999999</v>
      </c>
      <c r="L24" s="15" t="str">
        <f t="shared" si="8"/>
        <v>적합</v>
      </c>
      <c r="M24" s="27">
        <f>'09_보상연계'!O14</f>
        <v>60230000</v>
      </c>
      <c r="N24" s="19">
        <f t="shared" si="9"/>
        <v>0.36149999999999999</v>
      </c>
      <c r="O24" s="15" t="str">
        <f t="shared" si="10"/>
        <v>적합</v>
      </c>
      <c r="P24" s="15" t="str">
        <f t="shared" si="11"/>
        <v>적합</v>
      </c>
      <c r="Q24" s="27">
        <f t="shared" si="12"/>
        <v>0</v>
      </c>
    </row>
    <row r="25" spans="1:17" x14ac:dyDescent="0.6">
      <c r="A25" s="15">
        <f>'01_인적정보'!A14</f>
        <v>10</v>
      </c>
      <c r="B25" s="15" t="str">
        <f>'01_인적정보'!B14</f>
        <v>BSS-010</v>
      </c>
      <c r="C25" s="15" t="str">
        <f>'01_인적정보'!C14</f>
        <v>신재민</v>
      </c>
      <c r="D25" s="15" t="str">
        <f>'01_인적정보'!D14</f>
        <v>설계</v>
      </c>
      <c r="E25" s="15" t="str">
        <f>'01_인적정보'!F14</f>
        <v>컨설팅본부</v>
      </c>
      <c r="F25" s="15" t="str">
        <f>'01_인적정보'!H14</f>
        <v>G5</v>
      </c>
      <c r="G25" s="27">
        <f>'09_보상연계'!F15</f>
        <v>59050000</v>
      </c>
      <c r="H25" s="27">
        <f t="shared" si="4"/>
        <v>53000000</v>
      </c>
      <c r="I25" s="27">
        <f t="shared" si="5"/>
        <v>63000000</v>
      </c>
      <c r="J25" s="27">
        <f t="shared" si="6"/>
        <v>73000000</v>
      </c>
      <c r="K25" s="19">
        <f t="shared" si="7"/>
        <v>0.30249999999999999</v>
      </c>
      <c r="L25" s="15" t="str">
        <f t="shared" si="8"/>
        <v>적합</v>
      </c>
      <c r="M25" s="27">
        <f>'09_보상연계'!O15</f>
        <v>60230000</v>
      </c>
      <c r="N25" s="19">
        <f t="shared" si="9"/>
        <v>0.36149999999999999</v>
      </c>
      <c r="O25" s="15" t="str">
        <f t="shared" si="10"/>
        <v>적합</v>
      </c>
      <c r="P25" s="15" t="str">
        <f t="shared" si="11"/>
        <v>적합</v>
      </c>
      <c r="Q25" s="27">
        <f t="shared" si="12"/>
        <v>0</v>
      </c>
    </row>
    <row r="26" spans="1:17" x14ac:dyDescent="0.6">
      <c r="A26" s="15">
        <f>'01_인적정보'!A15</f>
        <v>11</v>
      </c>
      <c r="B26" s="15" t="str">
        <f>'01_인적정보'!B15</f>
        <v>BSS-011</v>
      </c>
      <c r="C26" s="15" t="str">
        <f>'01_인적정보'!C15</f>
        <v>마장엽</v>
      </c>
      <c r="D26" s="15" t="str">
        <f>'01_인적정보'!D15</f>
        <v>설계</v>
      </c>
      <c r="E26" s="15" t="str">
        <f>'01_인적정보'!F15</f>
        <v>컨설팅본부</v>
      </c>
      <c r="F26" s="15" t="str">
        <f>'01_인적정보'!H15</f>
        <v>G5</v>
      </c>
      <c r="G26" s="27">
        <f>'09_보상연계'!F16</f>
        <v>57760000</v>
      </c>
      <c r="H26" s="27">
        <f t="shared" si="4"/>
        <v>53000000</v>
      </c>
      <c r="I26" s="27">
        <f t="shared" si="5"/>
        <v>63000000</v>
      </c>
      <c r="J26" s="27">
        <f t="shared" si="6"/>
        <v>73000000</v>
      </c>
      <c r="K26" s="19">
        <f t="shared" si="7"/>
        <v>0.23799999999999999</v>
      </c>
      <c r="L26" s="15" t="str">
        <f t="shared" si="8"/>
        <v>적합</v>
      </c>
      <c r="M26" s="27">
        <f>'09_보상연계'!O16</f>
        <v>58920000</v>
      </c>
      <c r="N26" s="19">
        <f t="shared" si="9"/>
        <v>0.29599999999999999</v>
      </c>
      <c r="O26" s="15" t="str">
        <f t="shared" si="10"/>
        <v>적합</v>
      </c>
      <c r="P26" s="15" t="str">
        <f t="shared" si="11"/>
        <v>적합</v>
      </c>
      <c r="Q26" s="27">
        <f t="shared" si="12"/>
        <v>0</v>
      </c>
    </row>
    <row r="27" spans="1:17" x14ac:dyDescent="0.6">
      <c r="A27" s="15">
        <f>'01_인적정보'!A16</f>
        <v>12</v>
      </c>
      <c r="B27" s="15" t="str">
        <f>'01_인적정보'!B16</f>
        <v>BSS-012</v>
      </c>
      <c r="C27" s="15" t="str">
        <f>'01_인적정보'!C16</f>
        <v>하은주</v>
      </c>
      <c r="D27" s="15" t="str">
        <f>'01_인적정보'!D16</f>
        <v>경영관리</v>
      </c>
      <c r="E27" s="15" t="str">
        <f>'01_인적정보'!F16</f>
        <v>마케팅팀</v>
      </c>
      <c r="F27" s="15" t="str">
        <f>'01_인적정보'!H16</f>
        <v>G5</v>
      </c>
      <c r="G27" s="27">
        <f>'09_보상연계'!F17</f>
        <v>57760000</v>
      </c>
      <c r="H27" s="27">
        <f t="shared" si="4"/>
        <v>53000000</v>
      </c>
      <c r="I27" s="27">
        <f t="shared" si="5"/>
        <v>63000000</v>
      </c>
      <c r="J27" s="27">
        <f t="shared" si="6"/>
        <v>73000000</v>
      </c>
      <c r="K27" s="19">
        <f t="shared" si="7"/>
        <v>0.23799999999999999</v>
      </c>
      <c r="L27" s="15" t="str">
        <f t="shared" si="8"/>
        <v>적합</v>
      </c>
      <c r="M27" s="27">
        <f>'09_보상연계'!O17</f>
        <v>58920000</v>
      </c>
      <c r="N27" s="19">
        <f t="shared" si="9"/>
        <v>0.29599999999999999</v>
      </c>
      <c r="O27" s="15" t="str">
        <f t="shared" si="10"/>
        <v>적합</v>
      </c>
      <c r="P27" s="15" t="str">
        <f t="shared" si="11"/>
        <v>적합</v>
      </c>
      <c r="Q27" s="27">
        <f t="shared" si="12"/>
        <v>0</v>
      </c>
    </row>
    <row r="28" spans="1:17" x14ac:dyDescent="0.6">
      <c r="A28" s="15">
        <f>'01_인적정보'!A17</f>
        <v>13</v>
      </c>
      <c r="B28" s="15" t="str">
        <f>'01_인적정보'!B17</f>
        <v>BSS-013</v>
      </c>
      <c r="C28" s="15" t="str">
        <f>'01_인적정보'!C17</f>
        <v>홍사훈</v>
      </c>
      <c r="D28" s="15" t="str">
        <f>'01_인적정보'!D17</f>
        <v>설계</v>
      </c>
      <c r="E28" s="15" t="str">
        <f>'01_인적정보'!F17</f>
        <v>컨설팅본부</v>
      </c>
      <c r="F28" s="15" t="str">
        <f>'01_인적정보'!H17</f>
        <v>G5</v>
      </c>
      <c r="G28" s="27">
        <f>'09_보상연계'!F18</f>
        <v>58400000</v>
      </c>
      <c r="H28" s="27">
        <f t="shared" si="4"/>
        <v>53000000</v>
      </c>
      <c r="I28" s="27">
        <f t="shared" si="5"/>
        <v>63000000</v>
      </c>
      <c r="J28" s="27">
        <f t="shared" si="6"/>
        <v>73000000</v>
      </c>
      <c r="K28" s="19">
        <f t="shared" si="7"/>
        <v>0.27</v>
      </c>
      <c r="L28" s="15" t="str">
        <f t="shared" si="8"/>
        <v>적합</v>
      </c>
      <c r="M28" s="27">
        <f>'09_보상연계'!O18</f>
        <v>59570000</v>
      </c>
      <c r="N28" s="19">
        <f t="shared" si="9"/>
        <v>0.32850000000000001</v>
      </c>
      <c r="O28" s="15" t="str">
        <f t="shared" si="10"/>
        <v>적합</v>
      </c>
      <c r="P28" s="15" t="str">
        <f t="shared" si="11"/>
        <v>적합</v>
      </c>
      <c r="Q28" s="27">
        <f t="shared" si="12"/>
        <v>0</v>
      </c>
    </row>
    <row r="29" spans="1:17" x14ac:dyDescent="0.6">
      <c r="A29" s="15">
        <f>'01_인적정보'!A18</f>
        <v>14</v>
      </c>
      <c r="B29" s="15" t="str">
        <f>'01_인적정보'!B18</f>
        <v>BSS-014</v>
      </c>
      <c r="C29" s="15" t="str">
        <f>'01_인적정보'!C18</f>
        <v>유자영</v>
      </c>
      <c r="D29" s="15" t="str">
        <f>'01_인적정보'!D18</f>
        <v>설계</v>
      </c>
      <c r="E29" s="15" t="str">
        <f>'01_인적정보'!F18</f>
        <v>컨설팅본부</v>
      </c>
      <c r="F29" s="15" t="str">
        <f>'01_인적정보'!H18</f>
        <v>G5</v>
      </c>
      <c r="G29" s="27">
        <f>'09_보상연계'!F19</f>
        <v>56500000</v>
      </c>
      <c r="H29" s="27">
        <f t="shared" si="4"/>
        <v>53000000</v>
      </c>
      <c r="I29" s="27">
        <f t="shared" si="5"/>
        <v>63000000</v>
      </c>
      <c r="J29" s="27">
        <f t="shared" si="6"/>
        <v>73000000</v>
      </c>
      <c r="K29" s="19">
        <f t="shared" si="7"/>
        <v>0.17499999999999999</v>
      </c>
      <c r="L29" s="15" t="str">
        <f t="shared" si="8"/>
        <v>적합</v>
      </c>
      <c r="M29" s="27">
        <f>'09_보상연계'!O19</f>
        <v>57630000</v>
      </c>
      <c r="N29" s="19">
        <f t="shared" si="9"/>
        <v>0.23150000000000001</v>
      </c>
      <c r="O29" s="15" t="str">
        <f t="shared" si="10"/>
        <v>적합</v>
      </c>
      <c r="P29" s="15" t="str">
        <f t="shared" si="11"/>
        <v>적합</v>
      </c>
      <c r="Q29" s="27">
        <f t="shared" si="12"/>
        <v>0</v>
      </c>
    </row>
    <row r="30" spans="1:17" x14ac:dyDescent="0.6">
      <c r="A30" s="15">
        <f>'01_인적정보'!A19</f>
        <v>15</v>
      </c>
      <c r="B30" s="15" t="str">
        <f>'01_인적정보'!B19</f>
        <v>BSS-015</v>
      </c>
      <c r="C30" s="15" t="str">
        <f>'01_인적정보'!C19</f>
        <v>민지선</v>
      </c>
      <c r="D30" s="15" t="str">
        <f>'01_인적정보'!D19</f>
        <v>설계</v>
      </c>
      <c r="E30" s="15" t="str">
        <f>'01_인적정보'!F19</f>
        <v>컨설팅본부</v>
      </c>
      <c r="F30" s="15" t="str">
        <f>'01_인적정보'!H19</f>
        <v>G5</v>
      </c>
      <c r="G30" s="27">
        <f>'09_보상연계'!F20</f>
        <v>53160000</v>
      </c>
      <c r="H30" s="27">
        <f t="shared" si="4"/>
        <v>53000000</v>
      </c>
      <c r="I30" s="27">
        <f t="shared" si="5"/>
        <v>63000000</v>
      </c>
      <c r="J30" s="27">
        <f t="shared" si="6"/>
        <v>73000000</v>
      </c>
      <c r="K30" s="19">
        <f t="shared" si="7"/>
        <v>8.0000000000000002E-3</v>
      </c>
      <c r="L30" s="15" t="str">
        <f t="shared" si="8"/>
        <v>적합</v>
      </c>
      <c r="M30" s="27">
        <f>'09_보상연계'!O20</f>
        <v>54220000</v>
      </c>
      <c r="N30" s="19">
        <f t="shared" si="9"/>
        <v>6.0999999999999999E-2</v>
      </c>
      <c r="O30" s="15" t="str">
        <f t="shared" si="10"/>
        <v>적합</v>
      </c>
      <c r="P30" s="15" t="str">
        <f t="shared" si="11"/>
        <v>적합</v>
      </c>
      <c r="Q30" s="27">
        <f t="shared" si="12"/>
        <v>0</v>
      </c>
    </row>
    <row r="31" spans="1:17" x14ac:dyDescent="0.6">
      <c r="A31" s="15">
        <f>'01_인적정보'!A20</f>
        <v>16</v>
      </c>
      <c r="B31" s="15" t="str">
        <f>'01_인적정보'!B20</f>
        <v>BSS-016</v>
      </c>
      <c r="C31" s="15" t="str">
        <f>'01_인적정보'!C20</f>
        <v>장훈</v>
      </c>
      <c r="D31" s="15" t="str">
        <f>'01_인적정보'!D20</f>
        <v>설계</v>
      </c>
      <c r="E31" s="15" t="str">
        <f>'01_인적정보'!F20</f>
        <v>컨설팅본부</v>
      </c>
      <c r="F31" s="15" t="str">
        <f>'01_인적정보'!H20</f>
        <v>G5</v>
      </c>
      <c r="G31" s="27">
        <f>'09_보상연계'!F21</f>
        <v>53750000</v>
      </c>
      <c r="H31" s="27">
        <f t="shared" si="4"/>
        <v>53000000</v>
      </c>
      <c r="I31" s="27">
        <f t="shared" si="5"/>
        <v>63000000</v>
      </c>
      <c r="J31" s="27">
        <f t="shared" si="6"/>
        <v>73000000</v>
      </c>
      <c r="K31" s="19">
        <f t="shared" si="7"/>
        <v>3.7499999999999999E-2</v>
      </c>
      <c r="L31" s="15" t="str">
        <f t="shared" si="8"/>
        <v>적합</v>
      </c>
      <c r="M31" s="27">
        <f>'09_보상연계'!O21</f>
        <v>54830000</v>
      </c>
      <c r="N31" s="19">
        <f t="shared" si="9"/>
        <v>9.1499999999999998E-2</v>
      </c>
      <c r="O31" s="15" t="str">
        <f t="shared" si="10"/>
        <v>적합</v>
      </c>
      <c r="P31" s="15" t="str">
        <f t="shared" si="11"/>
        <v>적합</v>
      </c>
      <c r="Q31" s="27">
        <f t="shared" si="12"/>
        <v>0</v>
      </c>
    </row>
    <row r="32" spans="1:17" ht="31.5" x14ac:dyDescent="0.6">
      <c r="A32" s="15">
        <f>'01_인적정보'!A21</f>
        <v>17</v>
      </c>
      <c r="B32" s="15" t="str">
        <f>'01_인적정보'!B21</f>
        <v>BSS-017</v>
      </c>
      <c r="C32" s="15" t="str">
        <f>'01_인적정보'!C21</f>
        <v>김우람</v>
      </c>
      <c r="D32" s="15" t="str">
        <f>'01_인적정보'!D21</f>
        <v>교육 및 기술지원</v>
      </c>
      <c r="E32" s="15" t="str">
        <f>'01_인적정보'!F21</f>
        <v>솔루션본부</v>
      </c>
      <c r="F32" s="15" t="str">
        <f>'01_인적정보'!H21</f>
        <v>G4</v>
      </c>
      <c r="G32" s="27">
        <f>'09_보상연계'!F22</f>
        <v>49240000</v>
      </c>
      <c r="H32" s="27">
        <f t="shared" si="4"/>
        <v>49000000</v>
      </c>
      <c r="I32" s="27">
        <f t="shared" si="5"/>
        <v>57500000</v>
      </c>
      <c r="J32" s="27">
        <f t="shared" si="6"/>
        <v>66000000</v>
      </c>
      <c r="K32" s="19">
        <f t="shared" si="7"/>
        <v>1.411764705882353E-2</v>
      </c>
      <c r="L32" s="15" t="str">
        <f t="shared" si="8"/>
        <v>적합</v>
      </c>
      <c r="M32" s="27">
        <f>'09_보상연계'!O22</f>
        <v>50220000</v>
      </c>
      <c r="N32" s="19">
        <f t="shared" si="9"/>
        <v>7.1764705882352939E-2</v>
      </c>
      <c r="O32" s="15" t="str">
        <f t="shared" si="10"/>
        <v>적합</v>
      </c>
      <c r="P32" s="15" t="str">
        <f t="shared" si="11"/>
        <v>적합</v>
      </c>
      <c r="Q32" s="27">
        <f t="shared" si="12"/>
        <v>0</v>
      </c>
    </row>
    <row r="33" spans="1:17" x14ac:dyDescent="0.6">
      <c r="A33" s="15">
        <f>'01_인적정보'!A22</f>
        <v>18</v>
      </c>
      <c r="B33" s="15" t="str">
        <f>'01_인적정보'!B22</f>
        <v>BSS-018</v>
      </c>
      <c r="C33" s="15" t="str">
        <f>'01_인적정보'!C22</f>
        <v>조성준</v>
      </c>
      <c r="D33" s="15" t="str">
        <f>'01_인적정보'!D22</f>
        <v>설계</v>
      </c>
      <c r="E33" s="15" t="str">
        <f>'01_인적정보'!F22</f>
        <v>컨설팅본부</v>
      </c>
      <c r="F33" s="15" t="str">
        <f>'01_인적정보'!H22</f>
        <v>G4</v>
      </c>
      <c r="G33" s="27">
        <f>'09_보상연계'!F23</f>
        <v>48650000</v>
      </c>
      <c r="H33" s="27">
        <f t="shared" si="4"/>
        <v>49000000</v>
      </c>
      <c r="I33" s="27">
        <f t="shared" si="5"/>
        <v>57500000</v>
      </c>
      <c r="J33" s="27">
        <f t="shared" si="6"/>
        <v>66000000</v>
      </c>
      <c r="K33" s="19">
        <f t="shared" si="7"/>
        <v>-2.0588235294117647E-2</v>
      </c>
      <c r="L33" s="15" t="str">
        <f t="shared" si="8"/>
        <v>이탈</v>
      </c>
      <c r="M33" s="27">
        <f>'09_보상연계'!O23</f>
        <v>49620000</v>
      </c>
      <c r="N33" s="19">
        <f t="shared" si="9"/>
        <v>3.6470588235294116E-2</v>
      </c>
      <c r="O33" s="15" t="str">
        <f t="shared" si="10"/>
        <v>적합</v>
      </c>
      <c r="P33" s="15" t="str">
        <f t="shared" si="11"/>
        <v>개선</v>
      </c>
      <c r="Q33" s="27">
        <f t="shared" si="12"/>
        <v>0</v>
      </c>
    </row>
    <row r="34" spans="1:17" x14ac:dyDescent="0.6">
      <c r="A34" s="15">
        <f>'01_인적정보'!A23</f>
        <v>19</v>
      </c>
      <c r="B34" s="15" t="str">
        <f>'01_인적정보'!B23</f>
        <v>BSS-019</v>
      </c>
      <c r="C34" s="15" t="str">
        <f>'01_인적정보'!C23</f>
        <v>구서현</v>
      </c>
      <c r="D34" s="15" t="str">
        <f>'01_인적정보'!D23</f>
        <v>설계</v>
      </c>
      <c r="E34" s="15" t="str">
        <f>'01_인적정보'!F23</f>
        <v>컨설팅본부</v>
      </c>
      <c r="F34" s="15" t="str">
        <f>'01_인적정보'!H23</f>
        <v>G2</v>
      </c>
      <c r="G34" s="27">
        <f>'09_보상연계'!F24</f>
        <v>47500000</v>
      </c>
      <c r="H34" s="27">
        <f t="shared" si="4"/>
        <v>36000000</v>
      </c>
      <c r="I34" s="27">
        <f t="shared" si="5"/>
        <v>42500000</v>
      </c>
      <c r="J34" s="27">
        <f t="shared" si="6"/>
        <v>49000000</v>
      </c>
      <c r="K34" s="19">
        <f t="shared" si="7"/>
        <v>0.88461538461538458</v>
      </c>
      <c r="L34" s="15" t="str">
        <f t="shared" si="8"/>
        <v>적합</v>
      </c>
      <c r="M34" s="27">
        <f>'09_보상연계'!O24</f>
        <v>48450000</v>
      </c>
      <c r="N34" s="19">
        <f t="shared" si="9"/>
        <v>0.95769230769230773</v>
      </c>
      <c r="O34" s="15" t="str">
        <f t="shared" si="10"/>
        <v>적합</v>
      </c>
      <c r="P34" s="15" t="str">
        <f t="shared" si="11"/>
        <v>적합</v>
      </c>
      <c r="Q34" s="27">
        <f t="shared" si="12"/>
        <v>0</v>
      </c>
    </row>
    <row r="35" spans="1:17" ht="31.5" x14ac:dyDescent="0.6">
      <c r="A35" s="15">
        <f>'01_인적정보'!A24</f>
        <v>20</v>
      </c>
      <c r="B35" s="15" t="str">
        <f>'01_인적정보'!B24</f>
        <v>BSS-020</v>
      </c>
      <c r="C35" s="15" t="str">
        <f>'01_인적정보'!C24</f>
        <v>박진용</v>
      </c>
      <c r="D35" s="15" t="str">
        <f>'01_인적정보'!D24</f>
        <v>교육 및 기술지원</v>
      </c>
      <c r="E35" s="15" t="str">
        <f>'01_인적정보'!F24</f>
        <v>솔루션본부</v>
      </c>
      <c r="F35" s="15" t="str">
        <f>'01_인적정보'!H24</f>
        <v>G3</v>
      </c>
      <c r="G35" s="27">
        <f>'09_보상연계'!F25</f>
        <v>43060000</v>
      </c>
      <c r="H35" s="27">
        <f t="shared" si="4"/>
        <v>42000000</v>
      </c>
      <c r="I35" s="27">
        <f t="shared" si="5"/>
        <v>49500000</v>
      </c>
      <c r="J35" s="27">
        <f t="shared" si="6"/>
        <v>57000000</v>
      </c>
      <c r="K35" s="19">
        <f t="shared" si="7"/>
        <v>7.0666666666666669E-2</v>
      </c>
      <c r="L35" s="15" t="str">
        <f t="shared" si="8"/>
        <v>적합</v>
      </c>
      <c r="M35" s="27">
        <f>'09_보상연계'!O25</f>
        <v>43920000</v>
      </c>
      <c r="N35" s="19">
        <f t="shared" si="9"/>
        <v>0.128</v>
      </c>
      <c r="O35" s="15" t="str">
        <f t="shared" si="10"/>
        <v>적합</v>
      </c>
      <c r="P35" s="15" t="str">
        <f t="shared" si="11"/>
        <v>적합</v>
      </c>
      <c r="Q35" s="27">
        <f t="shared" si="12"/>
        <v>0</v>
      </c>
    </row>
    <row r="36" spans="1:17" x14ac:dyDescent="0.6">
      <c r="A36" s="15">
        <f>'01_인적정보'!A25</f>
        <v>21</v>
      </c>
      <c r="B36" s="15" t="str">
        <f>'01_인적정보'!B25</f>
        <v>BSS-021</v>
      </c>
      <c r="C36" s="15" t="str">
        <f>'01_인적정보'!C25</f>
        <v>김가연</v>
      </c>
      <c r="D36" s="15" t="str">
        <f>'01_인적정보'!D25</f>
        <v>설계</v>
      </c>
      <c r="E36" s="15" t="str">
        <f>'01_인적정보'!F25</f>
        <v>컨설팅본부</v>
      </c>
      <c r="F36" s="15" t="str">
        <f>'01_인적정보'!H25</f>
        <v>G2</v>
      </c>
      <c r="G36" s="27">
        <f>'09_보상연계'!F26</f>
        <v>42500000</v>
      </c>
      <c r="H36" s="27">
        <f t="shared" si="4"/>
        <v>36000000</v>
      </c>
      <c r="I36" s="27">
        <f t="shared" si="5"/>
        <v>42500000</v>
      </c>
      <c r="J36" s="27">
        <f t="shared" si="6"/>
        <v>49000000</v>
      </c>
      <c r="K36" s="19">
        <f t="shared" si="7"/>
        <v>0.5</v>
      </c>
      <c r="L36" s="15" t="str">
        <f t="shared" si="8"/>
        <v>적합</v>
      </c>
      <c r="M36" s="27">
        <f>'09_보상연계'!O26</f>
        <v>43350000</v>
      </c>
      <c r="N36" s="19">
        <f t="shared" si="9"/>
        <v>0.56538461538461537</v>
      </c>
      <c r="O36" s="15" t="str">
        <f t="shared" si="10"/>
        <v>적합</v>
      </c>
      <c r="P36" s="15" t="str">
        <f t="shared" si="11"/>
        <v>적합</v>
      </c>
      <c r="Q36" s="27">
        <f t="shared" si="12"/>
        <v>0</v>
      </c>
    </row>
    <row r="37" spans="1:17" x14ac:dyDescent="0.6">
      <c r="A37" s="15">
        <f>'01_인적정보'!A26</f>
        <v>22</v>
      </c>
      <c r="B37" s="15" t="str">
        <f>'01_인적정보'!B26</f>
        <v>BSS-022</v>
      </c>
      <c r="C37" s="15" t="str">
        <f>'01_인적정보'!C26</f>
        <v>한근수</v>
      </c>
      <c r="D37" s="15" t="str">
        <f>'01_인적정보'!D26</f>
        <v>설계</v>
      </c>
      <c r="E37" s="15" t="str">
        <f>'01_인적정보'!F26</f>
        <v>컨설팅본부</v>
      </c>
      <c r="F37" s="15" t="str">
        <f>'01_인적정보'!H26</f>
        <v>G2</v>
      </c>
      <c r="G37" s="27">
        <f>'09_보상연계'!F27</f>
        <v>42500000</v>
      </c>
      <c r="H37" s="27">
        <f t="shared" si="4"/>
        <v>36000000</v>
      </c>
      <c r="I37" s="27">
        <f t="shared" si="5"/>
        <v>42500000</v>
      </c>
      <c r="J37" s="27">
        <f t="shared" si="6"/>
        <v>49000000</v>
      </c>
      <c r="K37" s="19">
        <f t="shared" si="7"/>
        <v>0.5</v>
      </c>
      <c r="L37" s="15" t="str">
        <f t="shared" si="8"/>
        <v>적합</v>
      </c>
      <c r="M37" s="27">
        <f>'09_보상연계'!O27</f>
        <v>43350000</v>
      </c>
      <c r="N37" s="19">
        <f t="shared" si="9"/>
        <v>0.56538461538461537</v>
      </c>
      <c r="O37" s="15" t="str">
        <f t="shared" si="10"/>
        <v>적합</v>
      </c>
      <c r="P37" s="15" t="str">
        <f t="shared" si="11"/>
        <v>적합</v>
      </c>
      <c r="Q37" s="27">
        <f t="shared" si="12"/>
        <v>0</v>
      </c>
    </row>
    <row r="38" spans="1:17" x14ac:dyDescent="0.6">
      <c r="A38" s="15">
        <f>'01_인적정보'!A27</f>
        <v>23</v>
      </c>
      <c r="B38" s="15" t="str">
        <f>'01_인적정보'!B27</f>
        <v>BSS-023</v>
      </c>
      <c r="C38" s="15" t="str">
        <f>'01_인적정보'!C27</f>
        <v>김성민</v>
      </c>
      <c r="D38" s="15" t="str">
        <f>'01_인적정보'!D27</f>
        <v>설계</v>
      </c>
      <c r="E38" s="15" t="str">
        <f>'01_인적정보'!F27</f>
        <v>컨설팅본부</v>
      </c>
      <c r="F38" s="15" t="str">
        <f>'01_인적정보'!H27</f>
        <v>G2</v>
      </c>
      <c r="G38" s="27">
        <f>'09_보상연계'!F28</f>
        <v>42500000</v>
      </c>
      <c r="H38" s="27">
        <f t="shared" si="4"/>
        <v>36000000</v>
      </c>
      <c r="I38" s="27">
        <f t="shared" si="5"/>
        <v>42500000</v>
      </c>
      <c r="J38" s="27">
        <f t="shared" si="6"/>
        <v>49000000</v>
      </c>
      <c r="K38" s="19">
        <f t="shared" si="7"/>
        <v>0.5</v>
      </c>
      <c r="L38" s="15" t="str">
        <f t="shared" si="8"/>
        <v>적합</v>
      </c>
      <c r="M38" s="27">
        <f>'09_보상연계'!O28</f>
        <v>43350000</v>
      </c>
      <c r="N38" s="19">
        <f t="shared" si="9"/>
        <v>0.56538461538461537</v>
      </c>
      <c r="O38" s="15" t="str">
        <f t="shared" si="10"/>
        <v>적합</v>
      </c>
      <c r="P38" s="15" t="str">
        <f t="shared" si="11"/>
        <v>적합</v>
      </c>
      <c r="Q38" s="27">
        <f t="shared" si="12"/>
        <v>0</v>
      </c>
    </row>
    <row r="39" spans="1:17" x14ac:dyDescent="0.6">
      <c r="A39" s="15">
        <f>'01_인적정보'!A28</f>
        <v>24</v>
      </c>
      <c r="B39" s="15" t="str">
        <f>'01_인적정보'!B28</f>
        <v>BSS-024</v>
      </c>
      <c r="C39" s="15" t="str">
        <f>'01_인적정보'!C28</f>
        <v>고광우</v>
      </c>
      <c r="D39" s="15" t="str">
        <f>'01_인적정보'!D28</f>
        <v>설계</v>
      </c>
      <c r="E39" s="15" t="str">
        <f>'01_인적정보'!F28</f>
        <v>컨설팅본부</v>
      </c>
      <c r="F39" s="15" t="str">
        <f>'01_인적정보'!H28</f>
        <v>G2</v>
      </c>
      <c r="G39" s="27">
        <f>'09_보상연계'!F29</f>
        <v>42500000</v>
      </c>
      <c r="H39" s="27">
        <f t="shared" si="4"/>
        <v>36000000</v>
      </c>
      <c r="I39" s="27">
        <f t="shared" si="5"/>
        <v>42500000</v>
      </c>
      <c r="J39" s="27">
        <f t="shared" si="6"/>
        <v>49000000</v>
      </c>
      <c r="K39" s="19">
        <f t="shared" si="7"/>
        <v>0.5</v>
      </c>
      <c r="L39" s="15" t="str">
        <f t="shared" si="8"/>
        <v>적합</v>
      </c>
      <c r="M39" s="27">
        <f>'09_보상연계'!O29</f>
        <v>43350000</v>
      </c>
      <c r="N39" s="19">
        <f t="shared" si="9"/>
        <v>0.56538461538461537</v>
      </c>
      <c r="O39" s="15" t="str">
        <f t="shared" si="10"/>
        <v>적합</v>
      </c>
      <c r="P39" s="15" t="str">
        <f t="shared" si="11"/>
        <v>적합</v>
      </c>
      <c r="Q39" s="27">
        <f t="shared" si="12"/>
        <v>0</v>
      </c>
    </row>
    <row r="40" spans="1:17" x14ac:dyDescent="0.6">
      <c r="A40" s="15">
        <f>'01_인적정보'!A29</f>
        <v>25</v>
      </c>
      <c r="B40" s="15" t="str">
        <f>'01_인적정보'!B29</f>
        <v>BSS-025</v>
      </c>
      <c r="C40" s="15" t="str">
        <f>'01_인적정보'!C29</f>
        <v>김성수</v>
      </c>
      <c r="D40" s="15" t="str">
        <f>'01_인적정보'!D29</f>
        <v>연구&amp;개발</v>
      </c>
      <c r="E40" s="15" t="str">
        <f>'01_인적정보'!F29</f>
        <v>컨설팅본부</v>
      </c>
      <c r="F40" s="15" t="str">
        <f>'01_인적정보'!H29</f>
        <v>G2</v>
      </c>
      <c r="G40" s="27">
        <f>'09_보상연계'!F30</f>
        <v>42500000</v>
      </c>
      <c r="H40" s="27">
        <f t="shared" si="4"/>
        <v>36000000</v>
      </c>
      <c r="I40" s="27">
        <f t="shared" si="5"/>
        <v>42500000</v>
      </c>
      <c r="J40" s="27">
        <f t="shared" si="6"/>
        <v>49000000</v>
      </c>
      <c r="K40" s="19">
        <f t="shared" si="7"/>
        <v>0.5</v>
      </c>
      <c r="L40" s="15" t="str">
        <f t="shared" si="8"/>
        <v>적합</v>
      </c>
      <c r="M40" s="27">
        <f>'09_보상연계'!O30</f>
        <v>43350000</v>
      </c>
      <c r="N40" s="19">
        <f t="shared" si="9"/>
        <v>0.56538461538461537</v>
      </c>
      <c r="O40" s="15" t="str">
        <f t="shared" si="10"/>
        <v>적합</v>
      </c>
      <c r="P40" s="15" t="str">
        <f t="shared" si="11"/>
        <v>적합</v>
      </c>
      <c r="Q40" s="27">
        <f t="shared" si="12"/>
        <v>0</v>
      </c>
    </row>
    <row r="41" spans="1:17" x14ac:dyDescent="0.6">
      <c r="A41" s="15">
        <f>'01_인적정보'!A30</f>
        <v>26</v>
      </c>
      <c r="B41" s="15" t="str">
        <f>'01_인적정보'!B30</f>
        <v>BSS-026</v>
      </c>
      <c r="C41" s="15" t="str">
        <f>'01_인적정보'!C30</f>
        <v>박진희</v>
      </c>
      <c r="D41" s="15" t="str">
        <f>'01_인적정보'!D30</f>
        <v>경영관리</v>
      </c>
      <c r="E41" s="15" t="str">
        <f>'01_인적정보'!F30</f>
        <v>마케팅팀</v>
      </c>
      <c r="F41" s="15" t="str">
        <f>'01_인적정보'!H30</f>
        <v>G1</v>
      </c>
      <c r="G41" s="27">
        <f>'09_보상연계'!F31</f>
        <v>34935000</v>
      </c>
      <c r="H41" s="27">
        <f t="shared" si="4"/>
        <v>33000000</v>
      </c>
      <c r="I41" s="27">
        <f t="shared" si="5"/>
        <v>38500000</v>
      </c>
      <c r="J41" s="27">
        <f t="shared" si="6"/>
        <v>44000000</v>
      </c>
      <c r="K41" s="19">
        <f t="shared" si="7"/>
        <v>0.1759090909090909</v>
      </c>
      <c r="L41" s="15" t="str">
        <f t="shared" si="8"/>
        <v>적합</v>
      </c>
      <c r="M41" s="27">
        <f>'09_보상연계'!O31</f>
        <v>35630000</v>
      </c>
      <c r="N41" s="19">
        <f t="shared" si="9"/>
        <v>0.2390909090909091</v>
      </c>
      <c r="O41" s="15" t="str">
        <f t="shared" si="10"/>
        <v>적합</v>
      </c>
      <c r="P41" s="15" t="str">
        <f t="shared" si="11"/>
        <v>적합</v>
      </c>
      <c r="Q41" s="27">
        <f t="shared" si="12"/>
        <v>0</v>
      </c>
    </row>
    <row r="42" spans="1:17" ht="31.5" x14ac:dyDescent="0.6">
      <c r="A42" s="15">
        <f>'01_인적정보'!A31</f>
        <v>27</v>
      </c>
      <c r="B42" s="15" t="str">
        <f>'01_인적정보'!B31</f>
        <v>BSS-027</v>
      </c>
      <c r="C42" s="15" t="str">
        <f>'01_인적정보'!C31</f>
        <v>장은한</v>
      </c>
      <c r="D42" s="15" t="str">
        <f>'01_인적정보'!D31</f>
        <v>교육 및 기술지원</v>
      </c>
      <c r="E42" s="15" t="str">
        <f>'01_인적정보'!F31</f>
        <v>솔루션본부</v>
      </c>
      <c r="F42" s="15" t="str">
        <f>'01_인적정보'!H31</f>
        <v>G2</v>
      </c>
      <c r="G42" s="27">
        <f>'09_보상연계'!F32</f>
        <v>35000000</v>
      </c>
      <c r="H42" s="27">
        <f t="shared" si="4"/>
        <v>36000000</v>
      </c>
      <c r="I42" s="27">
        <f t="shared" si="5"/>
        <v>42500000</v>
      </c>
      <c r="J42" s="27">
        <f t="shared" si="6"/>
        <v>49000000</v>
      </c>
      <c r="K42" s="19">
        <f t="shared" si="7"/>
        <v>-7.6923076923076927E-2</v>
      </c>
      <c r="L42" s="15" t="str">
        <f t="shared" si="8"/>
        <v>이탈</v>
      </c>
      <c r="M42" s="27">
        <f>'09_보상연계'!O32</f>
        <v>35700000</v>
      </c>
      <c r="N42" s="19">
        <f t="shared" si="9"/>
        <v>-2.3076923076923078E-2</v>
      </c>
      <c r="O42" s="15" t="str">
        <f t="shared" si="10"/>
        <v>이탈</v>
      </c>
      <c r="P42" s="15" t="str">
        <f t="shared" si="11"/>
        <v>지속이탈</v>
      </c>
      <c r="Q42" s="27">
        <f t="shared" si="12"/>
        <v>300000</v>
      </c>
    </row>
    <row r="43" spans="1:17" x14ac:dyDescent="0.6">
      <c r="A43" s="15">
        <f>'01_인적정보'!A32</f>
        <v>28</v>
      </c>
      <c r="B43" s="15" t="str">
        <f>'01_인적정보'!B32</f>
        <v>BSS-028</v>
      </c>
      <c r="C43" s="15" t="str">
        <f>'01_인적정보'!C32</f>
        <v>김현수</v>
      </c>
      <c r="D43" s="15" t="str">
        <f>'01_인적정보'!D32</f>
        <v>설계</v>
      </c>
      <c r="E43" s="15" t="str">
        <f>'01_인적정보'!F32</f>
        <v>컨설팅본부</v>
      </c>
      <c r="F43" s="15" t="str">
        <f>'01_인적정보'!H32</f>
        <v>G1</v>
      </c>
      <c r="G43" s="27">
        <f>'09_보상연계'!F33</f>
        <v>36000000</v>
      </c>
      <c r="H43" s="27">
        <f t="shared" si="4"/>
        <v>33000000</v>
      </c>
      <c r="I43" s="27">
        <f t="shared" si="5"/>
        <v>38500000</v>
      </c>
      <c r="J43" s="27">
        <f t="shared" si="6"/>
        <v>44000000</v>
      </c>
      <c r="K43" s="19">
        <f t="shared" si="7"/>
        <v>0.27272727272727271</v>
      </c>
      <c r="L43" s="15" t="str">
        <f t="shared" si="8"/>
        <v>적합</v>
      </c>
      <c r="M43" s="27">
        <f>'09_보상연계'!O33</f>
        <v>36720000</v>
      </c>
      <c r="N43" s="19">
        <f t="shared" si="9"/>
        <v>0.33818181818181819</v>
      </c>
      <c r="O43" s="15" t="str">
        <f t="shared" si="10"/>
        <v>적합</v>
      </c>
      <c r="P43" s="15" t="str">
        <f t="shared" si="11"/>
        <v>적합</v>
      </c>
      <c r="Q43" s="27">
        <f t="shared" si="12"/>
        <v>0</v>
      </c>
    </row>
    <row r="44" spans="1:17" x14ac:dyDescent="0.6">
      <c r="A44" s="15">
        <f>'01_인적정보'!A33</f>
        <v>29</v>
      </c>
      <c r="B44" s="15" t="str">
        <f>'01_인적정보'!B33</f>
        <v>BSS-029</v>
      </c>
      <c r="C44" s="15" t="str">
        <f>'01_인적정보'!C33</f>
        <v>콜셍홍</v>
      </c>
      <c r="D44" s="15" t="str">
        <f>'01_인적정보'!D33</f>
        <v>설계</v>
      </c>
      <c r="E44" s="15" t="str">
        <f>'01_인적정보'!F33</f>
        <v>컨설팅본부</v>
      </c>
      <c r="F44" s="15" t="str">
        <f>'01_인적정보'!H33</f>
        <v>G1</v>
      </c>
      <c r="G44" s="27">
        <f>'09_보상연계'!F34</f>
        <v>36000000</v>
      </c>
      <c r="H44" s="27">
        <f t="shared" si="4"/>
        <v>33000000</v>
      </c>
      <c r="I44" s="27">
        <f t="shared" si="5"/>
        <v>38500000</v>
      </c>
      <c r="J44" s="27">
        <f t="shared" si="6"/>
        <v>44000000</v>
      </c>
      <c r="K44" s="19">
        <f t="shared" si="7"/>
        <v>0.27272727272727271</v>
      </c>
      <c r="L44" s="15" t="str">
        <f t="shared" si="8"/>
        <v>적합</v>
      </c>
      <c r="M44" s="27">
        <f>'09_보상연계'!O34</f>
        <v>36720000</v>
      </c>
      <c r="N44" s="19">
        <f t="shared" si="9"/>
        <v>0.33818181818181819</v>
      </c>
      <c r="O44" s="15" t="str">
        <f t="shared" si="10"/>
        <v>적합</v>
      </c>
      <c r="P44" s="15" t="str">
        <f t="shared" si="11"/>
        <v>적합</v>
      </c>
      <c r="Q44" s="27">
        <f t="shared" si="12"/>
        <v>0</v>
      </c>
    </row>
    <row r="45" spans="1:17" x14ac:dyDescent="0.6">
      <c r="A45" s="15">
        <f>'01_인적정보'!A34</f>
        <v>30</v>
      </c>
      <c r="B45" s="15" t="str">
        <f>'01_인적정보'!B34</f>
        <v>BSS-030</v>
      </c>
      <c r="C45" s="15" t="str">
        <f>'01_인적정보'!C34</f>
        <v>안성진</v>
      </c>
      <c r="D45" s="15" t="str">
        <f>'01_인적정보'!D34</f>
        <v>설계</v>
      </c>
      <c r="E45" s="15" t="str">
        <f>'01_인적정보'!F34</f>
        <v>컨설팅본부</v>
      </c>
      <c r="F45" s="15" t="str">
        <f>'01_인적정보'!H34</f>
        <v>G1</v>
      </c>
      <c r="G45" s="27">
        <f>'09_보상연계'!F35</f>
        <v>36540000</v>
      </c>
      <c r="H45" s="27">
        <f t="shared" si="4"/>
        <v>33000000</v>
      </c>
      <c r="I45" s="27">
        <f t="shared" si="5"/>
        <v>38500000</v>
      </c>
      <c r="J45" s="27">
        <f t="shared" si="6"/>
        <v>44000000</v>
      </c>
      <c r="K45" s="19">
        <f t="shared" si="7"/>
        <v>0.32181818181818184</v>
      </c>
      <c r="L45" s="15" t="str">
        <f t="shared" si="8"/>
        <v>적합</v>
      </c>
      <c r="M45" s="27">
        <f>'09_보상연계'!O35</f>
        <v>37270000</v>
      </c>
      <c r="N45" s="19">
        <f t="shared" si="9"/>
        <v>0.38818181818181818</v>
      </c>
      <c r="O45" s="15" t="str">
        <f t="shared" si="10"/>
        <v>적합</v>
      </c>
      <c r="P45" s="15" t="str">
        <f t="shared" si="11"/>
        <v>적합</v>
      </c>
      <c r="Q45" s="27">
        <f t="shared" si="12"/>
        <v>0</v>
      </c>
    </row>
    <row r="46" spans="1:17" x14ac:dyDescent="0.6">
      <c r="A46" s="15">
        <f>'01_인적정보'!A35</f>
        <v>31</v>
      </c>
      <c r="B46" s="15" t="str">
        <f>'01_인적정보'!B35</f>
        <v>BSS-031</v>
      </c>
      <c r="C46" s="15" t="str">
        <f>'01_인적정보'!C35</f>
        <v>이정일</v>
      </c>
      <c r="D46" s="15" t="str">
        <f>'01_인적정보'!D35</f>
        <v>설계</v>
      </c>
      <c r="E46" s="15" t="str">
        <f>'01_인적정보'!F35</f>
        <v>컨설팅본부</v>
      </c>
      <c r="F46" s="15" t="str">
        <f>'01_인적정보'!H35</f>
        <v>G1</v>
      </c>
      <c r="G46" s="27">
        <f>'09_보상연계'!F36</f>
        <v>37090000</v>
      </c>
      <c r="H46" s="27">
        <f t="shared" si="4"/>
        <v>33000000</v>
      </c>
      <c r="I46" s="27">
        <f t="shared" si="5"/>
        <v>38500000</v>
      </c>
      <c r="J46" s="27">
        <f t="shared" si="6"/>
        <v>44000000</v>
      </c>
      <c r="K46" s="19">
        <f t="shared" si="7"/>
        <v>0.37181818181818183</v>
      </c>
      <c r="L46" s="15" t="str">
        <f t="shared" si="8"/>
        <v>적합</v>
      </c>
      <c r="M46" s="27">
        <f>'09_보상연계'!O36</f>
        <v>37830000</v>
      </c>
      <c r="N46" s="19">
        <f t="shared" si="9"/>
        <v>0.43909090909090909</v>
      </c>
      <c r="O46" s="15" t="str">
        <f t="shared" si="10"/>
        <v>적합</v>
      </c>
      <c r="P46" s="15" t="str">
        <f t="shared" si="11"/>
        <v>적합</v>
      </c>
      <c r="Q46" s="27">
        <f t="shared" si="12"/>
        <v>0</v>
      </c>
    </row>
    <row r="47" spans="1:17" x14ac:dyDescent="0.6">
      <c r="A47" s="15">
        <f>'01_인적정보'!A36</f>
        <v>32</v>
      </c>
      <c r="B47" s="15" t="str">
        <f>'01_인적정보'!B36</f>
        <v>BSS-032</v>
      </c>
      <c r="C47" s="15" t="str">
        <f>'01_인적정보'!C36</f>
        <v>안재성</v>
      </c>
      <c r="D47" s="15" t="str">
        <f>'01_인적정보'!D36</f>
        <v>설계</v>
      </c>
      <c r="E47" s="15" t="str">
        <f>'01_인적정보'!F36</f>
        <v>컨설팅본부</v>
      </c>
      <c r="F47" s="15" t="str">
        <f>'01_인적정보'!H36</f>
        <v>G1</v>
      </c>
      <c r="G47" s="27">
        <f>'09_보상연계'!F37</f>
        <v>32000000</v>
      </c>
      <c r="H47" s="27">
        <f t="shared" si="4"/>
        <v>33000000</v>
      </c>
      <c r="I47" s="27">
        <f t="shared" si="5"/>
        <v>38500000</v>
      </c>
      <c r="J47" s="27">
        <f t="shared" si="6"/>
        <v>44000000</v>
      </c>
      <c r="K47" s="19">
        <f t="shared" si="7"/>
        <v>-9.0909090909090912E-2</v>
      </c>
      <c r="L47" s="15" t="str">
        <f t="shared" si="8"/>
        <v>이탈</v>
      </c>
      <c r="M47" s="27">
        <f>'09_보상연계'!O37</f>
        <v>32640000</v>
      </c>
      <c r="N47" s="19">
        <f t="shared" si="9"/>
        <v>-3.272727272727273E-2</v>
      </c>
      <c r="O47" s="15" t="str">
        <f t="shared" si="10"/>
        <v>이탈</v>
      </c>
      <c r="P47" s="15" t="str">
        <f t="shared" si="11"/>
        <v>지속이탈</v>
      </c>
      <c r="Q47" s="27">
        <f t="shared" si="12"/>
        <v>360000</v>
      </c>
    </row>
    <row r="48" spans="1:17" x14ac:dyDescent="0.6">
      <c r="A48" s="15">
        <f>'01_인적정보'!A37</f>
        <v>33</v>
      </c>
      <c r="B48" s="15" t="str">
        <f>'01_인적정보'!B37</f>
        <v>BSS-033</v>
      </c>
      <c r="C48" s="15" t="str">
        <f>'01_인적정보'!C37</f>
        <v>유태석</v>
      </c>
      <c r="D48" s="15" t="str">
        <f>'01_인적정보'!D37</f>
        <v>설계</v>
      </c>
      <c r="E48" s="15" t="str">
        <f>'01_인적정보'!F37</f>
        <v>컨설팅본부</v>
      </c>
      <c r="F48" s="15" t="str">
        <f>'01_인적정보'!H37</f>
        <v>G1</v>
      </c>
      <c r="G48" s="27">
        <f>'09_보상연계'!F38</f>
        <v>32000000</v>
      </c>
      <c r="H48" s="27">
        <f t="shared" si="4"/>
        <v>33000000</v>
      </c>
      <c r="I48" s="27">
        <f t="shared" si="5"/>
        <v>38500000</v>
      </c>
      <c r="J48" s="27">
        <f t="shared" si="6"/>
        <v>44000000</v>
      </c>
      <c r="K48" s="19">
        <f t="shared" si="7"/>
        <v>-9.0909090909090912E-2</v>
      </c>
      <c r="L48" s="15" t="str">
        <f t="shared" si="8"/>
        <v>이탈</v>
      </c>
      <c r="M48" s="27">
        <f>'09_보상연계'!O38</f>
        <v>32640000</v>
      </c>
      <c r="N48" s="19">
        <f t="shared" si="9"/>
        <v>-3.272727272727273E-2</v>
      </c>
      <c r="O48" s="15" t="str">
        <f t="shared" si="10"/>
        <v>이탈</v>
      </c>
      <c r="P48" s="15" t="str">
        <f t="shared" si="11"/>
        <v>지속이탈</v>
      </c>
      <c r="Q48" s="27">
        <f t="shared" si="12"/>
        <v>360000</v>
      </c>
    </row>
    <row r="49" spans="1:17" x14ac:dyDescent="0.6">
      <c r="A49" s="15">
        <f>'01_인적정보'!A38</f>
        <v>34</v>
      </c>
      <c r="B49" s="15" t="str">
        <f>'01_인적정보'!B38</f>
        <v>BSS-034</v>
      </c>
      <c r="C49" s="15" t="str">
        <f>'01_인적정보'!C38</f>
        <v>엄보근</v>
      </c>
      <c r="D49" s="15" t="str">
        <f>'01_인적정보'!D38</f>
        <v>설계</v>
      </c>
      <c r="E49" s="15" t="str">
        <f>'01_인적정보'!F38</f>
        <v>컨설팅본부</v>
      </c>
      <c r="F49" s="15" t="str">
        <f>'01_인적정보'!H38</f>
        <v>G1</v>
      </c>
      <c r="G49" s="27">
        <f>'09_보상연계'!F39</f>
        <v>32000000</v>
      </c>
      <c r="H49" s="27">
        <f t="shared" si="4"/>
        <v>33000000</v>
      </c>
      <c r="I49" s="27">
        <f t="shared" si="5"/>
        <v>38500000</v>
      </c>
      <c r="J49" s="27">
        <f t="shared" si="6"/>
        <v>44000000</v>
      </c>
      <c r="K49" s="19">
        <f t="shared" si="7"/>
        <v>-9.0909090909090912E-2</v>
      </c>
      <c r="L49" s="15" t="str">
        <f t="shared" si="8"/>
        <v>이탈</v>
      </c>
      <c r="M49" s="27">
        <f>'09_보상연계'!O39</f>
        <v>32640000</v>
      </c>
      <c r="N49" s="19">
        <f t="shared" si="9"/>
        <v>-3.272727272727273E-2</v>
      </c>
      <c r="O49" s="15" t="str">
        <f t="shared" si="10"/>
        <v>이탈</v>
      </c>
      <c r="P49" s="15" t="str">
        <f t="shared" si="11"/>
        <v>지속이탈</v>
      </c>
      <c r="Q49" s="27">
        <f t="shared" si="12"/>
        <v>360000</v>
      </c>
    </row>
  </sheetData>
  <mergeCells count="4">
    <mergeCell ref="A14:Q14"/>
    <mergeCell ref="A2:Q2"/>
    <mergeCell ref="A1:Q1"/>
    <mergeCell ref="A4:Q4"/>
  </mergeCells>
  <phoneticPr fontId="16" type="noConversion"/>
  <conditionalFormatting sqref="L16:L49">
    <cfRule type="cellIs" dxfId="27" priority="1" operator="equal">
      <formula>"적합"</formula>
    </cfRule>
    <cfRule type="cellIs" dxfId="26" priority="2" operator="equal">
      <formula>"이탈"</formula>
    </cfRule>
    <cfRule type="cellIs" dxfId="25" priority="3" operator="equal">
      <formula>"개선"</formula>
    </cfRule>
    <cfRule type="cellIs" dxfId="24" priority="4" operator="equal">
      <formula>"신규이탈"</formula>
    </cfRule>
    <cfRule type="cellIs" dxfId="23" priority="5" operator="equal">
      <formula>"지속이탈"</formula>
    </cfRule>
  </conditionalFormatting>
  <conditionalFormatting sqref="O16:P49">
    <cfRule type="cellIs" dxfId="22" priority="6" operator="equal">
      <formula>"적합"</formula>
    </cfRule>
    <cfRule type="cellIs" dxfId="21" priority="7" operator="equal">
      <formula>"이탈"</formula>
    </cfRule>
    <cfRule type="cellIs" dxfId="20" priority="8" operator="equal">
      <formula>"개선"</formula>
    </cfRule>
    <cfRule type="cellIs" dxfId="19" priority="9" operator="equal">
      <formula>"신규이탈"</formula>
    </cfRule>
    <cfRule type="cellIs" dxfId="18" priority="10" operator="equal">
      <formula>"지속이탈"</formula>
    </cfRule>
  </conditionalFormatting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R51"/>
  <sheetViews>
    <sheetView showGridLines="0" workbookViewId="0">
      <pane xSplit="3" ySplit="17" topLeftCell="D18" activePane="bottomRight" state="frozen"/>
      <selection pane="topRight"/>
      <selection pane="bottomLeft"/>
      <selection pane="bottomRight" activeCell="H25" sqref="H25"/>
    </sheetView>
  </sheetViews>
  <sheetFormatPr defaultRowHeight="16.899999999999999" x14ac:dyDescent="0.6"/>
  <cols>
    <col min="1" max="1" width="5" customWidth="1"/>
    <col min="2" max="3" width="11" customWidth="1"/>
    <col min="4" max="4" width="14" customWidth="1"/>
    <col min="5" max="5" width="10" customWidth="1"/>
    <col min="6" max="6" width="13" customWidth="1"/>
    <col min="7" max="8" width="9" customWidth="1"/>
    <col min="9" max="9" width="13" customWidth="1"/>
    <col min="10" max="10" width="11" customWidth="1"/>
    <col min="11" max="12" width="12" customWidth="1"/>
    <col min="13" max="13" width="11" customWidth="1"/>
    <col min="14" max="14" width="12" customWidth="1"/>
    <col min="15" max="15" width="13" customWidth="1"/>
    <col min="16" max="16" width="9" customWidth="1"/>
    <col min="17" max="17" width="7" customWidth="1"/>
    <col min="18" max="18" width="14" customWidth="1"/>
  </cols>
  <sheetData>
    <row r="1" spans="1:18" ht="28.05" customHeight="1" x14ac:dyDescent="0.6">
      <c r="A1" s="51" t="s">
        <v>596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</row>
    <row r="2" spans="1:18" ht="18" customHeight="1" x14ac:dyDescent="0.6">
      <c r="A2" s="48" t="s">
        <v>597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</row>
    <row r="4" spans="1:18" ht="22.05" customHeight="1" x14ac:dyDescent="0.6">
      <c r="A4" s="45" t="s">
        <v>598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</row>
    <row r="5" spans="1:18" x14ac:dyDescent="0.6">
      <c r="A5" s="58" t="s">
        <v>249</v>
      </c>
      <c r="B5" s="38"/>
      <c r="C5" s="38"/>
      <c r="D5" s="39"/>
      <c r="E5" s="58" t="s">
        <v>250</v>
      </c>
      <c r="F5" s="38"/>
      <c r="G5" s="38"/>
      <c r="H5" s="39"/>
      <c r="I5" s="58" t="s">
        <v>251</v>
      </c>
      <c r="J5" s="38"/>
      <c r="K5" s="38"/>
      <c r="L5" s="39"/>
      <c r="M5" s="58" t="s">
        <v>257</v>
      </c>
      <c r="N5" s="38"/>
      <c r="O5" s="38"/>
      <c r="P5" s="39"/>
    </row>
    <row r="6" spans="1:18" ht="28.05" customHeight="1" x14ac:dyDescent="0.6">
      <c r="A6" s="55">
        <f>COUNTA('01_인적정보'!C5:C38)</f>
        <v>34</v>
      </c>
      <c r="B6" s="38"/>
      <c r="C6" s="38"/>
      <c r="D6" s="39"/>
      <c r="E6" s="56">
        <f>'09_보상연계'!F41</f>
        <v>1687275000</v>
      </c>
      <c r="F6" s="38"/>
      <c r="G6" s="38"/>
      <c r="H6" s="39"/>
      <c r="I6" s="56">
        <f>'09_보상연계'!O41</f>
        <v>1721010000</v>
      </c>
      <c r="J6" s="38"/>
      <c r="K6" s="38"/>
      <c r="L6" s="39"/>
      <c r="M6" s="56">
        <f>'09_보상연계'!P41</f>
        <v>33735000</v>
      </c>
      <c r="N6" s="38"/>
      <c r="O6" s="38"/>
      <c r="P6" s="39"/>
    </row>
    <row r="8" spans="1:18" x14ac:dyDescent="0.6">
      <c r="A8" s="58" t="s">
        <v>258</v>
      </c>
      <c r="B8" s="38"/>
      <c r="C8" s="38"/>
      <c r="D8" s="39"/>
      <c r="E8" s="58" t="s">
        <v>259</v>
      </c>
      <c r="F8" s="38"/>
      <c r="G8" s="38"/>
      <c r="H8" s="39"/>
      <c r="I8" s="58" t="s">
        <v>599</v>
      </c>
      <c r="J8" s="38"/>
      <c r="K8" s="38"/>
      <c r="L8" s="39"/>
      <c r="M8" s="58" t="s">
        <v>276</v>
      </c>
      <c r="N8" s="38"/>
      <c r="O8" s="38"/>
      <c r="P8" s="39"/>
    </row>
    <row r="9" spans="1:18" ht="28.05" customHeight="1" x14ac:dyDescent="0.6">
      <c r="A9" s="59">
        <f>'09_보상연계'!K41</f>
        <v>2.0000000000000007E-2</v>
      </c>
      <c r="B9" s="38"/>
      <c r="C9" s="38"/>
      <c r="D9" s="39"/>
      <c r="E9" s="56">
        <f>'10_성과급관리'!L44</f>
        <v>0</v>
      </c>
      <c r="F9" s="38"/>
      <c r="G9" s="38"/>
      <c r="H9" s="39"/>
      <c r="I9" s="56">
        <f>'09_보상연계'!P41+'10_성과급관리'!L44</f>
        <v>33735000</v>
      </c>
      <c r="J9" s="38"/>
      <c r="K9" s="38"/>
      <c r="L9" s="39"/>
      <c r="M9" s="61">
        <f>IFERROR(COUNTIF('11_페이밴드검증'!O16:O49,"적합")/34,0)</f>
        <v>0.88235294117647056</v>
      </c>
      <c r="N9" s="38"/>
      <c r="O9" s="38"/>
      <c r="P9" s="39"/>
    </row>
    <row r="11" spans="1:18" x14ac:dyDescent="0.6">
      <c r="A11" s="58" t="s">
        <v>600</v>
      </c>
      <c r="B11" s="38"/>
      <c r="C11" s="38"/>
      <c r="D11" s="39"/>
      <c r="E11" s="58" t="s">
        <v>601</v>
      </c>
      <c r="F11" s="38"/>
      <c r="G11" s="38"/>
      <c r="H11" s="39"/>
      <c r="I11" s="58" t="s">
        <v>602</v>
      </c>
      <c r="J11" s="38"/>
      <c r="K11" s="38"/>
      <c r="L11" s="39"/>
      <c r="M11" s="58" t="s">
        <v>603</v>
      </c>
      <c r="N11" s="38"/>
      <c r="O11" s="38"/>
      <c r="P11" s="39"/>
    </row>
    <row r="12" spans="1:18" ht="28.05" customHeight="1" x14ac:dyDescent="0.6">
      <c r="A12" s="55">
        <f>COUNTIF('08_종합평가'!U6:U39,"S")</f>
        <v>0</v>
      </c>
      <c r="B12" s="38"/>
      <c r="C12" s="38"/>
      <c r="D12" s="39"/>
      <c r="E12" s="55">
        <f>COUNTIF('08_종합평가'!U6:U39,"A")</f>
        <v>0</v>
      </c>
      <c r="F12" s="38"/>
      <c r="G12" s="38"/>
      <c r="H12" s="39"/>
      <c r="I12" s="55">
        <f>COUNTIF('08_종합평가'!U6:U39,"B")</f>
        <v>0</v>
      </c>
      <c r="J12" s="38"/>
      <c r="K12" s="38"/>
      <c r="L12" s="39"/>
      <c r="M12" s="55">
        <f>COUNTIF('08_종합평가'!U6:U39,"C")+COUNTIF('08_종합평가'!U6:U39,"D")</f>
        <v>34</v>
      </c>
      <c r="N12" s="38"/>
      <c r="O12" s="38"/>
      <c r="P12" s="39"/>
    </row>
    <row r="16" spans="1:18" ht="22.05" customHeight="1" x14ac:dyDescent="0.6">
      <c r="A16" s="45" t="s">
        <v>604</v>
      </c>
      <c r="B16" s="43"/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</row>
    <row r="17" spans="1:18" x14ac:dyDescent="0.6">
      <c r="A17" s="2" t="s">
        <v>131</v>
      </c>
      <c r="B17" s="2" t="s">
        <v>132</v>
      </c>
      <c r="C17" s="2" t="s">
        <v>133</v>
      </c>
      <c r="D17" s="2" t="s">
        <v>136</v>
      </c>
      <c r="E17" s="2" t="s">
        <v>105</v>
      </c>
      <c r="F17" s="2" t="s">
        <v>585</v>
      </c>
      <c r="G17" s="2" t="s">
        <v>549</v>
      </c>
      <c r="H17" s="2" t="s">
        <v>605</v>
      </c>
      <c r="I17" s="2" t="s">
        <v>591</v>
      </c>
      <c r="J17" s="2" t="s">
        <v>562</v>
      </c>
      <c r="K17" s="2" t="s">
        <v>586</v>
      </c>
      <c r="L17" s="2" t="s">
        <v>588</v>
      </c>
      <c r="M17" s="2" t="s">
        <v>606</v>
      </c>
      <c r="N17" s="2" t="s">
        <v>607</v>
      </c>
      <c r="O17" s="2" t="s">
        <v>608</v>
      </c>
      <c r="P17" s="2" t="s">
        <v>609</v>
      </c>
      <c r="Q17" s="2" t="s">
        <v>610</v>
      </c>
      <c r="R17" s="2" t="s">
        <v>561</v>
      </c>
    </row>
    <row r="18" spans="1:18" x14ac:dyDescent="0.6">
      <c r="A18" s="15">
        <f>'01_인적정보'!A5</f>
        <v>1</v>
      </c>
      <c r="B18" s="15" t="str">
        <f>'01_인적정보'!B5</f>
        <v>BSS-001</v>
      </c>
      <c r="C18" s="15" t="str">
        <f>'01_인적정보'!C5</f>
        <v>이화형</v>
      </c>
      <c r="D18" s="15" t="str">
        <f>'01_인적정보'!F5</f>
        <v>스마트사업부</v>
      </c>
      <c r="E18" s="15" t="str">
        <f>'01_인적정보'!H5</f>
        <v>G6</v>
      </c>
      <c r="F18" s="27">
        <f>'09_보상연계'!F6</f>
        <v>72500000</v>
      </c>
      <c r="G18" s="15" t="str">
        <f>'08_종합평가'!U6</f>
        <v>D</v>
      </c>
      <c r="H18" s="23">
        <f>'09_보상연계'!K6</f>
        <v>0.02</v>
      </c>
      <c r="I18" s="27">
        <f>'09_보상연계'!N6</f>
        <v>73950000</v>
      </c>
      <c r="J18" s="27">
        <f>'09_보상연계'!P6</f>
        <v>1450000</v>
      </c>
      <c r="K18" s="27">
        <f>'11_페이밴드검증'!H16</f>
        <v>58000000</v>
      </c>
      <c r="L18" s="27">
        <f>'11_페이밴드검증'!J16</f>
        <v>80000000</v>
      </c>
      <c r="M18" s="15" t="str">
        <f>'11_페이밴드검증'!P16</f>
        <v>적합</v>
      </c>
      <c r="N18" s="27">
        <f>'10_성과급관리'!L9</f>
        <v>0</v>
      </c>
      <c r="O18" s="27">
        <f t="shared" ref="O18:O51" si="0">IF(OR(J18="",N18=""),"",J18+N18)</f>
        <v>1450000</v>
      </c>
      <c r="P18" s="19">
        <f t="shared" ref="P18:P51" si="1">IF(OR(O18="",F18=0),"",O18/F18)</f>
        <v>0.02</v>
      </c>
      <c r="Q18" s="15">
        <f>'09_보상연계'!I6</f>
        <v>0</v>
      </c>
      <c r="R18" s="27">
        <f>'09_보상연계'!O6</f>
        <v>73950000</v>
      </c>
    </row>
    <row r="19" spans="1:18" x14ac:dyDescent="0.6">
      <c r="A19" s="15">
        <f>'01_인적정보'!A6</f>
        <v>2</v>
      </c>
      <c r="B19" s="15" t="str">
        <f>'01_인적정보'!B6</f>
        <v>BSS-002</v>
      </c>
      <c r="C19" s="15" t="str">
        <f>'01_인적정보'!C6</f>
        <v>강전용</v>
      </c>
      <c r="D19" s="15" t="str">
        <f>'01_인적정보'!F6</f>
        <v>R&amp;D 본부</v>
      </c>
      <c r="E19" s="15" t="str">
        <f>'01_인적정보'!H6</f>
        <v>G6</v>
      </c>
      <c r="F19" s="27">
        <f>'09_보상연계'!F7</f>
        <v>68870000</v>
      </c>
      <c r="G19" s="15" t="str">
        <f>'08_종합평가'!U7</f>
        <v>D</v>
      </c>
      <c r="H19" s="23">
        <f>'09_보상연계'!K7</f>
        <v>0.02</v>
      </c>
      <c r="I19" s="27">
        <f>'09_보상연계'!N7</f>
        <v>70250000</v>
      </c>
      <c r="J19" s="27">
        <f>'09_보상연계'!P7</f>
        <v>1380000</v>
      </c>
      <c r="K19" s="27">
        <f>'11_페이밴드검증'!H17</f>
        <v>58000000</v>
      </c>
      <c r="L19" s="27">
        <f>'11_페이밴드검증'!J17</f>
        <v>80000000</v>
      </c>
      <c r="M19" s="15" t="str">
        <f>'11_페이밴드검증'!P17</f>
        <v>적합</v>
      </c>
      <c r="N19" s="27">
        <f>'10_성과급관리'!L10</f>
        <v>0</v>
      </c>
      <c r="O19" s="27">
        <f t="shared" si="0"/>
        <v>1380000</v>
      </c>
      <c r="P19" s="19">
        <f t="shared" si="1"/>
        <v>2.0037752286917381E-2</v>
      </c>
      <c r="Q19" s="15">
        <f>'09_보상연계'!I7</f>
        <v>0</v>
      </c>
      <c r="R19" s="27">
        <f>'09_보상연계'!O7</f>
        <v>70250000</v>
      </c>
    </row>
    <row r="20" spans="1:18" x14ac:dyDescent="0.6">
      <c r="A20" s="15">
        <f>'01_인적정보'!A7</f>
        <v>3</v>
      </c>
      <c r="B20" s="15" t="str">
        <f>'01_인적정보'!B7</f>
        <v>BSS-003</v>
      </c>
      <c r="C20" s="15" t="str">
        <f>'01_인적정보'!C7</f>
        <v>김현민</v>
      </c>
      <c r="D20" s="15" t="str">
        <f>'01_인적정보'!F7</f>
        <v>컨설팅본부</v>
      </c>
      <c r="E20" s="15" t="str">
        <f>'01_인적정보'!H7</f>
        <v>G6</v>
      </c>
      <c r="F20" s="27">
        <f>'09_보상연계'!F8</f>
        <v>67500000</v>
      </c>
      <c r="G20" s="15" t="str">
        <f>'08_종합평가'!U8</f>
        <v>D</v>
      </c>
      <c r="H20" s="23">
        <f>'09_보상연계'!K8</f>
        <v>0.02</v>
      </c>
      <c r="I20" s="27">
        <f>'09_보상연계'!N8</f>
        <v>68850000</v>
      </c>
      <c r="J20" s="27">
        <f>'09_보상연계'!P8</f>
        <v>1350000</v>
      </c>
      <c r="K20" s="27">
        <f>'11_페이밴드검증'!H18</f>
        <v>58000000</v>
      </c>
      <c r="L20" s="27">
        <f>'11_페이밴드검증'!J18</f>
        <v>80000000</v>
      </c>
      <c r="M20" s="15" t="str">
        <f>'11_페이밴드검증'!P18</f>
        <v>적합</v>
      </c>
      <c r="N20" s="27">
        <f>'10_성과급관리'!L11</f>
        <v>0</v>
      </c>
      <c r="O20" s="27">
        <f t="shared" si="0"/>
        <v>1350000</v>
      </c>
      <c r="P20" s="19">
        <f t="shared" si="1"/>
        <v>0.02</v>
      </c>
      <c r="Q20" s="15">
        <f>'09_보상연계'!I8</f>
        <v>0</v>
      </c>
      <c r="R20" s="27">
        <f>'09_보상연계'!O8</f>
        <v>68850000</v>
      </c>
    </row>
    <row r="21" spans="1:18" x14ac:dyDescent="0.6">
      <c r="A21" s="15">
        <f>'01_인적정보'!A8</f>
        <v>4</v>
      </c>
      <c r="B21" s="15" t="str">
        <f>'01_인적정보'!B8</f>
        <v>BSS-004</v>
      </c>
      <c r="C21" s="15" t="str">
        <f>'01_인적정보'!C8</f>
        <v>이일곤</v>
      </c>
      <c r="D21" s="15" t="str">
        <f>'01_인적정보'!F8</f>
        <v>경영전략실</v>
      </c>
      <c r="E21" s="15" t="str">
        <f>'01_인적정보'!H8</f>
        <v>G6</v>
      </c>
      <c r="F21" s="27">
        <f>'09_보상연계'!F9</f>
        <v>64530000</v>
      </c>
      <c r="G21" s="15" t="str">
        <f>'08_종합평가'!U9</f>
        <v>D</v>
      </c>
      <c r="H21" s="23">
        <f>'09_보상연계'!K9</f>
        <v>0.02</v>
      </c>
      <c r="I21" s="27">
        <f>'09_보상연계'!N9</f>
        <v>65820000</v>
      </c>
      <c r="J21" s="27">
        <f>'09_보상연계'!P9</f>
        <v>1290000</v>
      </c>
      <c r="K21" s="27">
        <f>'11_페이밴드검증'!H19</f>
        <v>58000000</v>
      </c>
      <c r="L21" s="27">
        <f>'11_페이밴드검증'!J19</f>
        <v>80000000</v>
      </c>
      <c r="M21" s="15" t="str">
        <f>'11_페이밴드검증'!P19</f>
        <v>적합</v>
      </c>
      <c r="N21" s="27">
        <f>'10_성과급관리'!L12</f>
        <v>0</v>
      </c>
      <c r="O21" s="27">
        <f t="shared" si="0"/>
        <v>1290000</v>
      </c>
      <c r="P21" s="19">
        <f t="shared" si="1"/>
        <v>1.9990701999070201E-2</v>
      </c>
      <c r="Q21" s="15">
        <f>'09_보상연계'!I9</f>
        <v>0</v>
      </c>
      <c r="R21" s="27">
        <f>'09_보상연계'!O9</f>
        <v>65820000</v>
      </c>
    </row>
    <row r="22" spans="1:18" x14ac:dyDescent="0.6">
      <c r="A22" s="15">
        <f>'01_인적정보'!A9</f>
        <v>5</v>
      </c>
      <c r="B22" s="15" t="str">
        <f>'01_인적정보'!B9</f>
        <v>BSS-005</v>
      </c>
      <c r="C22" s="15" t="str">
        <f>'01_인적정보'!C9</f>
        <v>송헌영</v>
      </c>
      <c r="D22" s="15" t="str">
        <f>'01_인적정보'!F9</f>
        <v>경영전략실</v>
      </c>
      <c r="E22" s="15" t="str">
        <f>'01_인적정보'!H9</f>
        <v>G6</v>
      </c>
      <c r="F22" s="27">
        <f>'09_보상연계'!F10</f>
        <v>65180000</v>
      </c>
      <c r="G22" s="15" t="str">
        <f>'08_종합평가'!U10</f>
        <v>D</v>
      </c>
      <c r="H22" s="23">
        <f>'09_보상연계'!K10</f>
        <v>0.02</v>
      </c>
      <c r="I22" s="27">
        <f>'09_보상연계'!N10</f>
        <v>66480000</v>
      </c>
      <c r="J22" s="27">
        <f>'09_보상연계'!P10</f>
        <v>1300000</v>
      </c>
      <c r="K22" s="27">
        <f>'11_페이밴드검증'!H20</f>
        <v>58000000</v>
      </c>
      <c r="L22" s="27">
        <f>'11_페이밴드검증'!J20</f>
        <v>80000000</v>
      </c>
      <c r="M22" s="15" t="str">
        <f>'11_페이밴드검증'!P20</f>
        <v>적합</v>
      </c>
      <c r="N22" s="27">
        <f>'10_성과급관리'!L13</f>
        <v>0</v>
      </c>
      <c r="O22" s="27">
        <f t="shared" si="0"/>
        <v>1300000</v>
      </c>
      <c r="P22" s="19">
        <f t="shared" si="1"/>
        <v>1.9944768333844738E-2</v>
      </c>
      <c r="Q22" s="15">
        <f>'09_보상연계'!I10</f>
        <v>0</v>
      </c>
      <c r="R22" s="27">
        <f>'09_보상연계'!O10</f>
        <v>66480000</v>
      </c>
    </row>
    <row r="23" spans="1:18" x14ac:dyDescent="0.6">
      <c r="A23" s="15">
        <f>'01_인적정보'!A10</f>
        <v>6</v>
      </c>
      <c r="B23" s="15" t="str">
        <f>'01_인적정보'!B10</f>
        <v>BSS-006</v>
      </c>
      <c r="C23" s="15" t="str">
        <f>'01_인적정보'!C10</f>
        <v>이재용</v>
      </c>
      <c r="D23" s="15" t="str">
        <f>'01_인적정보'!F10</f>
        <v>경영전략실</v>
      </c>
      <c r="E23" s="15" t="str">
        <f>'01_인적정보'!H10</f>
        <v>G6</v>
      </c>
      <c r="F23" s="27">
        <f>'09_보상연계'!F11</f>
        <v>62000000</v>
      </c>
      <c r="G23" s="15" t="str">
        <f>'08_종합평가'!U11</f>
        <v>D</v>
      </c>
      <c r="H23" s="23">
        <f>'09_보상연계'!K11</f>
        <v>0.02</v>
      </c>
      <c r="I23" s="27">
        <f>'09_보상연계'!N11</f>
        <v>63240000</v>
      </c>
      <c r="J23" s="27">
        <f>'09_보상연계'!P11</f>
        <v>1240000</v>
      </c>
      <c r="K23" s="27">
        <f>'11_페이밴드검증'!H21</f>
        <v>58000000</v>
      </c>
      <c r="L23" s="27">
        <f>'11_페이밴드검증'!J21</f>
        <v>80000000</v>
      </c>
      <c r="M23" s="15" t="str">
        <f>'11_페이밴드검증'!P21</f>
        <v>적합</v>
      </c>
      <c r="N23" s="27">
        <f>'10_성과급관리'!L14</f>
        <v>0</v>
      </c>
      <c r="O23" s="27">
        <f t="shared" si="0"/>
        <v>1240000</v>
      </c>
      <c r="P23" s="19">
        <f t="shared" si="1"/>
        <v>0.02</v>
      </c>
      <c r="Q23" s="15">
        <f>'09_보상연계'!I11</f>
        <v>0</v>
      </c>
      <c r="R23" s="27">
        <f>'09_보상연계'!O11</f>
        <v>63240000</v>
      </c>
    </row>
    <row r="24" spans="1:18" x14ac:dyDescent="0.6">
      <c r="A24" s="15">
        <f>'01_인적정보'!A11</f>
        <v>7</v>
      </c>
      <c r="B24" s="15" t="str">
        <f>'01_인적정보'!B11</f>
        <v>BSS-007</v>
      </c>
      <c r="C24" s="15" t="str">
        <f>'01_인적정보'!C11</f>
        <v>이진행</v>
      </c>
      <c r="D24" s="15" t="str">
        <f>'01_인적정보'!F11</f>
        <v>솔루션본부</v>
      </c>
      <c r="E24" s="15" t="str">
        <f>'01_인적정보'!H11</f>
        <v>G5</v>
      </c>
      <c r="F24" s="27">
        <f>'09_보상연계'!F12</f>
        <v>59700000</v>
      </c>
      <c r="G24" s="15" t="str">
        <f>'08_종합평가'!U12</f>
        <v>D</v>
      </c>
      <c r="H24" s="23">
        <f>'09_보상연계'!K12</f>
        <v>0.02</v>
      </c>
      <c r="I24" s="27">
        <f>'09_보상연계'!N12</f>
        <v>60890000</v>
      </c>
      <c r="J24" s="27">
        <f>'09_보상연계'!P12</f>
        <v>1190000</v>
      </c>
      <c r="K24" s="27">
        <f>'11_페이밴드검증'!H22</f>
        <v>53000000</v>
      </c>
      <c r="L24" s="27">
        <f>'11_페이밴드검증'!J22</f>
        <v>73000000</v>
      </c>
      <c r="M24" s="15" t="str">
        <f>'11_페이밴드검증'!P22</f>
        <v>적합</v>
      </c>
      <c r="N24" s="27">
        <f>'10_성과급관리'!L15</f>
        <v>0</v>
      </c>
      <c r="O24" s="27">
        <f t="shared" si="0"/>
        <v>1190000</v>
      </c>
      <c r="P24" s="19">
        <f t="shared" si="1"/>
        <v>1.9932998324958123E-2</v>
      </c>
      <c r="Q24" s="15">
        <f>'09_보상연계'!I12</f>
        <v>0</v>
      </c>
      <c r="R24" s="27">
        <f>'09_보상연계'!O12</f>
        <v>60890000</v>
      </c>
    </row>
    <row r="25" spans="1:18" x14ac:dyDescent="0.6">
      <c r="A25" s="15">
        <f>'01_인적정보'!A12</f>
        <v>8</v>
      </c>
      <c r="B25" s="15" t="str">
        <f>'01_인적정보'!B12</f>
        <v>BSS-008</v>
      </c>
      <c r="C25" s="15" t="str">
        <f>'01_인적정보'!C12</f>
        <v>김민수</v>
      </c>
      <c r="D25" s="15" t="str">
        <f>'01_인적정보'!F12</f>
        <v>솔루션본부</v>
      </c>
      <c r="E25" s="15" t="str">
        <f>'01_인적정보'!H12</f>
        <v>G5</v>
      </c>
      <c r="F25" s="27">
        <f>'09_보상연계'!F13</f>
        <v>59050000</v>
      </c>
      <c r="G25" s="15" t="str">
        <f>'08_종합평가'!U13</f>
        <v>D</v>
      </c>
      <c r="H25" s="23">
        <f>'09_보상연계'!K13</f>
        <v>0.02</v>
      </c>
      <c r="I25" s="27">
        <f>'09_보상연계'!N13</f>
        <v>60230000</v>
      </c>
      <c r="J25" s="27">
        <f>'09_보상연계'!P13</f>
        <v>1180000</v>
      </c>
      <c r="K25" s="27">
        <f>'11_페이밴드검증'!H23</f>
        <v>53000000</v>
      </c>
      <c r="L25" s="27">
        <f>'11_페이밴드검증'!J23</f>
        <v>73000000</v>
      </c>
      <c r="M25" s="15" t="str">
        <f>'11_페이밴드검증'!P23</f>
        <v>적합</v>
      </c>
      <c r="N25" s="27">
        <f>'10_성과급관리'!L16</f>
        <v>0</v>
      </c>
      <c r="O25" s="27">
        <f t="shared" si="0"/>
        <v>1180000</v>
      </c>
      <c r="P25" s="19">
        <f t="shared" si="1"/>
        <v>1.998306519898391E-2</v>
      </c>
      <c r="Q25" s="15">
        <f>'09_보상연계'!I13</f>
        <v>0</v>
      </c>
      <c r="R25" s="27">
        <f>'09_보상연계'!O13</f>
        <v>60230000</v>
      </c>
    </row>
    <row r="26" spans="1:18" x14ac:dyDescent="0.6">
      <c r="A26" s="15">
        <f>'01_인적정보'!A13</f>
        <v>9</v>
      </c>
      <c r="B26" s="15" t="str">
        <f>'01_인적정보'!B13</f>
        <v>BSS-009</v>
      </c>
      <c r="C26" s="15" t="str">
        <f>'01_인적정보'!C13</f>
        <v>박남식</v>
      </c>
      <c r="D26" s="15" t="str">
        <f>'01_인적정보'!F13</f>
        <v>컨설팅본부</v>
      </c>
      <c r="E26" s="15" t="str">
        <f>'01_인적정보'!H13</f>
        <v>G5</v>
      </c>
      <c r="F26" s="27">
        <f>'09_보상연계'!F14</f>
        <v>59050000</v>
      </c>
      <c r="G26" s="15" t="str">
        <f>'08_종합평가'!U14</f>
        <v>D</v>
      </c>
      <c r="H26" s="23">
        <f>'09_보상연계'!K14</f>
        <v>0.02</v>
      </c>
      <c r="I26" s="27">
        <f>'09_보상연계'!N14</f>
        <v>60230000</v>
      </c>
      <c r="J26" s="27">
        <f>'09_보상연계'!P14</f>
        <v>1180000</v>
      </c>
      <c r="K26" s="27">
        <f>'11_페이밴드검증'!H24</f>
        <v>53000000</v>
      </c>
      <c r="L26" s="27">
        <f>'11_페이밴드검증'!J24</f>
        <v>73000000</v>
      </c>
      <c r="M26" s="15" t="str">
        <f>'11_페이밴드검증'!P24</f>
        <v>적합</v>
      </c>
      <c r="N26" s="27">
        <f>'10_성과급관리'!L17</f>
        <v>0</v>
      </c>
      <c r="O26" s="27">
        <f t="shared" si="0"/>
        <v>1180000</v>
      </c>
      <c r="P26" s="19">
        <f t="shared" si="1"/>
        <v>1.998306519898391E-2</v>
      </c>
      <c r="Q26" s="15">
        <f>'09_보상연계'!I14</f>
        <v>0</v>
      </c>
      <c r="R26" s="27">
        <f>'09_보상연계'!O14</f>
        <v>60230000</v>
      </c>
    </row>
    <row r="27" spans="1:18" x14ac:dyDescent="0.6">
      <c r="A27" s="15">
        <f>'01_인적정보'!A14</f>
        <v>10</v>
      </c>
      <c r="B27" s="15" t="str">
        <f>'01_인적정보'!B14</f>
        <v>BSS-010</v>
      </c>
      <c r="C27" s="15" t="str">
        <f>'01_인적정보'!C14</f>
        <v>신재민</v>
      </c>
      <c r="D27" s="15" t="str">
        <f>'01_인적정보'!F14</f>
        <v>컨설팅본부</v>
      </c>
      <c r="E27" s="15" t="str">
        <f>'01_인적정보'!H14</f>
        <v>G5</v>
      </c>
      <c r="F27" s="27">
        <f>'09_보상연계'!F15</f>
        <v>59050000</v>
      </c>
      <c r="G27" s="15" t="str">
        <f>'08_종합평가'!U15</f>
        <v>D</v>
      </c>
      <c r="H27" s="23">
        <f>'09_보상연계'!K15</f>
        <v>0.02</v>
      </c>
      <c r="I27" s="27">
        <f>'09_보상연계'!N15</f>
        <v>60230000</v>
      </c>
      <c r="J27" s="27">
        <f>'09_보상연계'!P15</f>
        <v>1180000</v>
      </c>
      <c r="K27" s="27">
        <f>'11_페이밴드검증'!H25</f>
        <v>53000000</v>
      </c>
      <c r="L27" s="27">
        <f>'11_페이밴드검증'!J25</f>
        <v>73000000</v>
      </c>
      <c r="M27" s="15" t="str">
        <f>'11_페이밴드검증'!P25</f>
        <v>적합</v>
      </c>
      <c r="N27" s="27">
        <f>'10_성과급관리'!L18</f>
        <v>0</v>
      </c>
      <c r="O27" s="27">
        <f t="shared" si="0"/>
        <v>1180000</v>
      </c>
      <c r="P27" s="19">
        <f t="shared" si="1"/>
        <v>1.998306519898391E-2</v>
      </c>
      <c r="Q27" s="15">
        <f>'09_보상연계'!I15</f>
        <v>0</v>
      </c>
      <c r="R27" s="27">
        <f>'09_보상연계'!O15</f>
        <v>60230000</v>
      </c>
    </row>
    <row r="28" spans="1:18" x14ac:dyDescent="0.6">
      <c r="A28" s="15">
        <f>'01_인적정보'!A15</f>
        <v>11</v>
      </c>
      <c r="B28" s="15" t="str">
        <f>'01_인적정보'!B15</f>
        <v>BSS-011</v>
      </c>
      <c r="C28" s="15" t="str">
        <f>'01_인적정보'!C15</f>
        <v>마장엽</v>
      </c>
      <c r="D28" s="15" t="str">
        <f>'01_인적정보'!F15</f>
        <v>컨설팅본부</v>
      </c>
      <c r="E28" s="15" t="str">
        <f>'01_인적정보'!H15</f>
        <v>G5</v>
      </c>
      <c r="F28" s="27">
        <f>'09_보상연계'!F16</f>
        <v>57760000</v>
      </c>
      <c r="G28" s="15" t="str">
        <f>'08_종합평가'!U16</f>
        <v>D</v>
      </c>
      <c r="H28" s="23">
        <f>'09_보상연계'!K16</f>
        <v>0.02</v>
      </c>
      <c r="I28" s="27">
        <f>'09_보상연계'!N16</f>
        <v>58920000</v>
      </c>
      <c r="J28" s="27">
        <f>'09_보상연계'!P16</f>
        <v>1160000</v>
      </c>
      <c r="K28" s="27">
        <f>'11_페이밴드검증'!H26</f>
        <v>53000000</v>
      </c>
      <c r="L28" s="27">
        <f>'11_페이밴드검증'!J26</f>
        <v>73000000</v>
      </c>
      <c r="M28" s="15" t="str">
        <f>'11_페이밴드검증'!P26</f>
        <v>적합</v>
      </c>
      <c r="N28" s="27">
        <f>'10_성과급관리'!L19</f>
        <v>0</v>
      </c>
      <c r="O28" s="27">
        <f t="shared" si="0"/>
        <v>1160000</v>
      </c>
      <c r="P28" s="19">
        <f t="shared" si="1"/>
        <v>2.0083102493074791E-2</v>
      </c>
      <c r="Q28" s="15">
        <f>'09_보상연계'!I16</f>
        <v>0</v>
      </c>
      <c r="R28" s="27">
        <f>'09_보상연계'!O16</f>
        <v>58920000</v>
      </c>
    </row>
    <row r="29" spans="1:18" x14ac:dyDescent="0.6">
      <c r="A29" s="15">
        <f>'01_인적정보'!A16</f>
        <v>12</v>
      </c>
      <c r="B29" s="15" t="str">
        <f>'01_인적정보'!B16</f>
        <v>BSS-012</v>
      </c>
      <c r="C29" s="15" t="str">
        <f>'01_인적정보'!C16</f>
        <v>하은주</v>
      </c>
      <c r="D29" s="15" t="str">
        <f>'01_인적정보'!F16</f>
        <v>마케팅팀</v>
      </c>
      <c r="E29" s="15" t="str">
        <f>'01_인적정보'!H16</f>
        <v>G5</v>
      </c>
      <c r="F29" s="27">
        <f>'09_보상연계'!F17</f>
        <v>57760000</v>
      </c>
      <c r="G29" s="15" t="str">
        <f>'08_종합평가'!U17</f>
        <v>D</v>
      </c>
      <c r="H29" s="23">
        <f>'09_보상연계'!K17</f>
        <v>0.02</v>
      </c>
      <c r="I29" s="27">
        <f>'09_보상연계'!N17</f>
        <v>58920000</v>
      </c>
      <c r="J29" s="27">
        <f>'09_보상연계'!P17</f>
        <v>1160000</v>
      </c>
      <c r="K29" s="27">
        <f>'11_페이밴드검증'!H27</f>
        <v>53000000</v>
      </c>
      <c r="L29" s="27">
        <f>'11_페이밴드검증'!J27</f>
        <v>73000000</v>
      </c>
      <c r="M29" s="15" t="str">
        <f>'11_페이밴드검증'!P27</f>
        <v>적합</v>
      </c>
      <c r="N29" s="27">
        <f>'10_성과급관리'!L20</f>
        <v>0</v>
      </c>
      <c r="O29" s="27">
        <f t="shared" si="0"/>
        <v>1160000</v>
      </c>
      <c r="P29" s="19">
        <f t="shared" si="1"/>
        <v>2.0083102493074791E-2</v>
      </c>
      <c r="Q29" s="15">
        <f>'09_보상연계'!I17</f>
        <v>0</v>
      </c>
      <c r="R29" s="27">
        <f>'09_보상연계'!O17</f>
        <v>58920000</v>
      </c>
    </row>
    <row r="30" spans="1:18" x14ac:dyDescent="0.6">
      <c r="A30" s="15">
        <f>'01_인적정보'!A17</f>
        <v>13</v>
      </c>
      <c r="B30" s="15" t="str">
        <f>'01_인적정보'!B17</f>
        <v>BSS-013</v>
      </c>
      <c r="C30" s="15" t="str">
        <f>'01_인적정보'!C17</f>
        <v>홍사훈</v>
      </c>
      <c r="D30" s="15" t="str">
        <f>'01_인적정보'!F17</f>
        <v>컨설팅본부</v>
      </c>
      <c r="E30" s="15" t="str">
        <f>'01_인적정보'!H17</f>
        <v>G5</v>
      </c>
      <c r="F30" s="27">
        <f>'09_보상연계'!F18</f>
        <v>58400000</v>
      </c>
      <c r="G30" s="15" t="str">
        <f>'08_종합평가'!U18</f>
        <v>D</v>
      </c>
      <c r="H30" s="23">
        <f>'09_보상연계'!K18</f>
        <v>0.02</v>
      </c>
      <c r="I30" s="27">
        <f>'09_보상연계'!N18</f>
        <v>59570000</v>
      </c>
      <c r="J30" s="27">
        <f>'09_보상연계'!P18</f>
        <v>1170000</v>
      </c>
      <c r="K30" s="27">
        <f>'11_페이밴드검증'!H28</f>
        <v>53000000</v>
      </c>
      <c r="L30" s="27">
        <f>'11_페이밴드검증'!J28</f>
        <v>73000000</v>
      </c>
      <c r="M30" s="15" t="str">
        <f>'11_페이밴드검증'!P28</f>
        <v>적합</v>
      </c>
      <c r="N30" s="27">
        <f>'10_성과급관리'!L21</f>
        <v>0</v>
      </c>
      <c r="O30" s="27">
        <f t="shared" si="0"/>
        <v>1170000</v>
      </c>
      <c r="P30" s="19">
        <f t="shared" si="1"/>
        <v>2.0034246575342467E-2</v>
      </c>
      <c r="Q30" s="15">
        <f>'09_보상연계'!I18</f>
        <v>0</v>
      </c>
      <c r="R30" s="27">
        <f>'09_보상연계'!O18</f>
        <v>59570000</v>
      </c>
    </row>
    <row r="31" spans="1:18" x14ac:dyDescent="0.6">
      <c r="A31" s="15">
        <f>'01_인적정보'!A18</f>
        <v>14</v>
      </c>
      <c r="B31" s="15" t="str">
        <f>'01_인적정보'!B18</f>
        <v>BSS-014</v>
      </c>
      <c r="C31" s="15" t="str">
        <f>'01_인적정보'!C18</f>
        <v>유자영</v>
      </c>
      <c r="D31" s="15" t="str">
        <f>'01_인적정보'!F18</f>
        <v>컨설팅본부</v>
      </c>
      <c r="E31" s="15" t="str">
        <f>'01_인적정보'!H18</f>
        <v>G5</v>
      </c>
      <c r="F31" s="27">
        <f>'09_보상연계'!F19</f>
        <v>56500000</v>
      </c>
      <c r="G31" s="15" t="str">
        <f>'08_종합평가'!U19</f>
        <v>D</v>
      </c>
      <c r="H31" s="23">
        <f>'09_보상연계'!K19</f>
        <v>0.02</v>
      </c>
      <c r="I31" s="27">
        <f>'09_보상연계'!N19</f>
        <v>57630000</v>
      </c>
      <c r="J31" s="27">
        <f>'09_보상연계'!P19</f>
        <v>1130000</v>
      </c>
      <c r="K31" s="27">
        <f>'11_페이밴드검증'!H29</f>
        <v>53000000</v>
      </c>
      <c r="L31" s="27">
        <f>'11_페이밴드검증'!J29</f>
        <v>73000000</v>
      </c>
      <c r="M31" s="15" t="str">
        <f>'11_페이밴드검증'!P29</f>
        <v>적합</v>
      </c>
      <c r="N31" s="27">
        <f>'10_성과급관리'!L22</f>
        <v>0</v>
      </c>
      <c r="O31" s="27">
        <f t="shared" si="0"/>
        <v>1130000</v>
      </c>
      <c r="P31" s="19">
        <f t="shared" si="1"/>
        <v>0.02</v>
      </c>
      <c r="Q31" s="15">
        <f>'09_보상연계'!I19</f>
        <v>0</v>
      </c>
      <c r="R31" s="27">
        <f>'09_보상연계'!O19</f>
        <v>57630000</v>
      </c>
    </row>
    <row r="32" spans="1:18" x14ac:dyDescent="0.6">
      <c r="A32" s="15">
        <f>'01_인적정보'!A19</f>
        <v>15</v>
      </c>
      <c r="B32" s="15" t="str">
        <f>'01_인적정보'!B19</f>
        <v>BSS-015</v>
      </c>
      <c r="C32" s="15" t="str">
        <f>'01_인적정보'!C19</f>
        <v>민지선</v>
      </c>
      <c r="D32" s="15" t="str">
        <f>'01_인적정보'!F19</f>
        <v>컨설팅본부</v>
      </c>
      <c r="E32" s="15" t="str">
        <f>'01_인적정보'!H19</f>
        <v>G5</v>
      </c>
      <c r="F32" s="27">
        <f>'09_보상연계'!F20</f>
        <v>53160000</v>
      </c>
      <c r="G32" s="15" t="str">
        <f>'08_종합평가'!U20</f>
        <v>D</v>
      </c>
      <c r="H32" s="23">
        <f>'09_보상연계'!K20</f>
        <v>0.02</v>
      </c>
      <c r="I32" s="27">
        <f>'09_보상연계'!N20</f>
        <v>54220000</v>
      </c>
      <c r="J32" s="27">
        <f>'09_보상연계'!P20</f>
        <v>1060000</v>
      </c>
      <c r="K32" s="27">
        <f>'11_페이밴드검증'!H30</f>
        <v>53000000</v>
      </c>
      <c r="L32" s="27">
        <f>'11_페이밴드검증'!J30</f>
        <v>73000000</v>
      </c>
      <c r="M32" s="15" t="str">
        <f>'11_페이밴드검증'!P30</f>
        <v>적합</v>
      </c>
      <c r="N32" s="27">
        <f>'10_성과급관리'!L23</f>
        <v>0</v>
      </c>
      <c r="O32" s="27">
        <f t="shared" si="0"/>
        <v>1060000</v>
      </c>
      <c r="P32" s="19">
        <f t="shared" si="1"/>
        <v>1.9939804364183598E-2</v>
      </c>
      <c r="Q32" s="15">
        <f>'09_보상연계'!I20</f>
        <v>0</v>
      </c>
      <c r="R32" s="27">
        <f>'09_보상연계'!O20</f>
        <v>54220000</v>
      </c>
    </row>
    <row r="33" spans="1:18" x14ac:dyDescent="0.6">
      <c r="A33" s="15">
        <f>'01_인적정보'!A20</f>
        <v>16</v>
      </c>
      <c r="B33" s="15" t="str">
        <f>'01_인적정보'!B20</f>
        <v>BSS-016</v>
      </c>
      <c r="C33" s="15" t="str">
        <f>'01_인적정보'!C20</f>
        <v>장훈</v>
      </c>
      <c r="D33" s="15" t="str">
        <f>'01_인적정보'!F20</f>
        <v>컨설팅본부</v>
      </c>
      <c r="E33" s="15" t="str">
        <f>'01_인적정보'!H20</f>
        <v>G5</v>
      </c>
      <c r="F33" s="27">
        <f>'09_보상연계'!F21</f>
        <v>53750000</v>
      </c>
      <c r="G33" s="15" t="str">
        <f>'08_종합평가'!U21</f>
        <v>D</v>
      </c>
      <c r="H33" s="23">
        <f>'09_보상연계'!K21</f>
        <v>0.02</v>
      </c>
      <c r="I33" s="27">
        <f>'09_보상연계'!N21</f>
        <v>54830000</v>
      </c>
      <c r="J33" s="27">
        <f>'09_보상연계'!P21</f>
        <v>1080000</v>
      </c>
      <c r="K33" s="27">
        <f>'11_페이밴드검증'!H31</f>
        <v>53000000</v>
      </c>
      <c r="L33" s="27">
        <f>'11_페이밴드검증'!J31</f>
        <v>73000000</v>
      </c>
      <c r="M33" s="15" t="str">
        <f>'11_페이밴드검증'!P31</f>
        <v>적합</v>
      </c>
      <c r="N33" s="27">
        <f>'10_성과급관리'!L24</f>
        <v>0</v>
      </c>
      <c r="O33" s="27">
        <f t="shared" si="0"/>
        <v>1080000</v>
      </c>
      <c r="P33" s="19">
        <f t="shared" si="1"/>
        <v>2.0093023255813955E-2</v>
      </c>
      <c r="Q33" s="15">
        <f>'09_보상연계'!I21</f>
        <v>0</v>
      </c>
      <c r="R33" s="27">
        <f>'09_보상연계'!O21</f>
        <v>54830000</v>
      </c>
    </row>
    <row r="34" spans="1:18" x14ac:dyDescent="0.6">
      <c r="A34" s="15">
        <f>'01_인적정보'!A21</f>
        <v>17</v>
      </c>
      <c r="B34" s="15" t="str">
        <f>'01_인적정보'!B21</f>
        <v>BSS-017</v>
      </c>
      <c r="C34" s="15" t="str">
        <f>'01_인적정보'!C21</f>
        <v>김우람</v>
      </c>
      <c r="D34" s="15" t="str">
        <f>'01_인적정보'!F21</f>
        <v>솔루션본부</v>
      </c>
      <c r="E34" s="15" t="str">
        <f>'01_인적정보'!H21</f>
        <v>G4</v>
      </c>
      <c r="F34" s="27">
        <f>'09_보상연계'!F22</f>
        <v>49240000</v>
      </c>
      <c r="G34" s="15" t="str">
        <f>'08_종합평가'!U22</f>
        <v>D</v>
      </c>
      <c r="H34" s="23">
        <f>'09_보상연계'!K22</f>
        <v>0.02</v>
      </c>
      <c r="I34" s="27">
        <f>'09_보상연계'!N22</f>
        <v>50220000</v>
      </c>
      <c r="J34" s="27">
        <f>'09_보상연계'!P22</f>
        <v>980000</v>
      </c>
      <c r="K34" s="27">
        <f>'11_페이밴드검증'!H32</f>
        <v>49000000</v>
      </c>
      <c r="L34" s="27">
        <f>'11_페이밴드검증'!J32</f>
        <v>66000000</v>
      </c>
      <c r="M34" s="15" t="str">
        <f>'11_페이밴드검증'!P32</f>
        <v>적합</v>
      </c>
      <c r="N34" s="27">
        <f>'10_성과급관리'!L25</f>
        <v>0</v>
      </c>
      <c r="O34" s="27">
        <f t="shared" si="0"/>
        <v>980000</v>
      </c>
      <c r="P34" s="19">
        <f t="shared" si="1"/>
        <v>1.9902518277822908E-2</v>
      </c>
      <c r="Q34" s="15">
        <f>'09_보상연계'!I22</f>
        <v>0</v>
      </c>
      <c r="R34" s="27">
        <f>'09_보상연계'!O22</f>
        <v>50220000</v>
      </c>
    </row>
    <row r="35" spans="1:18" x14ac:dyDescent="0.6">
      <c r="A35" s="15">
        <f>'01_인적정보'!A22</f>
        <v>18</v>
      </c>
      <c r="B35" s="15" t="str">
        <f>'01_인적정보'!B22</f>
        <v>BSS-018</v>
      </c>
      <c r="C35" s="15" t="str">
        <f>'01_인적정보'!C22</f>
        <v>조성준</v>
      </c>
      <c r="D35" s="15" t="str">
        <f>'01_인적정보'!F22</f>
        <v>컨설팅본부</v>
      </c>
      <c r="E35" s="15" t="str">
        <f>'01_인적정보'!H22</f>
        <v>G4</v>
      </c>
      <c r="F35" s="27">
        <f>'09_보상연계'!F23</f>
        <v>48650000</v>
      </c>
      <c r="G35" s="15" t="str">
        <f>'08_종합평가'!U23</f>
        <v>D</v>
      </c>
      <c r="H35" s="23">
        <f>'09_보상연계'!K23</f>
        <v>0.02</v>
      </c>
      <c r="I35" s="27">
        <f>'09_보상연계'!N23</f>
        <v>49620000</v>
      </c>
      <c r="J35" s="27">
        <f>'09_보상연계'!P23</f>
        <v>970000</v>
      </c>
      <c r="K35" s="27">
        <f>'11_페이밴드검증'!H33</f>
        <v>49000000</v>
      </c>
      <c r="L35" s="27">
        <f>'11_페이밴드검증'!J33</f>
        <v>66000000</v>
      </c>
      <c r="M35" s="15" t="str">
        <f>'11_페이밴드검증'!P33</f>
        <v>개선</v>
      </c>
      <c r="N35" s="27">
        <f>'10_성과급관리'!L26</f>
        <v>0</v>
      </c>
      <c r="O35" s="27">
        <f t="shared" si="0"/>
        <v>970000</v>
      </c>
      <c r="P35" s="19">
        <f t="shared" si="1"/>
        <v>1.9938335046248715E-2</v>
      </c>
      <c r="Q35" s="15">
        <f>'09_보상연계'!I23</f>
        <v>0</v>
      </c>
      <c r="R35" s="27">
        <f>'09_보상연계'!O23</f>
        <v>49620000</v>
      </c>
    </row>
    <row r="36" spans="1:18" x14ac:dyDescent="0.6">
      <c r="A36" s="15">
        <f>'01_인적정보'!A23</f>
        <v>19</v>
      </c>
      <c r="B36" s="15" t="str">
        <f>'01_인적정보'!B23</f>
        <v>BSS-019</v>
      </c>
      <c r="C36" s="15" t="str">
        <f>'01_인적정보'!C23</f>
        <v>구서현</v>
      </c>
      <c r="D36" s="15" t="str">
        <f>'01_인적정보'!F23</f>
        <v>컨설팅본부</v>
      </c>
      <c r="E36" s="15" t="str">
        <f>'01_인적정보'!H23</f>
        <v>G2</v>
      </c>
      <c r="F36" s="27">
        <f>'09_보상연계'!F24</f>
        <v>47500000</v>
      </c>
      <c r="G36" s="15" t="str">
        <f>'08_종합평가'!U24</f>
        <v>D</v>
      </c>
      <c r="H36" s="23">
        <f>'09_보상연계'!K24</f>
        <v>0.02</v>
      </c>
      <c r="I36" s="27">
        <f>'09_보상연계'!N24</f>
        <v>48450000</v>
      </c>
      <c r="J36" s="27">
        <f>'09_보상연계'!P24</f>
        <v>950000</v>
      </c>
      <c r="K36" s="27">
        <f>'11_페이밴드검증'!H34</f>
        <v>36000000</v>
      </c>
      <c r="L36" s="27">
        <f>'11_페이밴드검증'!J34</f>
        <v>49000000</v>
      </c>
      <c r="M36" s="15" t="str">
        <f>'11_페이밴드검증'!P34</f>
        <v>적합</v>
      </c>
      <c r="N36" s="27">
        <f>'10_성과급관리'!L27</f>
        <v>0</v>
      </c>
      <c r="O36" s="27">
        <f t="shared" si="0"/>
        <v>950000</v>
      </c>
      <c r="P36" s="19">
        <f t="shared" si="1"/>
        <v>0.02</v>
      </c>
      <c r="Q36" s="15">
        <f>'09_보상연계'!I24</f>
        <v>0</v>
      </c>
      <c r="R36" s="27">
        <f>'09_보상연계'!O24</f>
        <v>48450000</v>
      </c>
    </row>
    <row r="37" spans="1:18" x14ac:dyDescent="0.6">
      <c r="A37" s="15">
        <f>'01_인적정보'!A24</f>
        <v>20</v>
      </c>
      <c r="B37" s="15" t="str">
        <f>'01_인적정보'!B24</f>
        <v>BSS-020</v>
      </c>
      <c r="C37" s="15" t="str">
        <f>'01_인적정보'!C24</f>
        <v>박진용</v>
      </c>
      <c r="D37" s="15" t="str">
        <f>'01_인적정보'!F24</f>
        <v>솔루션본부</v>
      </c>
      <c r="E37" s="15" t="str">
        <f>'01_인적정보'!H24</f>
        <v>G3</v>
      </c>
      <c r="F37" s="27">
        <f>'09_보상연계'!F25</f>
        <v>43060000</v>
      </c>
      <c r="G37" s="15" t="str">
        <f>'08_종합평가'!U25</f>
        <v>D</v>
      </c>
      <c r="H37" s="23">
        <f>'09_보상연계'!K25</f>
        <v>0.02</v>
      </c>
      <c r="I37" s="27">
        <f>'09_보상연계'!N25</f>
        <v>43920000</v>
      </c>
      <c r="J37" s="27">
        <f>'09_보상연계'!P25</f>
        <v>860000</v>
      </c>
      <c r="K37" s="27">
        <f>'11_페이밴드검증'!H35</f>
        <v>42000000</v>
      </c>
      <c r="L37" s="27">
        <f>'11_페이밴드검증'!J35</f>
        <v>57000000</v>
      </c>
      <c r="M37" s="15" t="str">
        <f>'11_페이밴드검증'!P35</f>
        <v>적합</v>
      </c>
      <c r="N37" s="27">
        <f>'10_성과급관리'!L28</f>
        <v>0</v>
      </c>
      <c r="O37" s="27">
        <f t="shared" si="0"/>
        <v>860000</v>
      </c>
      <c r="P37" s="19">
        <f t="shared" si="1"/>
        <v>1.9972131908964234E-2</v>
      </c>
      <c r="Q37" s="15">
        <f>'09_보상연계'!I25</f>
        <v>0</v>
      </c>
      <c r="R37" s="27">
        <f>'09_보상연계'!O25</f>
        <v>43920000</v>
      </c>
    </row>
    <row r="38" spans="1:18" x14ac:dyDescent="0.6">
      <c r="A38" s="15">
        <f>'01_인적정보'!A25</f>
        <v>21</v>
      </c>
      <c r="B38" s="15" t="str">
        <f>'01_인적정보'!B25</f>
        <v>BSS-021</v>
      </c>
      <c r="C38" s="15" t="str">
        <f>'01_인적정보'!C25</f>
        <v>김가연</v>
      </c>
      <c r="D38" s="15" t="str">
        <f>'01_인적정보'!F25</f>
        <v>컨설팅본부</v>
      </c>
      <c r="E38" s="15" t="str">
        <f>'01_인적정보'!H25</f>
        <v>G2</v>
      </c>
      <c r="F38" s="27">
        <f>'09_보상연계'!F26</f>
        <v>42500000</v>
      </c>
      <c r="G38" s="15" t="str">
        <f>'08_종합평가'!U26</f>
        <v>D</v>
      </c>
      <c r="H38" s="23">
        <f>'09_보상연계'!K26</f>
        <v>0.02</v>
      </c>
      <c r="I38" s="27">
        <f>'09_보상연계'!N26</f>
        <v>43350000</v>
      </c>
      <c r="J38" s="27">
        <f>'09_보상연계'!P26</f>
        <v>850000</v>
      </c>
      <c r="K38" s="27">
        <f>'11_페이밴드검증'!H36</f>
        <v>36000000</v>
      </c>
      <c r="L38" s="27">
        <f>'11_페이밴드검증'!J36</f>
        <v>49000000</v>
      </c>
      <c r="M38" s="15" t="str">
        <f>'11_페이밴드검증'!P36</f>
        <v>적합</v>
      </c>
      <c r="N38" s="27">
        <f>'10_성과급관리'!L29</f>
        <v>0</v>
      </c>
      <c r="O38" s="27">
        <f t="shared" si="0"/>
        <v>850000</v>
      </c>
      <c r="P38" s="19">
        <f t="shared" si="1"/>
        <v>0.02</v>
      </c>
      <c r="Q38" s="15">
        <f>'09_보상연계'!I26</f>
        <v>0</v>
      </c>
      <c r="R38" s="27">
        <f>'09_보상연계'!O26</f>
        <v>43350000</v>
      </c>
    </row>
    <row r="39" spans="1:18" x14ac:dyDescent="0.6">
      <c r="A39" s="15">
        <f>'01_인적정보'!A26</f>
        <v>22</v>
      </c>
      <c r="B39" s="15" t="str">
        <f>'01_인적정보'!B26</f>
        <v>BSS-022</v>
      </c>
      <c r="C39" s="15" t="str">
        <f>'01_인적정보'!C26</f>
        <v>한근수</v>
      </c>
      <c r="D39" s="15" t="str">
        <f>'01_인적정보'!F26</f>
        <v>컨설팅본부</v>
      </c>
      <c r="E39" s="15" t="str">
        <f>'01_인적정보'!H26</f>
        <v>G2</v>
      </c>
      <c r="F39" s="27">
        <f>'09_보상연계'!F27</f>
        <v>42500000</v>
      </c>
      <c r="G39" s="15" t="str">
        <f>'08_종합평가'!U27</f>
        <v>D</v>
      </c>
      <c r="H39" s="23">
        <f>'09_보상연계'!K27</f>
        <v>0.02</v>
      </c>
      <c r="I39" s="27">
        <f>'09_보상연계'!N27</f>
        <v>43350000</v>
      </c>
      <c r="J39" s="27">
        <f>'09_보상연계'!P27</f>
        <v>850000</v>
      </c>
      <c r="K39" s="27">
        <f>'11_페이밴드검증'!H37</f>
        <v>36000000</v>
      </c>
      <c r="L39" s="27">
        <f>'11_페이밴드검증'!J37</f>
        <v>49000000</v>
      </c>
      <c r="M39" s="15" t="str">
        <f>'11_페이밴드검증'!P37</f>
        <v>적합</v>
      </c>
      <c r="N39" s="27">
        <f>'10_성과급관리'!L30</f>
        <v>0</v>
      </c>
      <c r="O39" s="27">
        <f t="shared" si="0"/>
        <v>850000</v>
      </c>
      <c r="P39" s="19">
        <f t="shared" si="1"/>
        <v>0.02</v>
      </c>
      <c r="Q39" s="15">
        <f>'09_보상연계'!I27</f>
        <v>0</v>
      </c>
      <c r="R39" s="27">
        <f>'09_보상연계'!O27</f>
        <v>43350000</v>
      </c>
    </row>
    <row r="40" spans="1:18" x14ac:dyDescent="0.6">
      <c r="A40" s="15">
        <f>'01_인적정보'!A27</f>
        <v>23</v>
      </c>
      <c r="B40" s="15" t="str">
        <f>'01_인적정보'!B27</f>
        <v>BSS-023</v>
      </c>
      <c r="C40" s="15" t="str">
        <f>'01_인적정보'!C27</f>
        <v>김성민</v>
      </c>
      <c r="D40" s="15" t="str">
        <f>'01_인적정보'!F27</f>
        <v>컨설팅본부</v>
      </c>
      <c r="E40" s="15" t="str">
        <f>'01_인적정보'!H27</f>
        <v>G2</v>
      </c>
      <c r="F40" s="27">
        <f>'09_보상연계'!F28</f>
        <v>42500000</v>
      </c>
      <c r="G40" s="15" t="str">
        <f>'08_종합평가'!U28</f>
        <v>D</v>
      </c>
      <c r="H40" s="23">
        <f>'09_보상연계'!K28</f>
        <v>0.02</v>
      </c>
      <c r="I40" s="27">
        <f>'09_보상연계'!N28</f>
        <v>43350000</v>
      </c>
      <c r="J40" s="27">
        <f>'09_보상연계'!P28</f>
        <v>850000</v>
      </c>
      <c r="K40" s="27">
        <f>'11_페이밴드검증'!H38</f>
        <v>36000000</v>
      </c>
      <c r="L40" s="27">
        <f>'11_페이밴드검증'!J38</f>
        <v>49000000</v>
      </c>
      <c r="M40" s="15" t="str">
        <f>'11_페이밴드검증'!P38</f>
        <v>적합</v>
      </c>
      <c r="N40" s="27">
        <f>'10_성과급관리'!L31</f>
        <v>0</v>
      </c>
      <c r="O40" s="27">
        <f t="shared" si="0"/>
        <v>850000</v>
      </c>
      <c r="P40" s="19">
        <f t="shared" si="1"/>
        <v>0.02</v>
      </c>
      <c r="Q40" s="15">
        <f>'09_보상연계'!I28</f>
        <v>0</v>
      </c>
      <c r="R40" s="27">
        <f>'09_보상연계'!O28</f>
        <v>43350000</v>
      </c>
    </row>
    <row r="41" spans="1:18" x14ac:dyDescent="0.6">
      <c r="A41" s="15">
        <f>'01_인적정보'!A28</f>
        <v>24</v>
      </c>
      <c r="B41" s="15" t="str">
        <f>'01_인적정보'!B28</f>
        <v>BSS-024</v>
      </c>
      <c r="C41" s="15" t="str">
        <f>'01_인적정보'!C28</f>
        <v>고광우</v>
      </c>
      <c r="D41" s="15" t="str">
        <f>'01_인적정보'!F28</f>
        <v>컨설팅본부</v>
      </c>
      <c r="E41" s="15" t="str">
        <f>'01_인적정보'!H28</f>
        <v>G2</v>
      </c>
      <c r="F41" s="27">
        <f>'09_보상연계'!F29</f>
        <v>42500000</v>
      </c>
      <c r="G41" s="15" t="str">
        <f>'08_종합평가'!U29</f>
        <v>D</v>
      </c>
      <c r="H41" s="23">
        <f>'09_보상연계'!K29</f>
        <v>0.02</v>
      </c>
      <c r="I41" s="27">
        <f>'09_보상연계'!N29</f>
        <v>43350000</v>
      </c>
      <c r="J41" s="27">
        <f>'09_보상연계'!P29</f>
        <v>850000</v>
      </c>
      <c r="K41" s="27">
        <f>'11_페이밴드검증'!H39</f>
        <v>36000000</v>
      </c>
      <c r="L41" s="27">
        <f>'11_페이밴드검증'!J39</f>
        <v>49000000</v>
      </c>
      <c r="M41" s="15" t="str">
        <f>'11_페이밴드검증'!P39</f>
        <v>적합</v>
      </c>
      <c r="N41" s="27">
        <f>'10_성과급관리'!L32</f>
        <v>0</v>
      </c>
      <c r="O41" s="27">
        <f t="shared" si="0"/>
        <v>850000</v>
      </c>
      <c r="P41" s="19">
        <f t="shared" si="1"/>
        <v>0.02</v>
      </c>
      <c r="Q41" s="15">
        <f>'09_보상연계'!I29</f>
        <v>0</v>
      </c>
      <c r="R41" s="27">
        <f>'09_보상연계'!O29</f>
        <v>43350000</v>
      </c>
    </row>
    <row r="42" spans="1:18" x14ac:dyDescent="0.6">
      <c r="A42" s="15">
        <f>'01_인적정보'!A29</f>
        <v>25</v>
      </c>
      <c r="B42" s="15" t="str">
        <f>'01_인적정보'!B29</f>
        <v>BSS-025</v>
      </c>
      <c r="C42" s="15" t="str">
        <f>'01_인적정보'!C29</f>
        <v>김성수</v>
      </c>
      <c r="D42" s="15" t="str">
        <f>'01_인적정보'!F29</f>
        <v>컨설팅본부</v>
      </c>
      <c r="E42" s="15" t="str">
        <f>'01_인적정보'!H29</f>
        <v>G2</v>
      </c>
      <c r="F42" s="27">
        <f>'09_보상연계'!F30</f>
        <v>42500000</v>
      </c>
      <c r="G42" s="15" t="str">
        <f>'08_종합평가'!U30</f>
        <v>D</v>
      </c>
      <c r="H42" s="23">
        <f>'09_보상연계'!K30</f>
        <v>0.02</v>
      </c>
      <c r="I42" s="27">
        <f>'09_보상연계'!N30</f>
        <v>43350000</v>
      </c>
      <c r="J42" s="27">
        <f>'09_보상연계'!P30</f>
        <v>850000</v>
      </c>
      <c r="K42" s="27">
        <f>'11_페이밴드검증'!H40</f>
        <v>36000000</v>
      </c>
      <c r="L42" s="27">
        <f>'11_페이밴드검증'!J40</f>
        <v>49000000</v>
      </c>
      <c r="M42" s="15" t="str">
        <f>'11_페이밴드검증'!P40</f>
        <v>적합</v>
      </c>
      <c r="N42" s="27">
        <f>'10_성과급관리'!L33</f>
        <v>0</v>
      </c>
      <c r="O42" s="27">
        <f t="shared" si="0"/>
        <v>850000</v>
      </c>
      <c r="P42" s="19">
        <f t="shared" si="1"/>
        <v>0.02</v>
      </c>
      <c r="Q42" s="15">
        <f>'09_보상연계'!I30</f>
        <v>0</v>
      </c>
      <c r="R42" s="27">
        <f>'09_보상연계'!O30</f>
        <v>43350000</v>
      </c>
    </row>
    <row r="43" spans="1:18" x14ac:dyDescent="0.6">
      <c r="A43" s="15">
        <f>'01_인적정보'!A30</f>
        <v>26</v>
      </c>
      <c r="B43" s="15" t="str">
        <f>'01_인적정보'!B30</f>
        <v>BSS-026</v>
      </c>
      <c r="C43" s="15" t="str">
        <f>'01_인적정보'!C30</f>
        <v>박진희</v>
      </c>
      <c r="D43" s="15" t="str">
        <f>'01_인적정보'!F30</f>
        <v>마케팅팀</v>
      </c>
      <c r="E43" s="15" t="str">
        <f>'01_인적정보'!H30</f>
        <v>G1</v>
      </c>
      <c r="F43" s="27">
        <f>'09_보상연계'!F31</f>
        <v>34935000</v>
      </c>
      <c r="G43" s="15" t="str">
        <f>'08_종합평가'!U31</f>
        <v>D</v>
      </c>
      <c r="H43" s="23">
        <f>'09_보상연계'!K31</f>
        <v>0.02</v>
      </c>
      <c r="I43" s="27">
        <f>'09_보상연계'!N31</f>
        <v>35630000</v>
      </c>
      <c r="J43" s="27">
        <f>'09_보상연계'!P31</f>
        <v>695000</v>
      </c>
      <c r="K43" s="27">
        <f>'11_페이밴드검증'!H41</f>
        <v>33000000</v>
      </c>
      <c r="L43" s="27">
        <f>'11_페이밴드검증'!J41</f>
        <v>44000000</v>
      </c>
      <c r="M43" s="15" t="str">
        <f>'11_페이밴드검증'!P41</f>
        <v>적합</v>
      </c>
      <c r="N43" s="27">
        <f>'10_성과급관리'!L34</f>
        <v>0</v>
      </c>
      <c r="O43" s="27">
        <f t="shared" si="0"/>
        <v>695000</v>
      </c>
      <c r="P43" s="19">
        <f t="shared" si="1"/>
        <v>1.9894089022470304E-2</v>
      </c>
      <c r="Q43" s="15">
        <f>'09_보상연계'!I31</f>
        <v>0</v>
      </c>
      <c r="R43" s="27">
        <f>'09_보상연계'!O31</f>
        <v>35630000</v>
      </c>
    </row>
    <row r="44" spans="1:18" x14ac:dyDescent="0.6">
      <c r="A44" s="15">
        <f>'01_인적정보'!A31</f>
        <v>27</v>
      </c>
      <c r="B44" s="15" t="str">
        <f>'01_인적정보'!B31</f>
        <v>BSS-027</v>
      </c>
      <c r="C44" s="15" t="str">
        <f>'01_인적정보'!C31</f>
        <v>장은한</v>
      </c>
      <c r="D44" s="15" t="str">
        <f>'01_인적정보'!F31</f>
        <v>솔루션본부</v>
      </c>
      <c r="E44" s="15" t="str">
        <f>'01_인적정보'!H31</f>
        <v>G2</v>
      </c>
      <c r="F44" s="27">
        <f>'09_보상연계'!F32</f>
        <v>35000000</v>
      </c>
      <c r="G44" s="15" t="str">
        <f>'08_종합평가'!U32</f>
        <v>D</v>
      </c>
      <c r="H44" s="23">
        <f>'09_보상연계'!K32</f>
        <v>0.02</v>
      </c>
      <c r="I44" s="27">
        <f>'09_보상연계'!N32</f>
        <v>35700000</v>
      </c>
      <c r="J44" s="27">
        <f>'09_보상연계'!P32</f>
        <v>700000</v>
      </c>
      <c r="K44" s="27">
        <f>'11_페이밴드검증'!H42</f>
        <v>36000000</v>
      </c>
      <c r="L44" s="27">
        <f>'11_페이밴드검증'!J42</f>
        <v>49000000</v>
      </c>
      <c r="M44" s="15" t="str">
        <f>'11_페이밴드검증'!P42</f>
        <v>지속이탈</v>
      </c>
      <c r="N44" s="27">
        <f>'10_성과급관리'!L35</f>
        <v>0</v>
      </c>
      <c r="O44" s="27">
        <f t="shared" si="0"/>
        <v>700000</v>
      </c>
      <c r="P44" s="19">
        <f t="shared" si="1"/>
        <v>0.02</v>
      </c>
      <c r="Q44" s="15">
        <f>'09_보상연계'!I32</f>
        <v>0</v>
      </c>
      <c r="R44" s="27">
        <f>'09_보상연계'!O32</f>
        <v>35700000</v>
      </c>
    </row>
    <row r="45" spans="1:18" x14ac:dyDescent="0.6">
      <c r="A45" s="15">
        <f>'01_인적정보'!A32</f>
        <v>28</v>
      </c>
      <c r="B45" s="15" t="str">
        <f>'01_인적정보'!B32</f>
        <v>BSS-028</v>
      </c>
      <c r="C45" s="15" t="str">
        <f>'01_인적정보'!C32</f>
        <v>김현수</v>
      </c>
      <c r="D45" s="15" t="str">
        <f>'01_인적정보'!F32</f>
        <v>컨설팅본부</v>
      </c>
      <c r="E45" s="15" t="str">
        <f>'01_인적정보'!H32</f>
        <v>G1</v>
      </c>
      <c r="F45" s="27">
        <f>'09_보상연계'!F33</f>
        <v>36000000</v>
      </c>
      <c r="G45" s="15" t="str">
        <f>'08_종합평가'!U33</f>
        <v>D</v>
      </c>
      <c r="H45" s="23">
        <f>'09_보상연계'!K33</f>
        <v>0.02</v>
      </c>
      <c r="I45" s="27">
        <f>'09_보상연계'!N33</f>
        <v>36720000</v>
      </c>
      <c r="J45" s="27">
        <f>'09_보상연계'!P33</f>
        <v>720000</v>
      </c>
      <c r="K45" s="27">
        <f>'11_페이밴드검증'!H43</f>
        <v>33000000</v>
      </c>
      <c r="L45" s="27">
        <f>'11_페이밴드검증'!J43</f>
        <v>44000000</v>
      </c>
      <c r="M45" s="15" t="str">
        <f>'11_페이밴드검증'!P43</f>
        <v>적합</v>
      </c>
      <c r="N45" s="27">
        <f>'10_성과급관리'!L36</f>
        <v>0</v>
      </c>
      <c r="O45" s="27">
        <f t="shared" si="0"/>
        <v>720000</v>
      </c>
      <c r="P45" s="19">
        <f t="shared" si="1"/>
        <v>0.02</v>
      </c>
      <c r="Q45" s="15">
        <f>'09_보상연계'!I33</f>
        <v>0</v>
      </c>
      <c r="R45" s="27">
        <f>'09_보상연계'!O33</f>
        <v>36720000</v>
      </c>
    </row>
    <row r="46" spans="1:18" x14ac:dyDescent="0.6">
      <c r="A46" s="15">
        <f>'01_인적정보'!A33</f>
        <v>29</v>
      </c>
      <c r="B46" s="15" t="str">
        <f>'01_인적정보'!B33</f>
        <v>BSS-029</v>
      </c>
      <c r="C46" s="15" t="str">
        <f>'01_인적정보'!C33</f>
        <v>콜셍홍</v>
      </c>
      <c r="D46" s="15" t="str">
        <f>'01_인적정보'!F33</f>
        <v>컨설팅본부</v>
      </c>
      <c r="E46" s="15" t="str">
        <f>'01_인적정보'!H33</f>
        <v>G1</v>
      </c>
      <c r="F46" s="27">
        <f>'09_보상연계'!F34</f>
        <v>36000000</v>
      </c>
      <c r="G46" s="15" t="str">
        <f>'08_종합평가'!U34</f>
        <v>D</v>
      </c>
      <c r="H46" s="23">
        <f>'09_보상연계'!K34</f>
        <v>0.02</v>
      </c>
      <c r="I46" s="27">
        <f>'09_보상연계'!N34</f>
        <v>36720000</v>
      </c>
      <c r="J46" s="27">
        <f>'09_보상연계'!P34</f>
        <v>720000</v>
      </c>
      <c r="K46" s="27">
        <f>'11_페이밴드검증'!H44</f>
        <v>33000000</v>
      </c>
      <c r="L46" s="27">
        <f>'11_페이밴드검증'!J44</f>
        <v>44000000</v>
      </c>
      <c r="M46" s="15" t="str">
        <f>'11_페이밴드검증'!P44</f>
        <v>적합</v>
      </c>
      <c r="N46" s="27">
        <f>'10_성과급관리'!L37</f>
        <v>0</v>
      </c>
      <c r="O46" s="27">
        <f t="shared" si="0"/>
        <v>720000</v>
      </c>
      <c r="P46" s="19">
        <f t="shared" si="1"/>
        <v>0.02</v>
      </c>
      <c r="Q46" s="15">
        <f>'09_보상연계'!I34</f>
        <v>0</v>
      </c>
      <c r="R46" s="27">
        <f>'09_보상연계'!O34</f>
        <v>36720000</v>
      </c>
    </row>
    <row r="47" spans="1:18" x14ac:dyDescent="0.6">
      <c r="A47" s="15">
        <f>'01_인적정보'!A34</f>
        <v>30</v>
      </c>
      <c r="B47" s="15" t="str">
        <f>'01_인적정보'!B34</f>
        <v>BSS-030</v>
      </c>
      <c r="C47" s="15" t="str">
        <f>'01_인적정보'!C34</f>
        <v>안성진</v>
      </c>
      <c r="D47" s="15" t="str">
        <f>'01_인적정보'!F34</f>
        <v>컨설팅본부</v>
      </c>
      <c r="E47" s="15" t="str">
        <f>'01_인적정보'!H34</f>
        <v>G1</v>
      </c>
      <c r="F47" s="27">
        <f>'09_보상연계'!F35</f>
        <v>36540000</v>
      </c>
      <c r="G47" s="15" t="str">
        <f>'08_종합평가'!U35</f>
        <v>D</v>
      </c>
      <c r="H47" s="23">
        <f>'09_보상연계'!K35</f>
        <v>0.02</v>
      </c>
      <c r="I47" s="27">
        <f>'09_보상연계'!N35</f>
        <v>37270000</v>
      </c>
      <c r="J47" s="27">
        <f>'09_보상연계'!P35</f>
        <v>730000</v>
      </c>
      <c r="K47" s="27">
        <f>'11_페이밴드검증'!H45</f>
        <v>33000000</v>
      </c>
      <c r="L47" s="27">
        <f>'11_페이밴드검증'!J45</f>
        <v>44000000</v>
      </c>
      <c r="M47" s="15" t="str">
        <f>'11_페이밴드검증'!P45</f>
        <v>적합</v>
      </c>
      <c r="N47" s="27">
        <f>'10_성과급관리'!L38</f>
        <v>0</v>
      </c>
      <c r="O47" s="27">
        <f t="shared" si="0"/>
        <v>730000</v>
      </c>
      <c r="P47" s="19">
        <f t="shared" si="1"/>
        <v>1.9978106185002738E-2</v>
      </c>
      <c r="Q47" s="15">
        <f>'09_보상연계'!I35</f>
        <v>0</v>
      </c>
      <c r="R47" s="27">
        <f>'09_보상연계'!O35</f>
        <v>37270000</v>
      </c>
    </row>
    <row r="48" spans="1:18" x14ac:dyDescent="0.6">
      <c r="A48" s="15">
        <f>'01_인적정보'!A35</f>
        <v>31</v>
      </c>
      <c r="B48" s="15" t="str">
        <f>'01_인적정보'!B35</f>
        <v>BSS-031</v>
      </c>
      <c r="C48" s="15" t="str">
        <f>'01_인적정보'!C35</f>
        <v>이정일</v>
      </c>
      <c r="D48" s="15" t="str">
        <f>'01_인적정보'!F35</f>
        <v>컨설팅본부</v>
      </c>
      <c r="E48" s="15" t="str">
        <f>'01_인적정보'!H35</f>
        <v>G1</v>
      </c>
      <c r="F48" s="27">
        <f>'09_보상연계'!F36</f>
        <v>37090000</v>
      </c>
      <c r="G48" s="15" t="str">
        <f>'08_종합평가'!U36</f>
        <v>D</v>
      </c>
      <c r="H48" s="23">
        <f>'09_보상연계'!K36</f>
        <v>0.02</v>
      </c>
      <c r="I48" s="27">
        <f>'09_보상연계'!N36</f>
        <v>37830000</v>
      </c>
      <c r="J48" s="27">
        <f>'09_보상연계'!P36</f>
        <v>740000</v>
      </c>
      <c r="K48" s="27">
        <f>'11_페이밴드검증'!H46</f>
        <v>33000000</v>
      </c>
      <c r="L48" s="27">
        <f>'11_페이밴드검증'!J46</f>
        <v>44000000</v>
      </c>
      <c r="M48" s="15" t="str">
        <f>'11_페이밴드검증'!P46</f>
        <v>적합</v>
      </c>
      <c r="N48" s="27">
        <f>'10_성과급관리'!L39</f>
        <v>0</v>
      </c>
      <c r="O48" s="27">
        <f t="shared" si="0"/>
        <v>740000</v>
      </c>
      <c r="P48" s="19">
        <f t="shared" si="1"/>
        <v>1.9951469398759775E-2</v>
      </c>
      <c r="Q48" s="15">
        <f>'09_보상연계'!I36</f>
        <v>0</v>
      </c>
      <c r="R48" s="27">
        <f>'09_보상연계'!O36</f>
        <v>37830000</v>
      </c>
    </row>
    <row r="49" spans="1:18" x14ac:dyDescent="0.6">
      <c r="A49" s="15">
        <f>'01_인적정보'!A36</f>
        <v>32</v>
      </c>
      <c r="B49" s="15" t="str">
        <f>'01_인적정보'!B36</f>
        <v>BSS-032</v>
      </c>
      <c r="C49" s="15" t="str">
        <f>'01_인적정보'!C36</f>
        <v>안재성</v>
      </c>
      <c r="D49" s="15" t="str">
        <f>'01_인적정보'!F36</f>
        <v>컨설팅본부</v>
      </c>
      <c r="E49" s="15" t="str">
        <f>'01_인적정보'!H36</f>
        <v>G1</v>
      </c>
      <c r="F49" s="27">
        <f>'09_보상연계'!F37</f>
        <v>32000000</v>
      </c>
      <c r="G49" s="15" t="str">
        <f>'08_종합평가'!U37</f>
        <v>D</v>
      </c>
      <c r="H49" s="23">
        <f>'09_보상연계'!K37</f>
        <v>0.02</v>
      </c>
      <c r="I49" s="27">
        <f>'09_보상연계'!N37</f>
        <v>32640000</v>
      </c>
      <c r="J49" s="27">
        <f>'09_보상연계'!P37</f>
        <v>640000</v>
      </c>
      <c r="K49" s="27">
        <f>'11_페이밴드검증'!H47</f>
        <v>33000000</v>
      </c>
      <c r="L49" s="27">
        <f>'11_페이밴드검증'!J47</f>
        <v>44000000</v>
      </c>
      <c r="M49" s="15" t="str">
        <f>'11_페이밴드검증'!P47</f>
        <v>지속이탈</v>
      </c>
      <c r="N49" s="27">
        <f>'10_성과급관리'!L40</f>
        <v>0</v>
      </c>
      <c r="O49" s="27">
        <f t="shared" si="0"/>
        <v>640000</v>
      </c>
      <c r="P49" s="19">
        <f t="shared" si="1"/>
        <v>0.02</v>
      </c>
      <c r="Q49" s="15">
        <f>'09_보상연계'!I37</f>
        <v>0</v>
      </c>
      <c r="R49" s="27">
        <f>'09_보상연계'!O37</f>
        <v>32640000</v>
      </c>
    </row>
    <row r="50" spans="1:18" x14ac:dyDescent="0.6">
      <c r="A50" s="15">
        <f>'01_인적정보'!A37</f>
        <v>33</v>
      </c>
      <c r="B50" s="15" t="str">
        <f>'01_인적정보'!B37</f>
        <v>BSS-033</v>
      </c>
      <c r="C50" s="15" t="str">
        <f>'01_인적정보'!C37</f>
        <v>유태석</v>
      </c>
      <c r="D50" s="15" t="str">
        <f>'01_인적정보'!F37</f>
        <v>컨설팅본부</v>
      </c>
      <c r="E50" s="15" t="str">
        <f>'01_인적정보'!H37</f>
        <v>G1</v>
      </c>
      <c r="F50" s="27">
        <f>'09_보상연계'!F38</f>
        <v>32000000</v>
      </c>
      <c r="G50" s="15" t="str">
        <f>'08_종합평가'!U38</f>
        <v>D</v>
      </c>
      <c r="H50" s="23">
        <f>'09_보상연계'!K38</f>
        <v>0.02</v>
      </c>
      <c r="I50" s="27">
        <f>'09_보상연계'!N38</f>
        <v>32640000</v>
      </c>
      <c r="J50" s="27">
        <f>'09_보상연계'!P38</f>
        <v>640000</v>
      </c>
      <c r="K50" s="27">
        <f>'11_페이밴드검증'!H48</f>
        <v>33000000</v>
      </c>
      <c r="L50" s="27">
        <f>'11_페이밴드검증'!J48</f>
        <v>44000000</v>
      </c>
      <c r="M50" s="15" t="str">
        <f>'11_페이밴드검증'!P48</f>
        <v>지속이탈</v>
      </c>
      <c r="N50" s="27">
        <f>'10_성과급관리'!L41</f>
        <v>0</v>
      </c>
      <c r="O50" s="27">
        <f t="shared" si="0"/>
        <v>640000</v>
      </c>
      <c r="P50" s="19">
        <f t="shared" si="1"/>
        <v>0.02</v>
      </c>
      <c r="Q50" s="15">
        <f>'09_보상연계'!I38</f>
        <v>0</v>
      </c>
      <c r="R50" s="27">
        <f>'09_보상연계'!O38</f>
        <v>32640000</v>
      </c>
    </row>
    <row r="51" spans="1:18" x14ac:dyDescent="0.6">
      <c r="A51" s="15">
        <f>'01_인적정보'!A38</f>
        <v>34</v>
      </c>
      <c r="B51" s="15" t="str">
        <f>'01_인적정보'!B38</f>
        <v>BSS-034</v>
      </c>
      <c r="C51" s="15" t="str">
        <f>'01_인적정보'!C38</f>
        <v>엄보근</v>
      </c>
      <c r="D51" s="15" t="str">
        <f>'01_인적정보'!F38</f>
        <v>컨설팅본부</v>
      </c>
      <c r="E51" s="15" t="str">
        <f>'01_인적정보'!H38</f>
        <v>G1</v>
      </c>
      <c r="F51" s="27">
        <f>'09_보상연계'!F39</f>
        <v>32000000</v>
      </c>
      <c r="G51" s="15" t="str">
        <f>'08_종합평가'!U39</f>
        <v>D</v>
      </c>
      <c r="H51" s="23">
        <f>'09_보상연계'!K39</f>
        <v>0.02</v>
      </c>
      <c r="I51" s="27">
        <f>'09_보상연계'!N39</f>
        <v>32640000</v>
      </c>
      <c r="J51" s="27">
        <f>'09_보상연계'!P39</f>
        <v>640000</v>
      </c>
      <c r="K51" s="27">
        <f>'11_페이밴드검증'!H49</f>
        <v>33000000</v>
      </c>
      <c r="L51" s="27">
        <f>'11_페이밴드검증'!J49</f>
        <v>44000000</v>
      </c>
      <c r="M51" s="15" t="str">
        <f>'11_페이밴드검증'!P49</f>
        <v>지속이탈</v>
      </c>
      <c r="N51" s="27">
        <f>'10_성과급관리'!L42</f>
        <v>0</v>
      </c>
      <c r="O51" s="27">
        <f t="shared" si="0"/>
        <v>640000</v>
      </c>
      <c r="P51" s="19">
        <f t="shared" si="1"/>
        <v>0.02</v>
      </c>
      <c r="Q51" s="15">
        <f>'09_보상연계'!I39</f>
        <v>0</v>
      </c>
      <c r="R51" s="27">
        <f>'09_보상연계'!O39</f>
        <v>32640000</v>
      </c>
    </row>
  </sheetData>
  <mergeCells count="28">
    <mergeCell ref="A1:R1"/>
    <mergeCell ref="E11:H11"/>
    <mergeCell ref="I5:L5"/>
    <mergeCell ref="A2:R2"/>
    <mergeCell ref="E12:H12"/>
    <mergeCell ref="I6:L6"/>
    <mergeCell ref="A11:D11"/>
    <mergeCell ref="I11:L11"/>
    <mergeCell ref="E5:H5"/>
    <mergeCell ref="M9:P9"/>
    <mergeCell ref="A4:R4"/>
    <mergeCell ref="M5:P5"/>
    <mergeCell ref="A6:D6"/>
    <mergeCell ref="E8:H8"/>
    <mergeCell ref="M11:P11"/>
    <mergeCell ref="E9:H9"/>
    <mergeCell ref="A12:D12"/>
    <mergeCell ref="I12:L12"/>
    <mergeCell ref="E6:H6"/>
    <mergeCell ref="A5:D5"/>
    <mergeCell ref="A8:D8"/>
    <mergeCell ref="M8:P8"/>
    <mergeCell ref="I8:L8"/>
    <mergeCell ref="A16:R16"/>
    <mergeCell ref="A9:D9"/>
    <mergeCell ref="I9:L9"/>
    <mergeCell ref="M6:P6"/>
    <mergeCell ref="M12:P12"/>
  </mergeCells>
  <phoneticPr fontId="16" type="noConversion"/>
  <conditionalFormatting sqref="G18:G51">
    <cfRule type="cellIs" dxfId="17" priority="1" operator="equal">
      <formula>"S"</formula>
    </cfRule>
    <cfRule type="cellIs" dxfId="16" priority="2" operator="equal">
      <formula>"A"</formula>
    </cfRule>
    <cfRule type="cellIs" dxfId="15" priority="3" operator="equal">
      <formula>"C"</formula>
    </cfRule>
    <cfRule type="cellIs" dxfId="14" priority="4" operator="equal">
      <formula>"D"</formula>
    </cfRule>
    <cfRule type="cellIs" dxfId="13" priority="5" operator="equal">
      <formula>"적합"</formula>
    </cfRule>
    <cfRule type="cellIs" dxfId="12" priority="6" operator="equal">
      <formula>"이탈"</formula>
    </cfRule>
    <cfRule type="cellIs" dxfId="11" priority="7" operator="equal">
      <formula>"개선"</formula>
    </cfRule>
    <cfRule type="cellIs" dxfId="10" priority="8" operator="equal">
      <formula>"신규이탈"</formula>
    </cfRule>
    <cfRule type="cellIs" dxfId="9" priority="9" operator="equal">
      <formula>"지속이탈"</formula>
    </cfRule>
  </conditionalFormatting>
  <conditionalFormatting sqref="M18:M51">
    <cfRule type="cellIs" dxfId="8" priority="10" operator="equal">
      <formula>"S"</formula>
    </cfRule>
    <cfRule type="cellIs" dxfId="7" priority="11" operator="equal">
      <formula>"A"</formula>
    </cfRule>
    <cfRule type="cellIs" dxfId="6" priority="12" operator="equal">
      <formula>"C"</formula>
    </cfRule>
    <cfRule type="cellIs" dxfId="5" priority="13" operator="equal">
      <formula>"D"</formula>
    </cfRule>
    <cfRule type="cellIs" dxfId="4" priority="14" operator="equal">
      <formula>"적합"</formula>
    </cfRule>
    <cfRule type="cellIs" dxfId="3" priority="15" operator="equal">
      <formula>"이탈"</formula>
    </cfRule>
    <cfRule type="cellIs" dxfId="2" priority="16" operator="equal">
      <formula>"개선"</formula>
    </cfRule>
    <cfRule type="cellIs" dxfId="1" priority="17" operator="equal">
      <formula>"신규이탈"</formula>
    </cfRule>
    <cfRule type="cellIs" dxfId="0" priority="18" operator="equal">
      <formula>"지속이탈"</formula>
    </cfRule>
  </conditionalFormatting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L60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H9" sqref="H9"/>
    </sheetView>
  </sheetViews>
  <sheetFormatPr defaultRowHeight="16.899999999999999" x14ac:dyDescent="0.6"/>
  <cols>
    <col min="1" max="1" width="22" customWidth="1"/>
    <col min="2" max="2" width="16" customWidth="1"/>
    <col min="3" max="3" width="8" customWidth="1"/>
    <col min="4" max="4" width="14" customWidth="1"/>
    <col min="5" max="6" width="38" customWidth="1"/>
    <col min="7" max="10" width="18" customWidth="1"/>
    <col min="11" max="11" width="36" customWidth="1"/>
    <col min="12" max="12" width="13.9375" bestFit="1" customWidth="1"/>
  </cols>
  <sheetData>
    <row r="1" spans="1:12" ht="28.05" customHeight="1" x14ac:dyDescent="0.6">
      <c r="A1" s="51" t="s">
        <v>611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</row>
    <row r="2" spans="1:12" ht="18" customHeight="1" x14ac:dyDescent="0.6">
      <c r="A2" s="48" t="s">
        <v>612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</row>
    <row r="3" spans="1:12" ht="22.05" customHeight="1" x14ac:dyDescent="0.6">
      <c r="A3" s="45" t="s">
        <v>613</v>
      </c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</row>
    <row r="4" spans="1:12" ht="33.75" x14ac:dyDescent="0.6">
      <c r="A4" s="2" t="s">
        <v>614</v>
      </c>
      <c r="B4" s="2" t="s">
        <v>135</v>
      </c>
      <c r="C4" s="2" t="s">
        <v>105</v>
      </c>
      <c r="D4" s="2" t="s">
        <v>374</v>
      </c>
      <c r="E4" s="2" t="s">
        <v>615</v>
      </c>
      <c r="F4" s="2" t="s">
        <v>616</v>
      </c>
      <c r="G4" s="2" t="s">
        <v>617</v>
      </c>
      <c r="H4" s="2" t="s">
        <v>618</v>
      </c>
      <c r="I4" s="2" t="s">
        <v>619</v>
      </c>
      <c r="J4" s="2" t="s">
        <v>620</v>
      </c>
      <c r="K4" s="2" t="s">
        <v>621</v>
      </c>
      <c r="L4" s="2" t="s">
        <v>622</v>
      </c>
    </row>
    <row r="5" spans="1:12" ht="60" customHeight="1" x14ac:dyDescent="0.6">
      <c r="A5" s="4" t="s">
        <v>623</v>
      </c>
      <c r="B5" s="1" t="s">
        <v>164</v>
      </c>
      <c r="C5" s="6" t="s">
        <v>109</v>
      </c>
      <c r="D5" s="1" t="s">
        <v>624</v>
      </c>
      <c r="E5" s="1" t="s">
        <v>625</v>
      </c>
      <c r="F5" s="1" t="s">
        <v>626</v>
      </c>
      <c r="G5" s="1" t="s">
        <v>627</v>
      </c>
      <c r="H5" s="1" t="s">
        <v>628</v>
      </c>
      <c r="I5" s="1" t="s">
        <v>629</v>
      </c>
      <c r="J5" s="1" t="s">
        <v>630</v>
      </c>
      <c r="K5" s="1" t="s">
        <v>631</v>
      </c>
      <c r="L5" s="6" t="s">
        <v>632</v>
      </c>
    </row>
    <row r="6" spans="1:12" ht="60" customHeight="1" x14ac:dyDescent="0.6">
      <c r="A6" s="4" t="s">
        <v>633</v>
      </c>
      <c r="B6" s="1" t="s">
        <v>164</v>
      </c>
      <c r="C6" s="6" t="s">
        <v>634</v>
      </c>
      <c r="D6" s="1" t="s">
        <v>635</v>
      </c>
      <c r="E6" s="1" t="s">
        <v>636</v>
      </c>
      <c r="F6" s="1" t="s">
        <v>637</v>
      </c>
      <c r="G6" s="1" t="s">
        <v>627</v>
      </c>
      <c r="H6" s="1" t="s">
        <v>628</v>
      </c>
      <c r="I6" s="1" t="s">
        <v>629</v>
      </c>
      <c r="J6" s="1" t="s">
        <v>630</v>
      </c>
      <c r="K6" s="1" t="s">
        <v>631</v>
      </c>
      <c r="L6" s="6" t="s">
        <v>638</v>
      </c>
    </row>
    <row r="7" spans="1:12" ht="60" customHeight="1" x14ac:dyDescent="0.6">
      <c r="A7" s="4" t="s">
        <v>639</v>
      </c>
      <c r="B7" s="1" t="s">
        <v>164</v>
      </c>
      <c r="C7" s="6" t="s">
        <v>640</v>
      </c>
      <c r="D7" s="1" t="s">
        <v>641</v>
      </c>
      <c r="E7" s="1" t="s">
        <v>642</v>
      </c>
      <c r="F7" s="1" t="s">
        <v>643</v>
      </c>
      <c r="G7" s="1" t="s">
        <v>627</v>
      </c>
      <c r="H7" s="1" t="s">
        <v>628</v>
      </c>
      <c r="I7" s="1" t="s">
        <v>629</v>
      </c>
      <c r="J7" s="1" t="s">
        <v>630</v>
      </c>
      <c r="K7" s="1" t="s">
        <v>631</v>
      </c>
      <c r="L7" s="6" t="s">
        <v>638</v>
      </c>
    </row>
    <row r="8" spans="1:12" ht="60" customHeight="1" x14ac:dyDescent="0.6">
      <c r="A8" s="4" t="s">
        <v>644</v>
      </c>
      <c r="B8" s="1" t="s">
        <v>164</v>
      </c>
      <c r="C8" s="6" t="s">
        <v>111</v>
      </c>
      <c r="D8" s="1" t="s">
        <v>645</v>
      </c>
      <c r="E8" s="1" t="s">
        <v>646</v>
      </c>
      <c r="F8" s="1" t="s">
        <v>647</v>
      </c>
      <c r="G8" s="1" t="s">
        <v>627</v>
      </c>
      <c r="H8" s="1" t="s">
        <v>628</v>
      </c>
      <c r="I8" s="1" t="s">
        <v>629</v>
      </c>
      <c r="J8" s="1" t="s">
        <v>630</v>
      </c>
      <c r="K8" s="1" t="s">
        <v>631</v>
      </c>
      <c r="L8" s="6" t="s">
        <v>648</v>
      </c>
    </row>
    <row r="9" spans="1:12" ht="60" customHeight="1" x14ac:dyDescent="0.6">
      <c r="A9" s="4" t="s">
        <v>649</v>
      </c>
      <c r="B9" s="1" t="s">
        <v>164</v>
      </c>
      <c r="C9" s="6" t="s">
        <v>112</v>
      </c>
      <c r="D9" s="1" t="s">
        <v>650</v>
      </c>
      <c r="E9" s="1" t="s">
        <v>651</v>
      </c>
      <c r="F9" s="1" t="s">
        <v>652</v>
      </c>
      <c r="G9" s="1" t="s">
        <v>627</v>
      </c>
      <c r="H9" s="1" t="s">
        <v>628</v>
      </c>
      <c r="I9" s="1" t="s">
        <v>629</v>
      </c>
      <c r="J9" s="1" t="s">
        <v>630</v>
      </c>
      <c r="K9" s="1" t="s">
        <v>631</v>
      </c>
      <c r="L9" s="6" t="s">
        <v>648</v>
      </c>
    </row>
    <row r="10" spans="1:12" ht="60" customHeight="1" x14ac:dyDescent="0.6">
      <c r="A10" s="4" t="s">
        <v>653</v>
      </c>
      <c r="B10" s="1" t="s">
        <v>164</v>
      </c>
      <c r="C10" s="6" t="s">
        <v>113</v>
      </c>
      <c r="D10" s="1" t="s">
        <v>654</v>
      </c>
      <c r="E10" s="1" t="s">
        <v>655</v>
      </c>
      <c r="F10" s="1" t="s">
        <v>656</v>
      </c>
      <c r="G10" s="1" t="s">
        <v>627</v>
      </c>
      <c r="H10" s="1" t="s">
        <v>628</v>
      </c>
      <c r="I10" s="1" t="s">
        <v>629</v>
      </c>
      <c r="J10" s="1" t="s">
        <v>630</v>
      </c>
      <c r="K10" s="1" t="s">
        <v>631</v>
      </c>
      <c r="L10" s="6" t="s">
        <v>657</v>
      </c>
    </row>
    <row r="11" spans="1:12" ht="60" customHeight="1" x14ac:dyDescent="0.6">
      <c r="A11" s="4" t="s">
        <v>658</v>
      </c>
      <c r="B11" s="1" t="s">
        <v>164</v>
      </c>
      <c r="C11" s="6" t="s">
        <v>114</v>
      </c>
      <c r="D11" s="1" t="s">
        <v>659</v>
      </c>
      <c r="E11" s="1" t="s">
        <v>660</v>
      </c>
      <c r="F11" s="1" t="s">
        <v>661</v>
      </c>
      <c r="G11" s="1" t="s">
        <v>627</v>
      </c>
      <c r="H11" s="1" t="s">
        <v>628</v>
      </c>
      <c r="I11" s="1" t="s">
        <v>629</v>
      </c>
      <c r="J11" s="1" t="s">
        <v>630</v>
      </c>
      <c r="K11" s="1" t="s">
        <v>631</v>
      </c>
      <c r="L11" s="6" t="s">
        <v>662</v>
      </c>
    </row>
    <row r="12" spans="1:12" ht="60" customHeight="1" x14ac:dyDescent="0.6">
      <c r="A12" s="4" t="s">
        <v>663</v>
      </c>
      <c r="B12" s="1" t="s">
        <v>147</v>
      </c>
      <c r="C12" s="6" t="s">
        <v>109</v>
      </c>
      <c r="D12" s="1" t="s">
        <v>624</v>
      </c>
      <c r="E12" s="1" t="s">
        <v>664</v>
      </c>
      <c r="F12" s="1" t="s">
        <v>665</v>
      </c>
      <c r="G12" s="1" t="s">
        <v>666</v>
      </c>
      <c r="H12" s="1" t="s">
        <v>667</v>
      </c>
      <c r="I12" s="1" t="s">
        <v>668</v>
      </c>
      <c r="J12" s="1" t="s">
        <v>669</v>
      </c>
      <c r="K12" s="1" t="s">
        <v>670</v>
      </c>
      <c r="L12" s="6" t="s">
        <v>632</v>
      </c>
    </row>
    <row r="13" spans="1:12" ht="60" customHeight="1" x14ac:dyDescent="0.6">
      <c r="A13" s="4" t="s">
        <v>671</v>
      </c>
      <c r="B13" s="1" t="s">
        <v>147</v>
      </c>
      <c r="C13" s="6" t="s">
        <v>634</v>
      </c>
      <c r="D13" s="1" t="s">
        <v>635</v>
      </c>
      <c r="E13" s="1" t="s">
        <v>672</v>
      </c>
      <c r="F13" s="1" t="s">
        <v>673</v>
      </c>
      <c r="G13" s="1" t="s">
        <v>666</v>
      </c>
      <c r="H13" s="1" t="s">
        <v>667</v>
      </c>
      <c r="I13" s="1" t="s">
        <v>668</v>
      </c>
      <c r="J13" s="1" t="s">
        <v>669</v>
      </c>
      <c r="K13" s="1" t="s">
        <v>670</v>
      </c>
      <c r="L13" s="6" t="s">
        <v>638</v>
      </c>
    </row>
    <row r="14" spans="1:12" ht="60" customHeight="1" x14ac:dyDescent="0.6">
      <c r="A14" s="4" t="s">
        <v>674</v>
      </c>
      <c r="B14" s="1" t="s">
        <v>147</v>
      </c>
      <c r="C14" s="6" t="s">
        <v>640</v>
      </c>
      <c r="D14" s="1" t="s">
        <v>641</v>
      </c>
      <c r="E14" s="1" t="s">
        <v>675</v>
      </c>
      <c r="F14" s="1" t="s">
        <v>676</v>
      </c>
      <c r="G14" s="1" t="s">
        <v>666</v>
      </c>
      <c r="H14" s="1" t="s">
        <v>667</v>
      </c>
      <c r="I14" s="1" t="s">
        <v>668</v>
      </c>
      <c r="J14" s="1" t="s">
        <v>669</v>
      </c>
      <c r="K14" s="1" t="s">
        <v>670</v>
      </c>
      <c r="L14" s="6" t="s">
        <v>638</v>
      </c>
    </row>
    <row r="15" spans="1:12" ht="60" customHeight="1" x14ac:dyDescent="0.6">
      <c r="A15" s="4" t="s">
        <v>677</v>
      </c>
      <c r="B15" s="1" t="s">
        <v>147</v>
      </c>
      <c r="C15" s="6" t="s">
        <v>111</v>
      </c>
      <c r="D15" s="1" t="s">
        <v>645</v>
      </c>
      <c r="E15" s="1" t="s">
        <v>678</v>
      </c>
      <c r="F15" s="1" t="s">
        <v>679</v>
      </c>
      <c r="G15" s="1" t="s">
        <v>666</v>
      </c>
      <c r="H15" s="1" t="s">
        <v>667</v>
      </c>
      <c r="I15" s="1" t="s">
        <v>668</v>
      </c>
      <c r="J15" s="1" t="s">
        <v>669</v>
      </c>
      <c r="K15" s="1" t="s">
        <v>670</v>
      </c>
      <c r="L15" s="6" t="s">
        <v>648</v>
      </c>
    </row>
    <row r="16" spans="1:12" ht="60" customHeight="1" x14ac:dyDescent="0.6">
      <c r="A16" s="4" t="s">
        <v>680</v>
      </c>
      <c r="B16" s="1" t="s">
        <v>147</v>
      </c>
      <c r="C16" s="6" t="s">
        <v>112</v>
      </c>
      <c r="D16" s="1" t="s">
        <v>650</v>
      </c>
      <c r="E16" s="1" t="s">
        <v>681</v>
      </c>
      <c r="F16" s="1" t="s">
        <v>682</v>
      </c>
      <c r="G16" s="1" t="s">
        <v>666</v>
      </c>
      <c r="H16" s="1" t="s">
        <v>667</v>
      </c>
      <c r="I16" s="1" t="s">
        <v>668</v>
      </c>
      <c r="J16" s="1" t="s">
        <v>669</v>
      </c>
      <c r="K16" s="1" t="s">
        <v>670</v>
      </c>
      <c r="L16" s="6" t="s">
        <v>648</v>
      </c>
    </row>
    <row r="17" spans="1:12" ht="60" customHeight="1" x14ac:dyDescent="0.6">
      <c r="A17" s="4" t="s">
        <v>683</v>
      </c>
      <c r="B17" s="1" t="s">
        <v>147</v>
      </c>
      <c r="C17" s="6" t="s">
        <v>113</v>
      </c>
      <c r="D17" s="1" t="s">
        <v>654</v>
      </c>
      <c r="E17" s="1" t="s">
        <v>684</v>
      </c>
      <c r="F17" s="1" t="s">
        <v>685</v>
      </c>
      <c r="G17" s="1" t="s">
        <v>666</v>
      </c>
      <c r="H17" s="1" t="s">
        <v>667</v>
      </c>
      <c r="I17" s="1" t="s">
        <v>668</v>
      </c>
      <c r="J17" s="1" t="s">
        <v>669</v>
      </c>
      <c r="K17" s="1" t="s">
        <v>670</v>
      </c>
      <c r="L17" s="6" t="s">
        <v>657</v>
      </c>
    </row>
    <row r="18" spans="1:12" ht="60" customHeight="1" x14ac:dyDescent="0.6">
      <c r="A18" s="4" t="s">
        <v>686</v>
      </c>
      <c r="B18" s="1" t="s">
        <v>147</v>
      </c>
      <c r="C18" s="6" t="s">
        <v>114</v>
      </c>
      <c r="D18" s="1" t="s">
        <v>659</v>
      </c>
      <c r="E18" s="1" t="s">
        <v>687</v>
      </c>
      <c r="F18" s="1" t="s">
        <v>688</v>
      </c>
      <c r="G18" s="1" t="s">
        <v>666</v>
      </c>
      <c r="H18" s="1" t="s">
        <v>667</v>
      </c>
      <c r="I18" s="1" t="s">
        <v>668</v>
      </c>
      <c r="J18" s="1" t="s">
        <v>669</v>
      </c>
      <c r="K18" s="1" t="s">
        <v>670</v>
      </c>
      <c r="L18" s="6" t="s">
        <v>662</v>
      </c>
    </row>
    <row r="19" spans="1:12" ht="60" customHeight="1" x14ac:dyDescent="0.6">
      <c r="A19" s="4" t="s">
        <v>689</v>
      </c>
      <c r="B19" s="1" t="s">
        <v>690</v>
      </c>
      <c r="C19" s="6" t="s">
        <v>109</v>
      </c>
      <c r="D19" s="1" t="s">
        <v>624</v>
      </c>
      <c r="E19" s="1" t="s">
        <v>691</v>
      </c>
      <c r="F19" s="1" t="s">
        <v>692</v>
      </c>
      <c r="G19" s="1" t="s">
        <v>693</v>
      </c>
      <c r="H19" s="1" t="s">
        <v>694</v>
      </c>
      <c r="I19" s="1" t="s">
        <v>695</v>
      </c>
      <c r="J19" s="1" t="s">
        <v>696</v>
      </c>
      <c r="K19" s="1" t="s">
        <v>697</v>
      </c>
      <c r="L19" s="6" t="s">
        <v>698</v>
      </c>
    </row>
    <row r="20" spans="1:12" ht="60" customHeight="1" x14ac:dyDescent="0.6">
      <c r="A20" s="4" t="s">
        <v>699</v>
      </c>
      <c r="B20" s="1" t="s">
        <v>690</v>
      </c>
      <c r="C20" s="6" t="s">
        <v>634</v>
      </c>
      <c r="D20" s="1" t="s">
        <v>635</v>
      </c>
      <c r="E20" s="1" t="s">
        <v>700</v>
      </c>
      <c r="F20" s="1" t="s">
        <v>701</v>
      </c>
      <c r="G20" s="1" t="s">
        <v>693</v>
      </c>
      <c r="H20" s="1" t="s">
        <v>694</v>
      </c>
      <c r="I20" s="1" t="s">
        <v>695</v>
      </c>
      <c r="J20" s="1" t="s">
        <v>696</v>
      </c>
      <c r="K20" s="1" t="s">
        <v>697</v>
      </c>
      <c r="L20" s="6" t="s">
        <v>702</v>
      </c>
    </row>
    <row r="21" spans="1:12" ht="60" customHeight="1" x14ac:dyDescent="0.6">
      <c r="A21" s="4" t="s">
        <v>703</v>
      </c>
      <c r="B21" s="1" t="s">
        <v>690</v>
      </c>
      <c r="C21" s="6" t="s">
        <v>640</v>
      </c>
      <c r="D21" s="1" t="s">
        <v>641</v>
      </c>
      <c r="E21" s="1" t="s">
        <v>704</v>
      </c>
      <c r="F21" s="1" t="s">
        <v>705</v>
      </c>
      <c r="G21" s="1" t="s">
        <v>693</v>
      </c>
      <c r="H21" s="1" t="s">
        <v>694</v>
      </c>
      <c r="I21" s="1" t="s">
        <v>695</v>
      </c>
      <c r="J21" s="1" t="s">
        <v>696</v>
      </c>
      <c r="K21" s="1" t="s">
        <v>697</v>
      </c>
      <c r="L21" s="6" t="s">
        <v>706</v>
      </c>
    </row>
    <row r="22" spans="1:12" ht="60" customHeight="1" x14ac:dyDescent="0.6">
      <c r="A22" s="4" t="s">
        <v>707</v>
      </c>
      <c r="B22" s="1" t="s">
        <v>690</v>
      </c>
      <c r="C22" s="6" t="s">
        <v>111</v>
      </c>
      <c r="D22" s="1" t="s">
        <v>645</v>
      </c>
      <c r="E22" s="1" t="s">
        <v>708</v>
      </c>
      <c r="F22" s="1" t="s">
        <v>709</v>
      </c>
      <c r="G22" s="1" t="s">
        <v>693</v>
      </c>
      <c r="H22" s="1" t="s">
        <v>694</v>
      </c>
      <c r="I22" s="1" t="s">
        <v>695</v>
      </c>
      <c r="J22" s="1" t="s">
        <v>696</v>
      </c>
      <c r="K22" s="1" t="s">
        <v>697</v>
      </c>
      <c r="L22" s="6" t="s">
        <v>710</v>
      </c>
    </row>
    <row r="23" spans="1:12" ht="60" customHeight="1" x14ac:dyDescent="0.6">
      <c r="A23" s="4" t="s">
        <v>711</v>
      </c>
      <c r="B23" s="1" t="s">
        <v>690</v>
      </c>
      <c r="C23" s="6" t="s">
        <v>112</v>
      </c>
      <c r="D23" s="1" t="s">
        <v>650</v>
      </c>
      <c r="E23" s="1" t="s">
        <v>712</v>
      </c>
      <c r="F23" s="1" t="s">
        <v>713</v>
      </c>
      <c r="G23" s="1" t="s">
        <v>693</v>
      </c>
      <c r="H23" s="1" t="s">
        <v>694</v>
      </c>
      <c r="I23" s="1" t="s">
        <v>695</v>
      </c>
      <c r="J23" s="1" t="s">
        <v>696</v>
      </c>
      <c r="K23" s="1" t="s">
        <v>697</v>
      </c>
      <c r="L23" s="6" t="s">
        <v>714</v>
      </c>
    </row>
    <row r="24" spans="1:12" ht="60" customHeight="1" x14ac:dyDescent="0.6">
      <c r="A24" s="4" t="s">
        <v>715</v>
      </c>
      <c r="B24" s="1" t="s">
        <v>690</v>
      </c>
      <c r="C24" s="6" t="s">
        <v>113</v>
      </c>
      <c r="D24" s="1" t="s">
        <v>654</v>
      </c>
      <c r="E24" s="1" t="s">
        <v>716</v>
      </c>
      <c r="F24" s="1" t="s">
        <v>717</v>
      </c>
      <c r="G24" s="1" t="s">
        <v>693</v>
      </c>
      <c r="H24" s="1" t="s">
        <v>694</v>
      </c>
      <c r="I24" s="1" t="s">
        <v>695</v>
      </c>
      <c r="J24" s="1" t="s">
        <v>696</v>
      </c>
      <c r="K24" s="1" t="s">
        <v>697</v>
      </c>
      <c r="L24" s="6" t="s">
        <v>718</v>
      </c>
    </row>
    <row r="25" spans="1:12" ht="60" customHeight="1" x14ac:dyDescent="0.6">
      <c r="A25" s="4" t="s">
        <v>719</v>
      </c>
      <c r="B25" s="1" t="s">
        <v>690</v>
      </c>
      <c r="C25" s="6" t="s">
        <v>114</v>
      </c>
      <c r="D25" s="1" t="s">
        <v>659</v>
      </c>
      <c r="E25" s="1" t="s">
        <v>720</v>
      </c>
      <c r="F25" s="1" t="s">
        <v>721</v>
      </c>
      <c r="G25" s="1" t="s">
        <v>693</v>
      </c>
      <c r="H25" s="1" t="s">
        <v>694</v>
      </c>
      <c r="I25" s="1" t="s">
        <v>695</v>
      </c>
      <c r="J25" s="1" t="s">
        <v>696</v>
      </c>
      <c r="K25" s="1" t="s">
        <v>697</v>
      </c>
      <c r="L25" s="6" t="s">
        <v>722</v>
      </c>
    </row>
    <row r="26" spans="1:12" ht="60" customHeight="1" x14ac:dyDescent="0.6">
      <c r="A26" s="4" t="s">
        <v>723</v>
      </c>
      <c r="B26" s="1" t="s">
        <v>159</v>
      </c>
      <c r="C26" s="6" t="s">
        <v>109</v>
      </c>
      <c r="D26" s="1" t="s">
        <v>624</v>
      </c>
      <c r="E26" s="1" t="s">
        <v>724</v>
      </c>
      <c r="F26" s="1" t="s">
        <v>725</v>
      </c>
      <c r="G26" s="1" t="s">
        <v>726</v>
      </c>
      <c r="H26" s="1" t="s">
        <v>727</v>
      </c>
      <c r="I26" s="1" t="s">
        <v>728</v>
      </c>
      <c r="J26" s="1" t="s">
        <v>729</v>
      </c>
      <c r="K26" s="1" t="s">
        <v>730</v>
      </c>
      <c r="L26" s="6" t="s">
        <v>632</v>
      </c>
    </row>
    <row r="27" spans="1:12" ht="60" customHeight="1" x14ac:dyDescent="0.6">
      <c r="A27" s="4" t="s">
        <v>731</v>
      </c>
      <c r="B27" s="1" t="s">
        <v>159</v>
      </c>
      <c r="C27" s="6" t="s">
        <v>634</v>
      </c>
      <c r="D27" s="1" t="s">
        <v>635</v>
      </c>
      <c r="E27" s="1" t="s">
        <v>732</v>
      </c>
      <c r="F27" s="1" t="s">
        <v>733</v>
      </c>
      <c r="G27" s="1" t="s">
        <v>726</v>
      </c>
      <c r="H27" s="1" t="s">
        <v>727</v>
      </c>
      <c r="I27" s="1" t="s">
        <v>728</v>
      </c>
      <c r="J27" s="1" t="s">
        <v>729</v>
      </c>
      <c r="K27" s="1" t="s">
        <v>730</v>
      </c>
      <c r="L27" s="6" t="s">
        <v>638</v>
      </c>
    </row>
    <row r="28" spans="1:12" ht="60" customHeight="1" x14ac:dyDescent="0.6">
      <c r="A28" s="4" t="s">
        <v>734</v>
      </c>
      <c r="B28" s="1" t="s">
        <v>159</v>
      </c>
      <c r="C28" s="6" t="s">
        <v>640</v>
      </c>
      <c r="D28" s="1" t="s">
        <v>641</v>
      </c>
      <c r="E28" s="1" t="s">
        <v>735</v>
      </c>
      <c r="F28" s="1" t="s">
        <v>736</v>
      </c>
      <c r="G28" s="1" t="s">
        <v>726</v>
      </c>
      <c r="H28" s="1" t="s">
        <v>727</v>
      </c>
      <c r="I28" s="1" t="s">
        <v>728</v>
      </c>
      <c r="J28" s="1" t="s">
        <v>729</v>
      </c>
      <c r="K28" s="1" t="s">
        <v>730</v>
      </c>
      <c r="L28" s="6" t="s">
        <v>638</v>
      </c>
    </row>
    <row r="29" spans="1:12" ht="60" customHeight="1" x14ac:dyDescent="0.6">
      <c r="A29" s="4" t="s">
        <v>737</v>
      </c>
      <c r="B29" s="1" t="s">
        <v>159</v>
      </c>
      <c r="C29" s="6" t="s">
        <v>111</v>
      </c>
      <c r="D29" s="1" t="s">
        <v>645</v>
      </c>
      <c r="E29" s="1" t="s">
        <v>738</v>
      </c>
      <c r="F29" s="1" t="s">
        <v>739</v>
      </c>
      <c r="G29" s="1" t="s">
        <v>726</v>
      </c>
      <c r="H29" s="1" t="s">
        <v>727</v>
      </c>
      <c r="I29" s="1" t="s">
        <v>728</v>
      </c>
      <c r="J29" s="1" t="s">
        <v>729</v>
      </c>
      <c r="K29" s="1" t="s">
        <v>730</v>
      </c>
      <c r="L29" s="6" t="s">
        <v>648</v>
      </c>
    </row>
    <row r="30" spans="1:12" ht="60" customHeight="1" x14ac:dyDescent="0.6">
      <c r="A30" s="4" t="s">
        <v>740</v>
      </c>
      <c r="B30" s="1" t="s">
        <v>159</v>
      </c>
      <c r="C30" s="6" t="s">
        <v>112</v>
      </c>
      <c r="D30" s="1" t="s">
        <v>650</v>
      </c>
      <c r="E30" s="1" t="s">
        <v>741</v>
      </c>
      <c r="F30" s="1" t="s">
        <v>742</v>
      </c>
      <c r="G30" s="1" t="s">
        <v>726</v>
      </c>
      <c r="H30" s="1" t="s">
        <v>727</v>
      </c>
      <c r="I30" s="1" t="s">
        <v>728</v>
      </c>
      <c r="J30" s="1" t="s">
        <v>729</v>
      </c>
      <c r="K30" s="1" t="s">
        <v>730</v>
      </c>
      <c r="L30" s="6" t="s">
        <v>648</v>
      </c>
    </row>
    <row r="31" spans="1:12" ht="60" customHeight="1" x14ac:dyDescent="0.6">
      <c r="A31" s="4" t="s">
        <v>743</v>
      </c>
      <c r="B31" s="1" t="s">
        <v>159</v>
      </c>
      <c r="C31" s="6" t="s">
        <v>113</v>
      </c>
      <c r="D31" s="1" t="s">
        <v>654</v>
      </c>
      <c r="E31" s="1" t="s">
        <v>744</v>
      </c>
      <c r="F31" s="1" t="s">
        <v>745</v>
      </c>
      <c r="G31" s="1" t="s">
        <v>726</v>
      </c>
      <c r="H31" s="1" t="s">
        <v>727</v>
      </c>
      <c r="I31" s="1" t="s">
        <v>728</v>
      </c>
      <c r="J31" s="1" t="s">
        <v>729</v>
      </c>
      <c r="K31" s="1" t="s">
        <v>730</v>
      </c>
      <c r="L31" s="6" t="s">
        <v>657</v>
      </c>
    </row>
    <row r="32" spans="1:12" ht="60" customHeight="1" x14ac:dyDescent="0.6">
      <c r="A32" s="4" t="s">
        <v>746</v>
      </c>
      <c r="B32" s="1" t="s">
        <v>159</v>
      </c>
      <c r="C32" s="6" t="s">
        <v>114</v>
      </c>
      <c r="D32" s="1" t="s">
        <v>659</v>
      </c>
      <c r="E32" s="1" t="s">
        <v>747</v>
      </c>
      <c r="F32" s="1" t="s">
        <v>748</v>
      </c>
      <c r="G32" s="1" t="s">
        <v>726</v>
      </c>
      <c r="H32" s="1" t="s">
        <v>727</v>
      </c>
      <c r="I32" s="1" t="s">
        <v>728</v>
      </c>
      <c r="J32" s="1" t="s">
        <v>729</v>
      </c>
      <c r="K32" s="1" t="s">
        <v>730</v>
      </c>
      <c r="L32" s="6" t="s">
        <v>662</v>
      </c>
    </row>
    <row r="33" spans="1:12" ht="60" customHeight="1" x14ac:dyDescent="0.6">
      <c r="A33" s="4" t="s">
        <v>749</v>
      </c>
      <c r="B33" s="1" t="s">
        <v>750</v>
      </c>
      <c r="C33" s="6" t="s">
        <v>109</v>
      </c>
      <c r="D33" s="1" t="s">
        <v>624</v>
      </c>
      <c r="E33" s="1" t="s">
        <v>751</v>
      </c>
      <c r="F33" s="1" t="s">
        <v>752</v>
      </c>
      <c r="G33" s="1" t="s">
        <v>753</v>
      </c>
      <c r="H33" s="1" t="s">
        <v>754</v>
      </c>
      <c r="I33" s="1" t="s">
        <v>755</v>
      </c>
      <c r="J33" s="1" t="s">
        <v>756</v>
      </c>
      <c r="K33" s="1" t="s">
        <v>757</v>
      </c>
      <c r="L33" s="6" t="s">
        <v>632</v>
      </c>
    </row>
    <row r="34" spans="1:12" ht="60" customHeight="1" x14ac:dyDescent="0.6">
      <c r="A34" s="4" t="s">
        <v>758</v>
      </c>
      <c r="B34" s="1" t="s">
        <v>750</v>
      </c>
      <c r="C34" s="6" t="s">
        <v>634</v>
      </c>
      <c r="D34" s="1" t="s">
        <v>635</v>
      </c>
      <c r="E34" s="1" t="s">
        <v>759</v>
      </c>
      <c r="F34" s="1" t="s">
        <v>760</v>
      </c>
      <c r="G34" s="1" t="s">
        <v>753</v>
      </c>
      <c r="H34" s="1" t="s">
        <v>754</v>
      </c>
      <c r="I34" s="1" t="s">
        <v>755</v>
      </c>
      <c r="J34" s="1" t="s">
        <v>756</v>
      </c>
      <c r="K34" s="1" t="s">
        <v>757</v>
      </c>
      <c r="L34" s="6" t="s">
        <v>638</v>
      </c>
    </row>
    <row r="35" spans="1:12" ht="60" customHeight="1" x14ac:dyDescent="0.6">
      <c r="A35" s="4" t="s">
        <v>761</v>
      </c>
      <c r="B35" s="1" t="s">
        <v>750</v>
      </c>
      <c r="C35" s="6" t="s">
        <v>640</v>
      </c>
      <c r="D35" s="1" t="s">
        <v>641</v>
      </c>
      <c r="E35" s="1" t="s">
        <v>762</v>
      </c>
      <c r="F35" s="1" t="s">
        <v>763</v>
      </c>
      <c r="G35" s="1" t="s">
        <v>753</v>
      </c>
      <c r="H35" s="1" t="s">
        <v>754</v>
      </c>
      <c r="I35" s="1" t="s">
        <v>755</v>
      </c>
      <c r="J35" s="1" t="s">
        <v>756</v>
      </c>
      <c r="K35" s="1" t="s">
        <v>757</v>
      </c>
      <c r="L35" s="6" t="s">
        <v>638</v>
      </c>
    </row>
    <row r="36" spans="1:12" ht="60" customHeight="1" x14ac:dyDescent="0.6">
      <c r="A36" s="4" t="s">
        <v>764</v>
      </c>
      <c r="B36" s="1" t="s">
        <v>750</v>
      </c>
      <c r="C36" s="6" t="s">
        <v>111</v>
      </c>
      <c r="D36" s="1" t="s">
        <v>645</v>
      </c>
      <c r="E36" s="1" t="s">
        <v>765</v>
      </c>
      <c r="F36" s="1" t="s">
        <v>766</v>
      </c>
      <c r="G36" s="1" t="s">
        <v>753</v>
      </c>
      <c r="H36" s="1" t="s">
        <v>754</v>
      </c>
      <c r="I36" s="1" t="s">
        <v>755</v>
      </c>
      <c r="J36" s="1" t="s">
        <v>756</v>
      </c>
      <c r="K36" s="1" t="s">
        <v>757</v>
      </c>
      <c r="L36" s="6" t="s">
        <v>648</v>
      </c>
    </row>
    <row r="37" spans="1:12" ht="60" customHeight="1" x14ac:dyDescent="0.6">
      <c r="A37" s="4" t="s">
        <v>767</v>
      </c>
      <c r="B37" s="1" t="s">
        <v>750</v>
      </c>
      <c r="C37" s="6" t="s">
        <v>112</v>
      </c>
      <c r="D37" s="1" t="s">
        <v>650</v>
      </c>
      <c r="E37" s="1" t="s">
        <v>768</v>
      </c>
      <c r="F37" s="1" t="s">
        <v>769</v>
      </c>
      <c r="G37" s="1" t="s">
        <v>753</v>
      </c>
      <c r="H37" s="1" t="s">
        <v>754</v>
      </c>
      <c r="I37" s="1" t="s">
        <v>755</v>
      </c>
      <c r="J37" s="1" t="s">
        <v>756</v>
      </c>
      <c r="K37" s="1" t="s">
        <v>757</v>
      </c>
      <c r="L37" s="6" t="s">
        <v>648</v>
      </c>
    </row>
    <row r="38" spans="1:12" ht="60" customHeight="1" x14ac:dyDescent="0.6">
      <c r="A38" s="4" t="s">
        <v>770</v>
      </c>
      <c r="B38" s="1" t="s">
        <v>750</v>
      </c>
      <c r="C38" s="6" t="s">
        <v>113</v>
      </c>
      <c r="D38" s="1" t="s">
        <v>654</v>
      </c>
      <c r="E38" s="1" t="s">
        <v>771</v>
      </c>
      <c r="F38" s="1" t="s">
        <v>772</v>
      </c>
      <c r="G38" s="1" t="s">
        <v>753</v>
      </c>
      <c r="H38" s="1" t="s">
        <v>754</v>
      </c>
      <c r="I38" s="1" t="s">
        <v>755</v>
      </c>
      <c r="J38" s="1" t="s">
        <v>756</v>
      </c>
      <c r="K38" s="1" t="s">
        <v>757</v>
      </c>
      <c r="L38" s="6" t="s">
        <v>657</v>
      </c>
    </row>
    <row r="39" spans="1:12" ht="60" customHeight="1" x14ac:dyDescent="0.6">
      <c r="A39" s="4" t="s">
        <v>773</v>
      </c>
      <c r="B39" s="1" t="s">
        <v>750</v>
      </c>
      <c r="C39" s="6" t="s">
        <v>114</v>
      </c>
      <c r="D39" s="1" t="s">
        <v>659</v>
      </c>
      <c r="E39" s="1" t="s">
        <v>774</v>
      </c>
      <c r="F39" s="1" t="s">
        <v>775</v>
      </c>
      <c r="G39" s="1" t="s">
        <v>753</v>
      </c>
      <c r="H39" s="1" t="s">
        <v>754</v>
      </c>
      <c r="I39" s="1" t="s">
        <v>755</v>
      </c>
      <c r="J39" s="1" t="s">
        <v>756</v>
      </c>
      <c r="K39" s="1" t="s">
        <v>757</v>
      </c>
      <c r="L39" s="6" t="s">
        <v>718</v>
      </c>
    </row>
    <row r="40" spans="1:12" ht="60" customHeight="1" x14ac:dyDescent="0.6">
      <c r="A40" s="4" t="s">
        <v>776</v>
      </c>
      <c r="B40" s="1" t="s">
        <v>777</v>
      </c>
      <c r="C40" s="6" t="s">
        <v>109</v>
      </c>
      <c r="D40" s="1" t="s">
        <v>624</v>
      </c>
      <c r="E40" s="1" t="s">
        <v>778</v>
      </c>
      <c r="F40" s="1" t="s">
        <v>779</v>
      </c>
      <c r="G40" s="1" t="s">
        <v>780</v>
      </c>
      <c r="H40" s="1" t="s">
        <v>781</v>
      </c>
      <c r="I40" s="1" t="s">
        <v>782</v>
      </c>
      <c r="J40" s="1"/>
      <c r="K40" s="1" t="s">
        <v>783</v>
      </c>
      <c r="L40" s="6" t="s">
        <v>632</v>
      </c>
    </row>
    <row r="41" spans="1:12" ht="60" customHeight="1" x14ac:dyDescent="0.6">
      <c r="A41" s="4" t="s">
        <v>784</v>
      </c>
      <c r="B41" s="1" t="s">
        <v>777</v>
      </c>
      <c r="C41" s="6" t="s">
        <v>634</v>
      </c>
      <c r="D41" s="1" t="s">
        <v>635</v>
      </c>
      <c r="E41" s="1" t="s">
        <v>785</v>
      </c>
      <c r="F41" s="1" t="s">
        <v>786</v>
      </c>
      <c r="G41" s="1" t="s">
        <v>780</v>
      </c>
      <c r="H41" s="1" t="s">
        <v>781</v>
      </c>
      <c r="I41" s="1" t="s">
        <v>782</v>
      </c>
      <c r="J41" s="1"/>
      <c r="K41" s="1" t="s">
        <v>783</v>
      </c>
      <c r="L41" s="6" t="s">
        <v>638</v>
      </c>
    </row>
    <row r="42" spans="1:12" ht="60" customHeight="1" x14ac:dyDescent="0.6">
      <c r="A42" s="4" t="s">
        <v>787</v>
      </c>
      <c r="B42" s="1" t="s">
        <v>777</v>
      </c>
      <c r="C42" s="6" t="s">
        <v>640</v>
      </c>
      <c r="D42" s="1" t="s">
        <v>641</v>
      </c>
      <c r="E42" s="1" t="s">
        <v>788</v>
      </c>
      <c r="F42" s="1" t="s">
        <v>789</v>
      </c>
      <c r="G42" s="1" t="s">
        <v>780</v>
      </c>
      <c r="H42" s="1" t="s">
        <v>781</v>
      </c>
      <c r="I42" s="1" t="s">
        <v>782</v>
      </c>
      <c r="J42" s="1"/>
      <c r="K42" s="1" t="s">
        <v>783</v>
      </c>
      <c r="L42" s="6" t="s">
        <v>648</v>
      </c>
    </row>
    <row r="43" spans="1:12" ht="60" customHeight="1" x14ac:dyDescent="0.6">
      <c r="A43" s="4" t="s">
        <v>790</v>
      </c>
      <c r="B43" s="1" t="s">
        <v>777</v>
      </c>
      <c r="C43" s="6" t="s">
        <v>111</v>
      </c>
      <c r="D43" s="1" t="s">
        <v>645</v>
      </c>
      <c r="E43" s="1" t="s">
        <v>791</v>
      </c>
      <c r="F43" s="1" t="s">
        <v>792</v>
      </c>
      <c r="G43" s="1" t="s">
        <v>780</v>
      </c>
      <c r="H43" s="1" t="s">
        <v>781</v>
      </c>
      <c r="I43" s="1" t="s">
        <v>782</v>
      </c>
      <c r="J43" s="1"/>
      <c r="K43" s="1" t="s">
        <v>783</v>
      </c>
      <c r="L43" s="6" t="s">
        <v>648</v>
      </c>
    </row>
    <row r="44" spans="1:12" ht="60" customHeight="1" x14ac:dyDescent="0.6">
      <c r="A44" s="4" t="s">
        <v>793</v>
      </c>
      <c r="B44" s="1" t="s">
        <v>777</v>
      </c>
      <c r="C44" s="6" t="s">
        <v>112</v>
      </c>
      <c r="D44" s="1" t="s">
        <v>650</v>
      </c>
      <c r="E44" s="1" t="s">
        <v>794</v>
      </c>
      <c r="F44" s="1" t="s">
        <v>795</v>
      </c>
      <c r="G44" s="1" t="s">
        <v>780</v>
      </c>
      <c r="H44" s="1" t="s">
        <v>781</v>
      </c>
      <c r="I44" s="1" t="s">
        <v>782</v>
      </c>
      <c r="J44" s="1"/>
      <c r="K44" s="1" t="s">
        <v>783</v>
      </c>
      <c r="L44" s="6" t="s">
        <v>657</v>
      </c>
    </row>
    <row r="45" spans="1:12" ht="60" customHeight="1" x14ac:dyDescent="0.6">
      <c r="A45" s="4" t="s">
        <v>796</v>
      </c>
      <c r="B45" s="1" t="s">
        <v>777</v>
      </c>
      <c r="C45" s="6" t="s">
        <v>113</v>
      </c>
      <c r="D45" s="1" t="s">
        <v>654</v>
      </c>
      <c r="E45" s="1" t="s">
        <v>797</v>
      </c>
      <c r="F45" s="1" t="s">
        <v>798</v>
      </c>
      <c r="G45" s="1" t="s">
        <v>780</v>
      </c>
      <c r="H45" s="1" t="s">
        <v>781</v>
      </c>
      <c r="I45" s="1" t="s">
        <v>782</v>
      </c>
      <c r="J45" s="1"/>
      <c r="K45" s="1" t="s">
        <v>783</v>
      </c>
      <c r="L45" s="6" t="s">
        <v>657</v>
      </c>
    </row>
    <row r="46" spans="1:12" ht="60" customHeight="1" x14ac:dyDescent="0.6">
      <c r="A46" s="4" t="s">
        <v>799</v>
      </c>
      <c r="B46" s="1" t="s">
        <v>777</v>
      </c>
      <c r="C46" s="6" t="s">
        <v>114</v>
      </c>
      <c r="D46" s="1" t="s">
        <v>659</v>
      </c>
      <c r="E46" s="1" t="s">
        <v>800</v>
      </c>
      <c r="F46" s="1" t="s">
        <v>801</v>
      </c>
      <c r="G46" s="1" t="s">
        <v>780</v>
      </c>
      <c r="H46" s="1" t="s">
        <v>781</v>
      </c>
      <c r="I46" s="1" t="s">
        <v>782</v>
      </c>
      <c r="J46" s="1"/>
      <c r="K46" s="1" t="s">
        <v>783</v>
      </c>
      <c r="L46" s="6" t="s">
        <v>662</v>
      </c>
    </row>
    <row r="47" spans="1:12" ht="60" customHeight="1" x14ac:dyDescent="0.6">
      <c r="A47" s="4" t="s">
        <v>802</v>
      </c>
      <c r="B47" s="1" t="s">
        <v>153</v>
      </c>
      <c r="C47" s="6" t="s">
        <v>109</v>
      </c>
      <c r="D47" s="1" t="s">
        <v>624</v>
      </c>
      <c r="E47" s="1" t="s">
        <v>803</v>
      </c>
      <c r="F47" s="1" t="s">
        <v>804</v>
      </c>
      <c r="G47" s="1" t="s">
        <v>805</v>
      </c>
      <c r="H47" s="1" t="s">
        <v>806</v>
      </c>
      <c r="I47" s="1" t="s">
        <v>807</v>
      </c>
      <c r="J47" s="1" t="s">
        <v>808</v>
      </c>
      <c r="K47" s="1" t="s">
        <v>809</v>
      </c>
      <c r="L47" s="6" t="s">
        <v>632</v>
      </c>
    </row>
    <row r="48" spans="1:12" ht="60" customHeight="1" x14ac:dyDescent="0.6">
      <c r="A48" s="4" t="s">
        <v>810</v>
      </c>
      <c r="B48" s="1" t="s">
        <v>153</v>
      </c>
      <c r="C48" s="6" t="s">
        <v>634</v>
      </c>
      <c r="D48" s="1" t="s">
        <v>635</v>
      </c>
      <c r="E48" s="1" t="s">
        <v>811</v>
      </c>
      <c r="F48" s="1" t="s">
        <v>812</v>
      </c>
      <c r="G48" s="1" t="s">
        <v>805</v>
      </c>
      <c r="H48" s="1" t="s">
        <v>806</v>
      </c>
      <c r="I48" s="1" t="s">
        <v>807</v>
      </c>
      <c r="J48" s="1" t="s">
        <v>808</v>
      </c>
      <c r="K48" s="1" t="s">
        <v>809</v>
      </c>
      <c r="L48" s="6" t="s">
        <v>638</v>
      </c>
    </row>
    <row r="49" spans="1:12" ht="60" customHeight="1" x14ac:dyDescent="0.6">
      <c r="A49" s="4" t="s">
        <v>813</v>
      </c>
      <c r="B49" s="1" t="s">
        <v>153</v>
      </c>
      <c r="C49" s="6" t="s">
        <v>640</v>
      </c>
      <c r="D49" s="1" t="s">
        <v>641</v>
      </c>
      <c r="E49" s="1" t="s">
        <v>814</v>
      </c>
      <c r="F49" s="1" t="s">
        <v>815</v>
      </c>
      <c r="G49" s="1" t="s">
        <v>805</v>
      </c>
      <c r="H49" s="1" t="s">
        <v>806</v>
      </c>
      <c r="I49" s="1" t="s">
        <v>807</v>
      </c>
      <c r="J49" s="1" t="s">
        <v>808</v>
      </c>
      <c r="K49" s="1" t="s">
        <v>809</v>
      </c>
      <c r="L49" s="6" t="s">
        <v>638</v>
      </c>
    </row>
    <row r="50" spans="1:12" ht="60" customHeight="1" x14ac:dyDescent="0.6">
      <c r="A50" s="4" t="s">
        <v>816</v>
      </c>
      <c r="B50" s="1" t="s">
        <v>153</v>
      </c>
      <c r="C50" s="6" t="s">
        <v>111</v>
      </c>
      <c r="D50" s="1" t="s">
        <v>645</v>
      </c>
      <c r="E50" s="1" t="s">
        <v>817</v>
      </c>
      <c r="F50" s="1" t="s">
        <v>818</v>
      </c>
      <c r="G50" s="1" t="s">
        <v>805</v>
      </c>
      <c r="H50" s="1" t="s">
        <v>806</v>
      </c>
      <c r="I50" s="1" t="s">
        <v>807</v>
      </c>
      <c r="J50" s="1" t="s">
        <v>808</v>
      </c>
      <c r="K50" s="1" t="s">
        <v>809</v>
      </c>
      <c r="L50" s="6" t="s">
        <v>648</v>
      </c>
    </row>
    <row r="51" spans="1:12" ht="60" customHeight="1" x14ac:dyDescent="0.6">
      <c r="A51" s="4" t="s">
        <v>819</v>
      </c>
      <c r="B51" s="1" t="s">
        <v>153</v>
      </c>
      <c r="C51" s="6" t="s">
        <v>112</v>
      </c>
      <c r="D51" s="1" t="s">
        <v>650</v>
      </c>
      <c r="E51" s="1" t="s">
        <v>820</v>
      </c>
      <c r="F51" s="1" t="s">
        <v>821</v>
      </c>
      <c r="G51" s="1" t="s">
        <v>805</v>
      </c>
      <c r="H51" s="1" t="s">
        <v>806</v>
      </c>
      <c r="I51" s="1" t="s">
        <v>807</v>
      </c>
      <c r="J51" s="1" t="s">
        <v>808</v>
      </c>
      <c r="K51" s="1" t="s">
        <v>809</v>
      </c>
      <c r="L51" s="6" t="s">
        <v>648</v>
      </c>
    </row>
    <row r="52" spans="1:12" ht="60" customHeight="1" x14ac:dyDescent="0.6">
      <c r="A52" s="4" t="s">
        <v>822</v>
      </c>
      <c r="B52" s="1" t="s">
        <v>153</v>
      </c>
      <c r="C52" s="6" t="s">
        <v>113</v>
      </c>
      <c r="D52" s="1" t="s">
        <v>654</v>
      </c>
      <c r="E52" s="1" t="s">
        <v>823</v>
      </c>
      <c r="F52" s="1" t="s">
        <v>824</v>
      </c>
      <c r="G52" s="1" t="s">
        <v>805</v>
      </c>
      <c r="H52" s="1" t="s">
        <v>806</v>
      </c>
      <c r="I52" s="1" t="s">
        <v>807</v>
      </c>
      <c r="J52" s="1" t="s">
        <v>808</v>
      </c>
      <c r="K52" s="1" t="s">
        <v>809</v>
      </c>
      <c r="L52" s="6" t="s">
        <v>657</v>
      </c>
    </row>
    <row r="53" spans="1:12" ht="60" customHeight="1" x14ac:dyDescent="0.6">
      <c r="A53" s="4" t="s">
        <v>825</v>
      </c>
      <c r="B53" s="1" t="s">
        <v>153</v>
      </c>
      <c r="C53" s="6" t="s">
        <v>114</v>
      </c>
      <c r="D53" s="1" t="s">
        <v>659</v>
      </c>
      <c r="E53" s="1" t="s">
        <v>826</v>
      </c>
      <c r="F53" s="1" t="s">
        <v>827</v>
      </c>
      <c r="G53" s="1" t="s">
        <v>805</v>
      </c>
      <c r="H53" s="1" t="s">
        <v>806</v>
      </c>
      <c r="I53" s="1" t="s">
        <v>807</v>
      </c>
      <c r="J53" s="1" t="s">
        <v>808</v>
      </c>
      <c r="K53" s="1" t="s">
        <v>809</v>
      </c>
      <c r="L53" s="6" t="s">
        <v>718</v>
      </c>
    </row>
    <row r="54" spans="1:12" ht="60" customHeight="1" x14ac:dyDescent="0.6">
      <c r="A54" s="4" t="s">
        <v>828</v>
      </c>
      <c r="B54" s="1" t="s">
        <v>174</v>
      </c>
      <c r="C54" s="6" t="s">
        <v>109</v>
      </c>
      <c r="D54" s="1" t="s">
        <v>624</v>
      </c>
      <c r="E54" s="1" t="s">
        <v>751</v>
      </c>
      <c r="F54" s="1" t="s">
        <v>752</v>
      </c>
      <c r="G54" s="1" t="s">
        <v>753</v>
      </c>
      <c r="H54" s="1" t="s">
        <v>754</v>
      </c>
      <c r="I54" s="1" t="s">
        <v>755</v>
      </c>
      <c r="J54" s="1" t="s">
        <v>756</v>
      </c>
      <c r="K54" s="1" t="s">
        <v>829</v>
      </c>
      <c r="L54" s="6"/>
    </row>
    <row r="55" spans="1:12" ht="60" customHeight="1" x14ac:dyDescent="0.6">
      <c r="A55" s="4" t="s">
        <v>830</v>
      </c>
      <c r="B55" s="1" t="s">
        <v>174</v>
      </c>
      <c r="C55" s="6" t="s">
        <v>634</v>
      </c>
      <c r="D55" s="1" t="s">
        <v>635</v>
      </c>
      <c r="E55" s="1" t="s">
        <v>759</v>
      </c>
      <c r="F55" s="1" t="s">
        <v>760</v>
      </c>
      <c r="G55" s="1" t="s">
        <v>753</v>
      </c>
      <c r="H55" s="1" t="s">
        <v>754</v>
      </c>
      <c r="I55" s="1" t="s">
        <v>755</v>
      </c>
      <c r="J55" s="1" t="s">
        <v>756</v>
      </c>
      <c r="K55" s="1" t="s">
        <v>829</v>
      </c>
      <c r="L55" s="6"/>
    </row>
    <row r="56" spans="1:12" ht="60" customHeight="1" x14ac:dyDescent="0.6">
      <c r="A56" s="4" t="s">
        <v>831</v>
      </c>
      <c r="B56" s="1" t="s">
        <v>174</v>
      </c>
      <c r="C56" s="6" t="s">
        <v>640</v>
      </c>
      <c r="D56" s="1" t="s">
        <v>641</v>
      </c>
      <c r="E56" s="1" t="s">
        <v>762</v>
      </c>
      <c r="F56" s="1" t="s">
        <v>763</v>
      </c>
      <c r="G56" s="1" t="s">
        <v>753</v>
      </c>
      <c r="H56" s="1" t="s">
        <v>754</v>
      </c>
      <c r="I56" s="1" t="s">
        <v>755</v>
      </c>
      <c r="J56" s="1" t="s">
        <v>756</v>
      </c>
      <c r="K56" s="1" t="s">
        <v>829</v>
      </c>
      <c r="L56" s="6"/>
    </row>
    <row r="57" spans="1:12" ht="60" customHeight="1" x14ac:dyDescent="0.6">
      <c r="A57" s="4" t="s">
        <v>832</v>
      </c>
      <c r="B57" s="1" t="s">
        <v>174</v>
      </c>
      <c r="C57" s="6" t="s">
        <v>111</v>
      </c>
      <c r="D57" s="1" t="s">
        <v>645</v>
      </c>
      <c r="E57" s="1" t="s">
        <v>765</v>
      </c>
      <c r="F57" s="1" t="s">
        <v>766</v>
      </c>
      <c r="G57" s="1" t="s">
        <v>753</v>
      </c>
      <c r="H57" s="1" t="s">
        <v>754</v>
      </c>
      <c r="I57" s="1" t="s">
        <v>755</v>
      </c>
      <c r="J57" s="1" t="s">
        <v>756</v>
      </c>
      <c r="K57" s="1" t="s">
        <v>829</v>
      </c>
      <c r="L57" s="6"/>
    </row>
    <row r="58" spans="1:12" ht="60" customHeight="1" x14ac:dyDescent="0.6">
      <c r="A58" s="4" t="s">
        <v>833</v>
      </c>
      <c r="B58" s="1" t="s">
        <v>174</v>
      </c>
      <c r="C58" s="6" t="s">
        <v>112</v>
      </c>
      <c r="D58" s="1" t="s">
        <v>650</v>
      </c>
      <c r="E58" s="1" t="s">
        <v>768</v>
      </c>
      <c r="F58" s="1" t="s">
        <v>769</v>
      </c>
      <c r="G58" s="1" t="s">
        <v>753</v>
      </c>
      <c r="H58" s="1" t="s">
        <v>754</v>
      </c>
      <c r="I58" s="1" t="s">
        <v>755</v>
      </c>
      <c r="J58" s="1" t="s">
        <v>756</v>
      </c>
      <c r="K58" s="1" t="s">
        <v>829</v>
      </c>
      <c r="L58" s="6"/>
    </row>
    <row r="59" spans="1:12" ht="60" customHeight="1" x14ac:dyDescent="0.6">
      <c r="A59" s="4" t="s">
        <v>834</v>
      </c>
      <c r="B59" s="1" t="s">
        <v>174</v>
      </c>
      <c r="C59" s="6" t="s">
        <v>113</v>
      </c>
      <c r="D59" s="1" t="s">
        <v>654</v>
      </c>
      <c r="E59" s="1" t="s">
        <v>771</v>
      </c>
      <c r="F59" s="1" t="s">
        <v>772</v>
      </c>
      <c r="G59" s="1" t="s">
        <v>753</v>
      </c>
      <c r="H59" s="1" t="s">
        <v>754</v>
      </c>
      <c r="I59" s="1" t="s">
        <v>755</v>
      </c>
      <c r="J59" s="1" t="s">
        <v>756</v>
      </c>
      <c r="K59" s="1" t="s">
        <v>829</v>
      </c>
      <c r="L59" s="6"/>
    </row>
    <row r="60" spans="1:12" ht="60" customHeight="1" x14ac:dyDescent="0.6">
      <c r="A60" s="4" t="s">
        <v>835</v>
      </c>
      <c r="B60" s="1" t="s">
        <v>174</v>
      </c>
      <c r="C60" s="6" t="s">
        <v>114</v>
      </c>
      <c r="D60" s="1" t="s">
        <v>659</v>
      </c>
      <c r="E60" s="1" t="s">
        <v>774</v>
      </c>
      <c r="F60" s="1" t="s">
        <v>775</v>
      </c>
      <c r="G60" s="1" t="s">
        <v>753</v>
      </c>
      <c r="H60" s="1" t="s">
        <v>754</v>
      </c>
      <c r="I60" s="1" t="s">
        <v>755</v>
      </c>
      <c r="J60" s="1" t="s">
        <v>756</v>
      </c>
      <c r="K60" s="1" t="s">
        <v>829</v>
      </c>
      <c r="L60" s="6"/>
    </row>
  </sheetData>
  <mergeCells count="3">
    <mergeCell ref="A3:L3"/>
    <mergeCell ref="A2:L2"/>
    <mergeCell ref="A1:L1"/>
  </mergeCells>
  <phoneticPr fontId="16" type="noConversion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65"/>
  <sheetViews>
    <sheetView showGridLines="0" workbookViewId="0">
      <pane ySplit="4" topLeftCell="A39" activePane="bottomLeft" state="frozen"/>
      <selection pane="bottomLeft" activeCell="G45" sqref="G45"/>
    </sheetView>
  </sheetViews>
  <sheetFormatPr defaultRowHeight="16.899999999999999" x14ac:dyDescent="0.6"/>
  <cols>
    <col min="1" max="1" width="5" customWidth="1"/>
    <col min="2" max="2" width="16" customWidth="1"/>
    <col min="3" max="3" width="18" customWidth="1"/>
    <col min="4" max="4" width="22" customWidth="1"/>
    <col min="5" max="5" width="50" customWidth="1"/>
    <col min="6" max="7" width="28" customWidth="1"/>
    <col min="8" max="8" width="12" customWidth="1"/>
  </cols>
  <sheetData>
    <row r="1" spans="1:8" ht="28.05" customHeight="1" x14ac:dyDescent="0.6">
      <c r="A1" s="51" t="s">
        <v>836</v>
      </c>
      <c r="B1" s="43"/>
      <c r="C1" s="43"/>
      <c r="D1" s="43"/>
      <c r="E1" s="43"/>
      <c r="F1" s="43"/>
      <c r="G1" s="43"/>
      <c r="H1" s="43"/>
    </row>
    <row r="2" spans="1:8" ht="18" customHeight="1" x14ac:dyDescent="0.6">
      <c r="A2" s="48" t="s">
        <v>837</v>
      </c>
      <c r="B2" s="43"/>
      <c r="C2" s="43"/>
      <c r="D2" s="43"/>
      <c r="E2" s="43"/>
      <c r="F2" s="43"/>
      <c r="G2" s="43"/>
      <c r="H2" s="43"/>
    </row>
    <row r="3" spans="1:8" ht="22.05" customHeight="1" x14ac:dyDescent="0.6">
      <c r="A3" s="45" t="s">
        <v>838</v>
      </c>
      <c r="B3" s="43"/>
      <c r="C3" s="43"/>
      <c r="D3" s="43"/>
      <c r="E3" s="43"/>
      <c r="F3" s="43"/>
      <c r="G3" s="43"/>
      <c r="H3" s="43"/>
    </row>
    <row r="4" spans="1:8" x14ac:dyDescent="0.6">
      <c r="A4" s="2" t="s">
        <v>131</v>
      </c>
      <c r="B4" s="2" t="s">
        <v>135</v>
      </c>
      <c r="C4" s="2" t="s">
        <v>839</v>
      </c>
      <c r="D4" s="2" t="s">
        <v>840</v>
      </c>
      <c r="E4" s="2" t="s">
        <v>841</v>
      </c>
      <c r="F4" s="2" t="s">
        <v>842</v>
      </c>
      <c r="G4" s="2" t="s">
        <v>843</v>
      </c>
      <c r="H4" s="2" t="s">
        <v>143</v>
      </c>
    </row>
    <row r="5" spans="1:8" ht="55.05" customHeight="1" x14ac:dyDescent="0.6">
      <c r="A5" s="6">
        <v>1</v>
      </c>
      <c r="B5" s="1" t="s">
        <v>164</v>
      </c>
      <c r="C5" s="1" t="s">
        <v>844</v>
      </c>
      <c r="D5" s="4" t="s">
        <v>627</v>
      </c>
      <c r="E5" s="1" t="s">
        <v>845</v>
      </c>
      <c r="F5" s="1" t="s">
        <v>846</v>
      </c>
      <c r="G5" s="1" t="s">
        <v>847</v>
      </c>
      <c r="H5" s="6"/>
    </row>
    <row r="6" spans="1:8" ht="55.05" customHeight="1" x14ac:dyDescent="0.6">
      <c r="A6" s="6">
        <v>2</v>
      </c>
      <c r="B6" s="1" t="s">
        <v>164</v>
      </c>
      <c r="C6" s="1" t="s">
        <v>844</v>
      </c>
      <c r="D6" s="4" t="s">
        <v>628</v>
      </c>
      <c r="E6" s="1" t="s">
        <v>848</v>
      </c>
      <c r="F6" s="1" t="s">
        <v>849</v>
      </c>
      <c r="G6" s="1" t="s">
        <v>850</v>
      </c>
      <c r="H6" s="6"/>
    </row>
    <row r="7" spans="1:8" ht="55.05" customHeight="1" x14ac:dyDescent="0.6">
      <c r="A7" s="6">
        <v>3</v>
      </c>
      <c r="B7" s="1" t="s">
        <v>164</v>
      </c>
      <c r="C7" s="1" t="s">
        <v>844</v>
      </c>
      <c r="D7" s="4" t="s">
        <v>629</v>
      </c>
      <c r="E7" s="1" t="s">
        <v>851</v>
      </c>
      <c r="F7" s="1" t="s">
        <v>852</v>
      </c>
      <c r="G7" s="1" t="s">
        <v>853</v>
      </c>
      <c r="H7" s="6"/>
    </row>
    <row r="8" spans="1:8" ht="55.05" customHeight="1" x14ac:dyDescent="0.6">
      <c r="A8" s="6">
        <v>4</v>
      </c>
      <c r="B8" s="1" t="s">
        <v>164</v>
      </c>
      <c r="C8" s="1" t="s">
        <v>844</v>
      </c>
      <c r="D8" s="4" t="s">
        <v>630</v>
      </c>
      <c r="E8" s="1" t="s">
        <v>854</v>
      </c>
      <c r="F8" s="1" t="s">
        <v>855</v>
      </c>
      <c r="G8" s="1" t="s">
        <v>856</v>
      </c>
      <c r="H8" s="6"/>
    </row>
    <row r="9" spans="1:8" ht="55.05" customHeight="1" x14ac:dyDescent="0.6">
      <c r="A9" s="6">
        <v>5</v>
      </c>
      <c r="B9" s="1" t="s">
        <v>164</v>
      </c>
      <c r="C9" s="1" t="s">
        <v>844</v>
      </c>
      <c r="D9" s="4" t="s">
        <v>857</v>
      </c>
      <c r="E9" s="1" t="s">
        <v>858</v>
      </c>
      <c r="F9" s="1" t="s">
        <v>859</v>
      </c>
      <c r="G9" s="1" t="s">
        <v>860</v>
      </c>
      <c r="H9" s="6"/>
    </row>
    <row r="10" spans="1:8" ht="55.05" customHeight="1" x14ac:dyDescent="0.6">
      <c r="A10" s="6">
        <v>6</v>
      </c>
      <c r="B10" s="1" t="s">
        <v>164</v>
      </c>
      <c r="C10" s="1" t="s">
        <v>844</v>
      </c>
      <c r="D10" s="4" t="s">
        <v>861</v>
      </c>
      <c r="E10" s="1" t="s">
        <v>862</v>
      </c>
      <c r="F10" s="1" t="s">
        <v>863</v>
      </c>
      <c r="G10" s="1" t="s">
        <v>864</v>
      </c>
      <c r="H10" s="6"/>
    </row>
    <row r="11" spans="1:8" ht="55.05" customHeight="1" x14ac:dyDescent="0.6">
      <c r="A11" s="6">
        <v>7</v>
      </c>
      <c r="B11" s="1" t="s">
        <v>164</v>
      </c>
      <c r="C11" s="1" t="s">
        <v>865</v>
      </c>
      <c r="D11" s="4" t="s">
        <v>866</v>
      </c>
      <c r="E11" s="1" t="s">
        <v>867</v>
      </c>
      <c r="F11" s="1" t="s">
        <v>868</v>
      </c>
      <c r="G11" s="1" t="s">
        <v>869</v>
      </c>
      <c r="H11" s="6"/>
    </row>
    <row r="12" spans="1:8" ht="55.05" customHeight="1" x14ac:dyDescent="0.6">
      <c r="A12" s="6">
        <v>8</v>
      </c>
      <c r="B12" s="1" t="s">
        <v>164</v>
      </c>
      <c r="C12" s="1" t="s">
        <v>865</v>
      </c>
      <c r="D12" s="4" t="s">
        <v>870</v>
      </c>
      <c r="E12" s="1" t="s">
        <v>871</v>
      </c>
      <c r="F12" s="1" t="s">
        <v>872</v>
      </c>
      <c r="G12" s="1" t="s">
        <v>873</v>
      </c>
      <c r="H12" s="6"/>
    </row>
    <row r="13" spans="1:8" ht="55.05" customHeight="1" x14ac:dyDescent="0.6">
      <c r="A13" s="6">
        <v>9</v>
      </c>
      <c r="B13" s="1" t="s">
        <v>164</v>
      </c>
      <c r="C13" s="1" t="s">
        <v>865</v>
      </c>
      <c r="D13" s="4" t="s">
        <v>874</v>
      </c>
      <c r="E13" s="1" t="s">
        <v>875</v>
      </c>
      <c r="F13" s="1" t="s">
        <v>876</v>
      </c>
      <c r="G13" s="1" t="s">
        <v>877</v>
      </c>
      <c r="H13" s="6"/>
    </row>
    <row r="14" spans="1:8" ht="55.05" customHeight="1" x14ac:dyDescent="0.6">
      <c r="A14" s="6">
        <v>10</v>
      </c>
      <c r="B14" s="1" t="s">
        <v>164</v>
      </c>
      <c r="C14" s="1" t="s">
        <v>865</v>
      </c>
      <c r="D14" s="4" t="s">
        <v>878</v>
      </c>
      <c r="E14" s="1" t="s">
        <v>879</v>
      </c>
      <c r="F14" s="1" t="s">
        <v>880</v>
      </c>
      <c r="G14" s="1" t="s">
        <v>881</v>
      </c>
      <c r="H14" s="6"/>
    </row>
    <row r="15" spans="1:8" ht="55.05" customHeight="1" x14ac:dyDescent="0.6">
      <c r="A15" s="6">
        <v>11</v>
      </c>
      <c r="B15" s="1" t="s">
        <v>164</v>
      </c>
      <c r="C15" s="1" t="s">
        <v>865</v>
      </c>
      <c r="D15" s="4" t="s">
        <v>882</v>
      </c>
      <c r="E15" s="1" t="s">
        <v>883</v>
      </c>
      <c r="F15" s="1" t="s">
        <v>884</v>
      </c>
      <c r="G15" s="1" t="s">
        <v>885</v>
      </c>
      <c r="H15" s="6"/>
    </row>
    <row r="16" spans="1:8" ht="55.05" customHeight="1" x14ac:dyDescent="0.6">
      <c r="A16" s="6">
        <v>12</v>
      </c>
      <c r="B16" s="1" t="s">
        <v>164</v>
      </c>
      <c r="C16" s="1" t="s">
        <v>886</v>
      </c>
      <c r="D16" s="4" t="s">
        <v>887</v>
      </c>
      <c r="E16" s="1" t="s">
        <v>888</v>
      </c>
      <c r="F16" s="1" t="s">
        <v>889</v>
      </c>
      <c r="G16" s="1" t="s">
        <v>890</v>
      </c>
      <c r="H16" s="6"/>
    </row>
    <row r="17" spans="1:8" ht="55.05" customHeight="1" x14ac:dyDescent="0.6">
      <c r="A17" s="6">
        <v>13</v>
      </c>
      <c r="B17" s="1" t="s">
        <v>164</v>
      </c>
      <c r="C17" s="1" t="s">
        <v>886</v>
      </c>
      <c r="D17" s="4" t="s">
        <v>891</v>
      </c>
      <c r="E17" s="1" t="s">
        <v>892</v>
      </c>
      <c r="F17" s="1" t="s">
        <v>893</v>
      </c>
      <c r="G17" s="1" t="s">
        <v>894</v>
      </c>
      <c r="H17" s="6"/>
    </row>
    <row r="18" spans="1:8" ht="55.05" customHeight="1" x14ac:dyDescent="0.6">
      <c r="A18" s="6">
        <v>14</v>
      </c>
      <c r="B18" s="1" t="s">
        <v>164</v>
      </c>
      <c r="C18" s="1" t="s">
        <v>886</v>
      </c>
      <c r="D18" s="4" t="s">
        <v>895</v>
      </c>
      <c r="E18" s="1" t="s">
        <v>896</v>
      </c>
      <c r="F18" s="1" t="s">
        <v>897</v>
      </c>
      <c r="G18" s="1" t="s">
        <v>898</v>
      </c>
      <c r="H18" s="6"/>
    </row>
    <row r="19" spans="1:8" ht="55.05" customHeight="1" x14ac:dyDescent="0.6">
      <c r="A19" s="6">
        <v>15</v>
      </c>
      <c r="B19" s="1" t="s">
        <v>164</v>
      </c>
      <c r="C19" s="1" t="s">
        <v>886</v>
      </c>
      <c r="D19" s="4" t="s">
        <v>899</v>
      </c>
      <c r="E19" s="1" t="s">
        <v>900</v>
      </c>
      <c r="F19" s="1" t="s">
        <v>901</v>
      </c>
      <c r="G19" s="1" t="s">
        <v>902</v>
      </c>
      <c r="H19" s="6"/>
    </row>
    <row r="20" spans="1:8" ht="55.05" customHeight="1" x14ac:dyDescent="0.6">
      <c r="A20" s="6">
        <v>16</v>
      </c>
      <c r="B20" s="1" t="s">
        <v>164</v>
      </c>
      <c r="C20" s="1" t="s">
        <v>886</v>
      </c>
      <c r="D20" s="4" t="s">
        <v>903</v>
      </c>
      <c r="E20" s="1" t="s">
        <v>904</v>
      </c>
      <c r="F20" s="1" t="s">
        <v>905</v>
      </c>
      <c r="G20" s="1" t="s">
        <v>906</v>
      </c>
      <c r="H20" s="6"/>
    </row>
    <row r="21" spans="1:8" ht="55.05" customHeight="1" x14ac:dyDescent="0.6">
      <c r="A21" s="6">
        <v>17</v>
      </c>
      <c r="B21" s="1" t="s">
        <v>164</v>
      </c>
      <c r="C21" s="1" t="s">
        <v>907</v>
      </c>
      <c r="D21" s="4" t="s">
        <v>908</v>
      </c>
      <c r="E21" s="1" t="s">
        <v>909</v>
      </c>
      <c r="F21" s="1" t="s">
        <v>910</v>
      </c>
      <c r="G21" s="1" t="s">
        <v>911</v>
      </c>
      <c r="H21" s="6"/>
    </row>
    <row r="22" spans="1:8" ht="55.05" customHeight="1" x14ac:dyDescent="0.6">
      <c r="A22" s="6">
        <v>18</v>
      </c>
      <c r="B22" s="1" t="s">
        <v>164</v>
      </c>
      <c r="C22" s="1" t="s">
        <v>907</v>
      </c>
      <c r="D22" s="4" t="s">
        <v>912</v>
      </c>
      <c r="E22" s="1" t="s">
        <v>913</v>
      </c>
      <c r="F22" s="1" t="s">
        <v>914</v>
      </c>
      <c r="G22" s="1" t="s">
        <v>915</v>
      </c>
      <c r="H22" s="6"/>
    </row>
    <row r="23" spans="1:8" ht="55.05" customHeight="1" x14ac:dyDescent="0.6">
      <c r="A23" s="6">
        <v>19</v>
      </c>
      <c r="B23" s="1" t="s">
        <v>164</v>
      </c>
      <c r="C23" s="1" t="s">
        <v>907</v>
      </c>
      <c r="D23" s="4" t="s">
        <v>916</v>
      </c>
      <c r="E23" s="1" t="s">
        <v>917</v>
      </c>
      <c r="F23" s="1" t="s">
        <v>918</v>
      </c>
      <c r="G23" s="1" t="s">
        <v>919</v>
      </c>
      <c r="H23" s="6"/>
    </row>
    <row r="24" spans="1:8" ht="55.05" customHeight="1" x14ac:dyDescent="0.6">
      <c r="A24" s="6">
        <v>20</v>
      </c>
      <c r="B24" s="1" t="s">
        <v>147</v>
      </c>
      <c r="C24" s="1" t="s">
        <v>920</v>
      </c>
      <c r="D24" s="4" t="s">
        <v>666</v>
      </c>
      <c r="E24" s="1" t="s">
        <v>921</v>
      </c>
      <c r="F24" s="1" t="s">
        <v>922</v>
      </c>
      <c r="G24" s="1" t="s">
        <v>923</v>
      </c>
      <c r="H24" s="6"/>
    </row>
    <row r="25" spans="1:8" ht="55.05" customHeight="1" x14ac:dyDescent="0.6">
      <c r="A25" s="6">
        <v>21</v>
      </c>
      <c r="B25" s="1" t="s">
        <v>147</v>
      </c>
      <c r="C25" s="1" t="s">
        <v>920</v>
      </c>
      <c r="D25" s="4" t="s">
        <v>667</v>
      </c>
      <c r="E25" s="1" t="s">
        <v>924</v>
      </c>
      <c r="F25" s="1" t="s">
        <v>925</v>
      </c>
      <c r="G25" s="1" t="s">
        <v>926</v>
      </c>
      <c r="H25" s="6"/>
    </row>
    <row r="26" spans="1:8" ht="55.05" customHeight="1" x14ac:dyDescent="0.6">
      <c r="A26" s="6">
        <v>22</v>
      </c>
      <c r="B26" s="1" t="s">
        <v>147</v>
      </c>
      <c r="C26" s="1" t="s">
        <v>920</v>
      </c>
      <c r="D26" s="4" t="s">
        <v>668</v>
      </c>
      <c r="E26" s="1" t="s">
        <v>927</v>
      </c>
      <c r="F26" s="1" t="s">
        <v>928</v>
      </c>
      <c r="G26" s="1" t="s">
        <v>929</v>
      </c>
      <c r="H26" s="6"/>
    </row>
    <row r="27" spans="1:8" ht="55.05" customHeight="1" x14ac:dyDescent="0.6">
      <c r="A27" s="6">
        <v>23</v>
      </c>
      <c r="B27" s="1" t="s">
        <v>147</v>
      </c>
      <c r="C27" s="1" t="s">
        <v>920</v>
      </c>
      <c r="D27" s="4" t="s">
        <v>669</v>
      </c>
      <c r="E27" s="1" t="s">
        <v>930</v>
      </c>
      <c r="F27" s="1" t="s">
        <v>931</v>
      </c>
      <c r="G27" s="1" t="s">
        <v>932</v>
      </c>
      <c r="H27" s="6"/>
    </row>
    <row r="28" spans="1:8" ht="55.05" customHeight="1" x14ac:dyDescent="0.6">
      <c r="A28" s="6">
        <v>24</v>
      </c>
      <c r="B28" s="1" t="s">
        <v>147</v>
      </c>
      <c r="C28" s="1" t="s">
        <v>920</v>
      </c>
      <c r="D28" s="4" t="s">
        <v>933</v>
      </c>
      <c r="E28" s="1" t="s">
        <v>934</v>
      </c>
      <c r="F28" s="1" t="s">
        <v>935</v>
      </c>
      <c r="G28" s="1" t="s">
        <v>936</v>
      </c>
      <c r="H28" s="6"/>
    </row>
    <row r="29" spans="1:8" ht="55.05" customHeight="1" x14ac:dyDescent="0.6">
      <c r="A29" s="6">
        <v>25</v>
      </c>
      <c r="B29" s="1" t="s">
        <v>690</v>
      </c>
      <c r="C29" s="1" t="s">
        <v>937</v>
      </c>
      <c r="D29" s="4" t="s">
        <v>693</v>
      </c>
      <c r="E29" s="1" t="s">
        <v>938</v>
      </c>
      <c r="F29" s="1" t="s">
        <v>939</v>
      </c>
      <c r="G29" s="1" t="s">
        <v>940</v>
      </c>
      <c r="H29" s="6"/>
    </row>
    <row r="30" spans="1:8" ht="55.05" customHeight="1" x14ac:dyDescent="0.6">
      <c r="A30" s="6">
        <v>26</v>
      </c>
      <c r="B30" s="1" t="s">
        <v>690</v>
      </c>
      <c r="C30" s="1" t="s">
        <v>937</v>
      </c>
      <c r="D30" s="4" t="s">
        <v>694</v>
      </c>
      <c r="E30" s="1" t="s">
        <v>941</v>
      </c>
      <c r="F30" s="1" t="s">
        <v>942</v>
      </c>
      <c r="G30" s="1" t="s">
        <v>943</v>
      </c>
      <c r="H30" s="6"/>
    </row>
    <row r="31" spans="1:8" ht="55.05" customHeight="1" x14ac:dyDescent="0.6">
      <c r="A31" s="6">
        <v>27</v>
      </c>
      <c r="B31" s="1" t="s">
        <v>690</v>
      </c>
      <c r="C31" s="1" t="s">
        <v>937</v>
      </c>
      <c r="D31" s="4" t="s">
        <v>695</v>
      </c>
      <c r="E31" s="1" t="s">
        <v>944</v>
      </c>
      <c r="F31" s="1" t="s">
        <v>945</v>
      </c>
      <c r="G31" s="1" t="s">
        <v>946</v>
      </c>
      <c r="H31" s="6"/>
    </row>
    <row r="32" spans="1:8" ht="55.05" customHeight="1" x14ac:dyDescent="0.6">
      <c r="A32" s="6">
        <v>28</v>
      </c>
      <c r="B32" s="1" t="s">
        <v>690</v>
      </c>
      <c r="C32" s="1" t="s">
        <v>937</v>
      </c>
      <c r="D32" s="4" t="s">
        <v>696</v>
      </c>
      <c r="E32" s="1" t="s">
        <v>947</v>
      </c>
      <c r="F32" s="1" t="s">
        <v>948</v>
      </c>
      <c r="G32" s="1" t="s">
        <v>949</v>
      </c>
      <c r="H32" s="6"/>
    </row>
    <row r="33" spans="1:8" ht="55.05" customHeight="1" x14ac:dyDescent="0.6">
      <c r="A33" s="6">
        <v>29</v>
      </c>
      <c r="B33" s="1" t="s">
        <v>690</v>
      </c>
      <c r="C33" s="1" t="s">
        <v>937</v>
      </c>
      <c r="D33" s="4" t="s">
        <v>950</v>
      </c>
      <c r="E33" s="1" t="s">
        <v>951</v>
      </c>
      <c r="F33" s="1" t="s">
        <v>952</v>
      </c>
      <c r="G33" s="1" t="s">
        <v>953</v>
      </c>
      <c r="H33" s="6"/>
    </row>
    <row r="34" spans="1:8" ht="55.05" customHeight="1" x14ac:dyDescent="0.6">
      <c r="A34" s="6">
        <v>30</v>
      </c>
      <c r="B34" s="1" t="s">
        <v>159</v>
      </c>
      <c r="C34" s="1" t="s">
        <v>954</v>
      </c>
      <c r="D34" s="4" t="s">
        <v>726</v>
      </c>
      <c r="E34" s="1" t="s">
        <v>955</v>
      </c>
      <c r="F34" s="1" t="s">
        <v>956</v>
      </c>
      <c r="G34" s="1" t="s">
        <v>957</v>
      </c>
      <c r="H34" s="6"/>
    </row>
    <row r="35" spans="1:8" ht="55.05" customHeight="1" x14ac:dyDescent="0.6">
      <c r="A35" s="6">
        <v>31</v>
      </c>
      <c r="B35" s="1" t="s">
        <v>159</v>
      </c>
      <c r="C35" s="1" t="s">
        <v>954</v>
      </c>
      <c r="D35" s="4" t="s">
        <v>727</v>
      </c>
      <c r="E35" s="1" t="s">
        <v>958</v>
      </c>
      <c r="F35" s="1" t="s">
        <v>959</v>
      </c>
      <c r="G35" s="1" t="s">
        <v>960</v>
      </c>
      <c r="H35" s="6"/>
    </row>
    <row r="36" spans="1:8" ht="55.05" customHeight="1" x14ac:dyDescent="0.6">
      <c r="A36" s="6">
        <v>32</v>
      </c>
      <c r="B36" s="1" t="s">
        <v>159</v>
      </c>
      <c r="C36" s="1" t="s">
        <v>954</v>
      </c>
      <c r="D36" s="4" t="s">
        <v>728</v>
      </c>
      <c r="E36" s="1" t="s">
        <v>961</v>
      </c>
      <c r="F36" s="1" t="s">
        <v>962</v>
      </c>
      <c r="G36" s="1" t="s">
        <v>963</v>
      </c>
      <c r="H36" s="6"/>
    </row>
    <row r="37" spans="1:8" ht="55.05" customHeight="1" x14ac:dyDescent="0.6">
      <c r="A37" s="6">
        <v>33</v>
      </c>
      <c r="B37" s="1" t="s">
        <v>159</v>
      </c>
      <c r="C37" s="1" t="s">
        <v>964</v>
      </c>
      <c r="D37" s="4" t="s">
        <v>729</v>
      </c>
      <c r="E37" s="1" t="s">
        <v>965</v>
      </c>
      <c r="F37" s="1" t="s">
        <v>966</v>
      </c>
      <c r="G37" s="1" t="s">
        <v>967</v>
      </c>
      <c r="H37" s="6"/>
    </row>
    <row r="38" spans="1:8" ht="55.05" customHeight="1" x14ac:dyDescent="0.6">
      <c r="A38" s="6">
        <v>34</v>
      </c>
      <c r="B38" s="1" t="s">
        <v>159</v>
      </c>
      <c r="C38" s="1" t="s">
        <v>964</v>
      </c>
      <c r="D38" s="4" t="s">
        <v>968</v>
      </c>
      <c r="E38" s="1" t="s">
        <v>969</v>
      </c>
      <c r="F38" s="1" t="s">
        <v>970</v>
      </c>
      <c r="G38" s="1" t="s">
        <v>971</v>
      </c>
      <c r="H38" s="6"/>
    </row>
    <row r="39" spans="1:8" ht="55.05" customHeight="1" x14ac:dyDescent="0.6">
      <c r="A39" s="6">
        <v>35</v>
      </c>
      <c r="B39" s="1" t="s">
        <v>159</v>
      </c>
      <c r="C39" s="1" t="s">
        <v>964</v>
      </c>
      <c r="D39" s="4" t="s">
        <v>972</v>
      </c>
      <c r="E39" s="1" t="s">
        <v>973</v>
      </c>
      <c r="F39" s="1" t="s">
        <v>974</v>
      </c>
      <c r="G39" s="1" t="s">
        <v>975</v>
      </c>
      <c r="H39" s="6"/>
    </row>
    <row r="40" spans="1:8" ht="55.05" customHeight="1" x14ac:dyDescent="0.6">
      <c r="A40" s="6">
        <v>36</v>
      </c>
      <c r="B40" s="1" t="s">
        <v>159</v>
      </c>
      <c r="C40" s="1" t="s">
        <v>964</v>
      </c>
      <c r="D40" s="4" t="s">
        <v>976</v>
      </c>
      <c r="E40" s="1" t="s">
        <v>977</v>
      </c>
      <c r="F40" s="1" t="s">
        <v>978</v>
      </c>
      <c r="G40" s="1" t="s">
        <v>979</v>
      </c>
      <c r="H40" s="6"/>
    </row>
    <row r="41" spans="1:8" ht="55.05" customHeight="1" x14ac:dyDescent="0.6">
      <c r="A41" s="6">
        <v>37</v>
      </c>
      <c r="B41" s="1" t="s">
        <v>159</v>
      </c>
      <c r="C41" s="1" t="s">
        <v>980</v>
      </c>
      <c r="D41" s="4" t="s">
        <v>981</v>
      </c>
      <c r="E41" s="1" t="s">
        <v>982</v>
      </c>
      <c r="F41" s="1" t="s">
        <v>983</v>
      </c>
      <c r="G41" s="1" t="s">
        <v>984</v>
      </c>
      <c r="H41" s="6"/>
    </row>
    <row r="42" spans="1:8" ht="55.05" customHeight="1" x14ac:dyDescent="0.6">
      <c r="A42" s="6">
        <v>38</v>
      </c>
      <c r="B42" s="1" t="s">
        <v>159</v>
      </c>
      <c r="C42" s="1" t="s">
        <v>980</v>
      </c>
      <c r="D42" s="4" t="s">
        <v>976</v>
      </c>
      <c r="E42" s="1" t="s">
        <v>977</v>
      </c>
      <c r="F42" s="1" t="s">
        <v>985</v>
      </c>
      <c r="G42" s="1" t="s">
        <v>979</v>
      </c>
      <c r="H42" s="6"/>
    </row>
    <row r="43" spans="1:8" ht="55.05" customHeight="1" x14ac:dyDescent="0.6">
      <c r="A43" s="6">
        <v>39</v>
      </c>
      <c r="B43" s="1" t="s">
        <v>159</v>
      </c>
      <c r="C43" s="1" t="s">
        <v>980</v>
      </c>
      <c r="D43" s="4" t="s">
        <v>986</v>
      </c>
      <c r="E43" s="1" t="s">
        <v>987</v>
      </c>
      <c r="F43" s="1" t="s">
        <v>988</v>
      </c>
      <c r="G43" s="1" t="s">
        <v>989</v>
      </c>
      <c r="H43" s="6"/>
    </row>
    <row r="44" spans="1:8" ht="55.05" customHeight="1" x14ac:dyDescent="0.6">
      <c r="A44" s="6">
        <v>40</v>
      </c>
      <c r="B44" s="1" t="s">
        <v>159</v>
      </c>
      <c r="C44" s="1" t="s">
        <v>980</v>
      </c>
      <c r="D44" s="4" t="s">
        <v>990</v>
      </c>
      <c r="E44" s="1" t="s">
        <v>991</v>
      </c>
      <c r="F44" s="1" t="s">
        <v>992</v>
      </c>
      <c r="G44" s="1" t="s">
        <v>993</v>
      </c>
      <c r="H44" s="6"/>
    </row>
    <row r="45" spans="1:8" ht="55.05" customHeight="1" x14ac:dyDescent="0.6">
      <c r="A45" s="6">
        <v>41</v>
      </c>
      <c r="B45" s="1" t="s">
        <v>159</v>
      </c>
      <c r="C45" s="1" t="s">
        <v>994</v>
      </c>
      <c r="D45" s="4" t="s">
        <v>995</v>
      </c>
      <c r="E45" s="1" t="s">
        <v>996</v>
      </c>
      <c r="F45" s="1" t="s">
        <v>997</v>
      </c>
      <c r="G45" s="1" t="s">
        <v>998</v>
      </c>
      <c r="H45" s="6"/>
    </row>
    <row r="46" spans="1:8" ht="55.05" customHeight="1" x14ac:dyDescent="0.6">
      <c r="A46" s="6">
        <v>42</v>
      </c>
      <c r="B46" s="1" t="s">
        <v>159</v>
      </c>
      <c r="C46" s="1" t="s">
        <v>994</v>
      </c>
      <c r="D46" s="4" t="s">
        <v>999</v>
      </c>
      <c r="E46" s="1" t="s">
        <v>1000</v>
      </c>
      <c r="F46" s="1" t="s">
        <v>1001</v>
      </c>
      <c r="G46" s="1" t="s">
        <v>1002</v>
      </c>
      <c r="H46" s="6"/>
    </row>
    <row r="47" spans="1:8" ht="55.05" customHeight="1" x14ac:dyDescent="0.6">
      <c r="A47" s="6">
        <v>43</v>
      </c>
      <c r="B47" s="1" t="s">
        <v>159</v>
      </c>
      <c r="C47" s="1" t="s">
        <v>994</v>
      </c>
      <c r="D47" s="4" t="s">
        <v>1003</v>
      </c>
      <c r="E47" s="1" t="s">
        <v>1004</v>
      </c>
      <c r="F47" s="1" t="s">
        <v>1005</v>
      </c>
      <c r="G47" s="1" t="s">
        <v>1006</v>
      </c>
      <c r="H47" s="6"/>
    </row>
    <row r="48" spans="1:8" ht="55.05" customHeight="1" x14ac:dyDescent="0.6">
      <c r="A48" s="6">
        <v>44</v>
      </c>
      <c r="B48" s="1" t="s">
        <v>750</v>
      </c>
      <c r="C48" s="1" t="s">
        <v>1007</v>
      </c>
      <c r="D48" s="4" t="s">
        <v>753</v>
      </c>
      <c r="E48" s="1" t="s">
        <v>1008</v>
      </c>
      <c r="F48" s="1" t="s">
        <v>1009</v>
      </c>
      <c r="G48" s="1" t="s">
        <v>1010</v>
      </c>
      <c r="H48" s="6"/>
    </row>
    <row r="49" spans="1:8" ht="55.05" customHeight="1" x14ac:dyDescent="0.6">
      <c r="A49" s="6">
        <v>45</v>
      </c>
      <c r="B49" s="1" t="s">
        <v>750</v>
      </c>
      <c r="C49" s="1" t="s">
        <v>1007</v>
      </c>
      <c r="D49" s="4" t="s">
        <v>754</v>
      </c>
      <c r="E49" s="1" t="s">
        <v>1011</v>
      </c>
      <c r="F49" s="1" t="s">
        <v>1012</v>
      </c>
      <c r="G49" s="1" t="s">
        <v>1013</v>
      </c>
      <c r="H49" s="6"/>
    </row>
    <row r="50" spans="1:8" ht="55.05" customHeight="1" x14ac:dyDescent="0.6">
      <c r="A50" s="6">
        <v>46</v>
      </c>
      <c r="B50" s="1" t="s">
        <v>750</v>
      </c>
      <c r="C50" s="1" t="s">
        <v>1007</v>
      </c>
      <c r="D50" s="4" t="s">
        <v>755</v>
      </c>
      <c r="E50" s="1" t="s">
        <v>1014</v>
      </c>
      <c r="F50" s="1" t="s">
        <v>1015</v>
      </c>
      <c r="G50" s="1" t="s">
        <v>1016</v>
      </c>
      <c r="H50" s="6"/>
    </row>
    <row r="51" spans="1:8" ht="55.05" customHeight="1" x14ac:dyDescent="0.6">
      <c r="A51" s="6">
        <v>47</v>
      </c>
      <c r="B51" s="1" t="s">
        <v>750</v>
      </c>
      <c r="C51" s="1" t="s">
        <v>1007</v>
      </c>
      <c r="D51" s="4" t="s">
        <v>756</v>
      </c>
      <c r="E51" s="1" t="s">
        <v>1017</v>
      </c>
      <c r="F51" s="1" t="s">
        <v>1018</v>
      </c>
      <c r="G51" s="1" t="s">
        <v>1019</v>
      </c>
      <c r="H51" s="6"/>
    </row>
    <row r="52" spans="1:8" ht="55.05" customHeight="1" x14ac:dyDescent="0.6">
      <c r="A52" s="6">
        <v>48</v>
      </c>
      <c r="B52" s="1" t="s">
        <v>750</v>
      </c>
      <c r="C52" s="1" t="s">
        <v>1007</v>
      </c>
      <c r="D52" s="4" t="s">
        <v>1020</v>
      </c>
      <c r="E52" s="1" t="s">
        <v>1021</v>
      </c>
      <c r="F52" s="1" t="s">
        <v>1022</v>
      </c>
      <c r="G52" s="1" t="s">
        <v>1023</v>
      </c>
      <c r="H52" s="6"/>
    </row>
    <row r="53" spans="1:8" ht="55.05" customHeight="1" x14ac:dyDescent="0.6">
      <c r="A53" s="6">
        <v>49</v>
      </c>
      <c r="B53" s="1" t="s">
        <v>777</v>
      </c>
      <c r="C53" s="1" t="s">
        <v>777</v>
      </c>
      <c r="D53" s="4" t="s">
        <v>780</v>
      </c>
      <c r="E53" s="1" t="s">
        <v>1024</v>
      </c>
      <c r="F53" s="1" t="s">
        <v>1025</v>
      </c>
      <c r="G53" s="1" t="s">
        <v>1026</v>
      </c>
      <c r="H53" s="6"/>
    </row>
    <row r="54" spans="1:8" ht="55.05" customHeight="1" x14ac:dyDescent="0.6">
      <c r="A54" s="6">
        <v>50</v>
      </c>
      <c r="B54" s="1" t="s">
        <v>777</v>
      </c>
      <c r="C54" s="1" t="s">
        <v>777</v>
      </c>
      <c r="D54" s="4" t="s">
        <v>781</v>
      </c>
      <c r="E54" s="1" t="s">
        <v>1027</v>
      </c>
      <c r="F54" s="1" t="s">
        <v>1028</v>
      </c>
      <c r="G54" s="1" t="s">
        <v>1029</v>
      </c>
      <c r="H54" s="6"/>
    </row>
    <row r="55" spans="1:8" ht="55.05" customHeight="1" x14ac:dyDescent="0.6">
      <c r="A55" s="6">
        <v>51</v>
      </c>
      <c r="B55" s="1" t="s">
        <v>777</v>
      </c>
      <c r="C55" s="1" t="s">
        <v>777</v>
      </c>
      <c r="D55" s="4" t="s">
        <v>782</v>
      </c>
      <c r="E55" s="1" t="s">
        <v>1030</v>
      </c>
      <c r="F55" s="1" t="s">
        <v>1031</v>
      </c>
      <c r="G55" s="1" t="s">
        <v>1032</v>
      </c>
      <c r="H55" s="6"/>
    </row>
    <row r="56" spans="1:8" ht="55.05" customHeight="1" x14ac:dyDescent="0.6">
      <c r="A56" s="6">
        <v>52</v>
      </c>
      <c r="B56" s="1" t="s">
        <v>153</v>
      </c>
      <c r="C56" s="1" t="s">
        <v>1033</v>
      </c>
      <c r="D56" s="4" t="s">
        <v>805</v>
      </c>
      <c r="E56" s="1" t="s">
        <v>1034</v>
      </c>
      <c r="F56" s="1" t="s">
        <v>1035</v>
      </c>
      <c r="G56" s="1" t="s">
        <v>1036</v>
      </c>
      <c r="H56" s="6"/>
    </row>
    <row r="57" spans="1:8" ht="55.05" customHeight="1" x14ac:dyDescent="0.6">
      <c r="A57" s="6">
        <v>53</v>
      </c>
      <c r="B57" s="1" t="s">
        <v>153</v>
      </c>
      <c r="C57" s="1" t="s">
        <v>1033</v>
      </c>
      <c r="D57" s="4" t="s">
        <v>806</v>
      </c>
      <c r="E57" s="1" t="s">
        <v>1037</v>
      </c>
      <c r="F57" s="1" t="s">
        <v>1038</v>
      </c>
      <c r="G57" s="1" t="s">
        <v>1039</v>
      </c>
      <c r="H57" s="6"/>
    </row>
    <row r="58" spans="1:8" ht="55.05" customHeight="1" x14ac:dyDescent="0.6">
      <c r="A58" s="6">
        <v>54</v>
      </c>
      <c r="B58" s="1" t="s">
        <v>153</v>
      </c>
      <c r="C58" s="1" t="s">
        <v>1033</v>
      </c>
      <c r="D58" s="4" t="s">
        <v>807</v>
      </c>
      <c r="E58" s="1" t="s">
        <v>1040</v>
      </c>
      <c r="F58" s="1" t="s">
        <v>1041</v>
      </c>
      <c r="G58" s="1" t="s">
        <v>1042</v>
      </c>
      <c r="H58" s="6"/>
    </row>
    <row r="59" spans="1:8" ht="55.05" customHeight="1" x14ac:dyDescent="0.6">
      <c r="A59" s="6">
        <v>55</v>
      </c>
      <c r="B59" s="1" t="s">
        <v>153</v>
      </c>
      <c r="C59" s="1" t="s">
        <v>1033</v>
      </c>
      <c r="D59" s="4" t="s">
        <v>808</v>
      </c>
      <c r="E59" s="1" t="s">
        <v>1043</v>
      </c>
      <c r="F59" s="1" t="s">
        <v>1044</v>
      </c>
      <c r="G59" s="1" t="s">
        <v>1045</v>
      </c>
      <c r="H59" s="6"/>
    </row>
    <row r="60" spans="1:8" ht="55.05" customHeight="1" x14ac:dyDescent="0.6">
      <c r="A60" s="6">
        <v>56</v>
      </c>
      <c r="B60" s="1" t="s">
        <v>153</v>
      </c>
      <c r="C60" s="1" t="s">
        <v>1033</v>
      </c>
      <c r="D60" s="4" t="s">
        <v>1046</v>
      </c>
      <c r="E60" s="1" t="s">
        <v>1047</v>
      </c>
      <c r="F60" s="1" t="s">
        <v>1048</v>
      </c>
      <c r="G60" s="1" t="s">
        <v>1049</v>
      </c>
      <c r="H60" s="6"/>
    </row>
    <row r="61" spans="1:8" ht="55.05" customHeight="1" x14ac:dyDescent="0.6">
      <c r="A61" s="6">
        <v>57</v>
      </c>
      <c r="B61" s="1" t="s">
        <v>153</v>
      </c>
      <c r="C61" s="1" t="s">
        <v>1050</v>
      </c>
      <c r="D61" s="4" t="s">
        <v>1051</v>
      </c>
      <c r="E61" s="1" t="s">
        <v>1052</v>
      </c>
      <c r="F61" s="1" t="s">
        <v>1053</v>
      </c>
      <c r="G61" s="1" t="s">
        <v>1054</v>
      </c>
      <c r="H61" s="6"/>
    </row>
    <row r="62" spans="1:8" ht="55.05" customHeight="1" x14ac:dyDescent="0.6">
      <c r="A62" s="6">
        <v>58</v>
      </c>
      <c r="B62" s="1" t="s">
        <v>153</v>
      </c>
      <c r="C62" s="1" t="s">
        <v>1050</v>
      </c>
      <c r="D62" s="4" t="s">
        <v>1055</v>
      </c>
      <c r="E62" s="1" t="s">
        <v>1056</v>
      </c>
      <c r="F62" s="1" t="s">
        <v>1057</v>
      </c>
      <c r="G62" s="1" t="s">
        <v>1058</v>
      </c>
      <c r="H62" s="6"/>
    </row>
    <row r="63" spans="1:8" ht="55.05" customHeight="1" x14ac:dyDescent="0.6">
      <c r="A63" s="6">
        <v>59</v>
      </c>
      <c r="B63" s="1" t="s">
        <v>153</v>
      </c>
      <c r="C63" s="1" t="s">
        <v>1050</v>
      </c>
      <c r="D63" s="4" t="s">
        <v>1059</v>
      </c>
      <c r="E63" s="1" t="s">
        <v>1060</v>
      </c>
      <c r="F63" s="1" t="s">
        <v>1061</v>
      </c>
      <c r="G63" s="1" t="s">
        <v>1062</v>
      </c>
      <c r="H63" s="6"/>
    </row>
    <row r="64" spans="1:8" ht="55.05" customHeight="1" x14ac:dyDescent="0.6">
      <c r="A64" s="6">
        <v>60</v>
      </c>
      <c r="B64" s="1" t="s">
        <v>153</v>
      </c>
      <c r="C64" s="1" t="s">
        <v>1050</v>
      </c>
      <c r="D64" s="4" t="s">
        <v>1063</v>
      </c>
      <c r="E64" s="1" t="s">
        <v>1064</v>
      </c>
      <c r="F64" s="1" t="s">
        <v>1065</v>
      </c>
      <c r="G64" s="1" t="s">
        <v>1066</v>
      </c>
      <c r="H64" s="6"/>
    </row>
    <row r="65" spans="1:8" ht="55.05" customHeight="1" x14ac:dyDescent="0.6">
      <c r="A65" s="6">
        <v>61</v>
      </c>
      <c r="B65" s="1" t="s">
        <v>153</v>
      </c>
      <c r="C65" s="1" t="s">
        <v>1050</v>
      </c>
      <c r="D65" s="4" t="s">
        <v>1067</v>
      </c>
      <c r="E65" s="1" t="s">
        <v>1068</v>
      </c>
      <c r="F65" s="1" t="s">
        <v>1069</v>
      </c>
      <c r="G65" s="1" t="s">
        <v>1070</v>
      </c>
      <c r="H65" s="6"/>
    </row>
  </sheetData>
  <mergeCells count="3">
    <mergeCell ref="A3:H3"/>
    <mergeCell ref="A2:H2"/>
    <mergeCell ref="A1:H1"/>
  </mergeCells>
  <phoneticPr fontId="1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16</vt:i4>
      </vt:variant>
    </vt:vector>
  </HeadingPairs>
  <TitlesOfParts>
    <vt:vector size="16" baseType="lpstr">
      <vt:lpstr>00_운영가이드</vt:lpstr>
      <vt:lpstr>01_인적정보</vt:lpstr>
      <vt:lpstr>02_의사결정·종합결과</vt:lpstr>
      <vt:lpstr>03_전사업적평가</vt:lpstr>
      <vt:lpstr>04_역할평가</vt:lpstr>
      <vt:lpstr>05_공통역량평가</vt:lpstr>
      <vt:lpstr>06_직무역량평가</vt:lpstr>
      <vt:lpstr>07_결과취합</vt:lpstr>
      <vt:lpstr>07.5_결과입력_매핑가이드</vt:lpstr>
      <vt:lpstr>08_종합평가</vt:lpstr>
      <vt:lpstr>09_보상연계</vt:lpstr>
      <vt:lpstr>10_성과급관리</vt:lpstr>
      <vt:lpstr>11_페이밴드검증</vt:lpstr>
      <vt:lpstr>12_시뮬레이션</vt:lpstr>
      <vt:lpstr>13_직무역할DB</vt:lpstr>
      <vt:lpstr>14_직무책무DB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석주 이</cp:lastModifiedBy>
  <dcterms:created xsi:type="dcterms:W3CDTF">2026-05-11T06:23:16Z</dcterms:created>
  <dcterms:modified xsi:type="dcterms:W3CDTF">2026-05-13T01:34:47Z</dcterms:modified>
</cp:coreProperties>
</file>